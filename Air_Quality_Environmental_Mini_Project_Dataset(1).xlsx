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200" windowHeight="11850"/>
  </bookViews>
  <sheets>
    <sheet name="Raw_Data" sheetId="1" r:id="rId1"/>
    <sheet name="Clean_Reference" sheetId="2" r:id="rId2"/>
    <sheet name="Pivot Table" sheetId="3" r:id="rId3"/>
  </sheets>
  <definedNames>
    <definedName name="_xlnm._FilterDatabase" localSheetId="1" hidden="1">Clean_Reference!$A$1:$P$1501</definedName>
    <definedName name="_xlnm._FilterDatabase" localSheetId="0" hidden="1">Raw_Data!$A$1:$P$1504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2" i="2"/>
</calcChain>
</file>

<file path=xl/sharedStrings.xml><?xml version="1.0" encoding="utf-8"?>
<sst xmlns="http://schemas.openxmlformats.org/spreadsheetml/2006/main" count="15107" uniqueCount="1584">
  <si>
    <t>Record_ID</t>
  </si>
  <si>
    <t>Date</t>
  </si>
  <si>
    <t>City</t>
  </si>
  <si>
    <t>Region</t>
  </si>
  <si>
    <t>Monitoring_Station</t>
  </si>
  <si>
    <t>PM2.5_ug_m3</t>
  </si>
  <si>
    <t>PM10_ug_m3</t>
  </si>
  <si>
    <t>NO2_ug_m3</t>
  </si>
  <si>
    <t>SO2_ug_m3</t>
  </si>
  <si>
    <t>CO_mg_m3</t>
  </si>
  <si>
    <t>O3_ug_m3</t>
  </si>
  <si>
    <t>Temperature_C</t>
  </si>
  <si>
    <t>Humidity_Percent</t>
  </si>
  <si>
    <t>Wind_Speed_m_s</t>
  </si>
  <si>
    <t>AQI</t>
  </si>
  <si>
    <t>AQI_Category</t>
  </si>
  <si>
    <t>AQ100001</t>
  </si>
  <si>
    <t>Bhopal</t>
  </si>
  <si>
    <t>Central</t>
  </si>
  <si>
    <t>Station-01</t>
  </si>
  <si>
    <t>Very Poor</t>
  </si>
  <si>
    <t>AQ100002</t>
  </si>
  <si>
    <t>Chandigarh</t>
  </si>
  <si>
    <t>North</t>
  </si>
  <si>
    <t>Station-04</t>
  </si>
  <si>
    <t>AQ100003</t>
  </si>
  <si>
    <t>Delhi</t>
  </si>
  <si>
    <t>Station-11</t>
  </si>
  <si>
    <t>Poor</t>
  </si>
  <si>
    <t>AQ100004</t>
  </si>
  <si>
    <t>Mumbai</t>
  </si>
  <si>
    <t>West</t>
  </si>
  <si>
    <t>Station-09</t>
  </si>
  <si>
    <t>Moderate</t>
  </si>
  <si>
    <t>AQ100005</t>
  </si>
  <si>
    <t>Hyderabad</t>
  </si>
  <si>
    <t>South</t>
  </si>
  <si>
    <t>AQ100006</t>
  </si>
  <si>
    <t>Kolkata</t>
  </si>
  <si>
    <t>East</t>
  </si>
  <si>
    <t>Station-07</t>
  </si>
  <si>
    <t>AQ100007</t>
  </si>
  <si>
    <t>Jaipur</t>
  </si>
  <si>
    <t>Station-06</t>
  </si>
  <si>
    <t>AQ100008</t>
  </si>
  <si>
    <t>Station-13</t>
  </si>
  <si>
    <t>AQ100009</t>
  </si>
  <si>
    <t>AQ100010</t>
  </si>
  <si>
    <t>AQ100011</t>
  </si>
  <si>
    <t>AQ100012</t>
  </si>
  <si>
    <t>Ahmedabad</t>
  </si>
  <si>
    <t>AQ100013</t>
  </si>
  <si>
    <t>Pune</t>
  </si>
  <si>
    <t>AQ100014</t>
  </si>
  <si>
    <t>Indore</t>
  </si>
  <si>
    <t>Station-12</t>
  </si>
  <si>
    <t>AQ100015</t>
  </si>
  <si>
    <t>AQ100016</t>
  </si>
  <si>
    <t>Station-03</t>
  </si>
  <si>
    <t>AQ100017</t>
  </si>
  <si>
    <t>AQ100018</t>
  </si>
  <si>
    <t>Station-10</t>
  </si>
  <si>
    <t>AQ100019</t>
  </si>
  <si>
    <t>AQ100020</t>
  </si>
  <si>
    <t>Bengaluru</t>
  </si>
  <si>
    <t>AQ100021</t>
  </si>
  <si>
    <t>AQ100022</t>
  </si>
  <si>
    <t>Nagpur</t>
  </si>
  <si>
    <t>Station-02</t>
  </si>
  <si>
    <t>AQ100023</t>
  </si>
  <si>
    <t>Station-15</t>
  </si>
  <si>
    <t>Satisfactory</t>
  </si>
  <si>
    <t>AQ100024</t>
  </si>
  <si>
    <t>AQ100025</t>
  </si>
  <si>
    <t>Station-05</t>
  </si>
  <si>
    <t>AQ100026</t>
  </si>
  <si>
    <t>AQ100027</t>
  </si>
  <si>
    <t>Patna</t>
  </si>
  <si>
    <t>AQ100028</t>
  </si>
  <si>
    <t>AQ100029</t>
  </si>
  <si>
    <t>AQ100030</t>
  </si>
  <si>
    <t>Bhubaneswar</t>
  </si>
  <si>
    <t>AQ100031</t>
  </si>
  <si>
    <t>AQ100032</t>
  </si>
  <si>
    <t>AQ100033</t>
  </si>
  <si>
    <t>AQ100034</t>
  </si>
  <si>
    <t>AQ100035</t>
  </si>
  <si>
    <t>AQ100036</t>
  </si>
  <si>
    <t>AQ100037</t>
  </si>
  <si>
    <t>AQ100038</t>
  </si>
  <si>
    <t>AQ100039</t>
  </si>
  <si>
    <t>Station-14</t>
  </si>
  <si>
    <t>AQ100040</t>
  </si>
  <si>
    <t>Chennai</t>
  </si>
  <si>
    <t>AQ100041</t>
  </si>
  <si>
    <t>AQ100042</t>
  </si>
  <si>
    <t>AQ100043</t>
  </si>
  <si>
    <t>Station-08</t>
  </si>
  <si>
    <t>AQ100044</t>
  </si>
  <si>
    <t>Coimbatore</t>
  </si>
  <si>
    <t>AQ100045</t>
  </si>
  <si>
    <t>AQ100046</t>
  </si>
  <si>
    <t>AQ100047</t>
  </si>
  <si>
    <t>AQ100048</t>
  </si>
  <si>
    <t>AQ100049</t>
  </si>
  <si>
    <t>AQ100050</t>
  </si>
  <si>
    <t>AQ100051</t>
  </si>
  <si>
    <t>AQ100052</t>
  </si>
  <si>
    <t>AQ100053</t>
  </si>
  <si>
    <t>AQ100054</t>
  </si>
  <si>
    <t>AQ100055</t>
  </si>
  <si>
    <t>AQ100056</t>
  </si>
  <si>
    <t>AQ100057</t>
  </si>
  <si>
    <t>AQ100058</t>
  </si>
  <si>
    <t>AQ100059</t>
  </si>
  <si>
    <t>AQ100060</t>
  </si>
  <si>
    <t>AQ100061</t>
  </si>
  <si>
    <t>AQ100062</t>
  </si>
  <si>
    <t>AQ100063</t>
  </si>
  <si>
    <t>AQ100064</t>
  </si>
  <si>
    <t>AQ100065</t>
  </si>
  <si>
    <t>AQ100066</t>
  </si>
  <si>
    <t>AQ100067</t>
  </si>
  <si>
    <t>AQ100068</t>
  </si>
  <si>
    <t>AQ100069</t>
  </si>
  <si>
    <t>AQ100070</t>
  </si>
  <si>
    <t>AQ100071</t>
  </si>
  <si>
    <t>AQ100072</t>
  </si>
  <si>
    <t>AQ100073</t>
  </si>
  <si>
    <t>AQ100074</t>
  </si>
  <si>
    <t>AQ100075</t>
  </si>
  <si>
    <t>AQ100076</t>
  </si>
  <si>
    <t>AQ100077</t>
  </si>
  <si>
    <t>AQ100078</t>
  </si>
  <si>
    <t>AQ100079</t>
  </si>
  <si>
    <t>AQ100080</t>
  </si>
  <si>
    <t>AQ100081</t>
  </si>
  <si>
    <t>AQ100082</t>
  </si>
  <si>
    <t>AQ100083</t>
  </si>
  <si>
    <t>AQ100084</t>
  </si>
  <si>
    <t>AQ100085</t>
  </si>
  <si>
    <t>AQ100086</t>
  </si>
  <si>
    <t>AQ100087</t>
  </si>
  <si>
    <t>AQ100088</t>
  </si>
  <si>
    <t>AQ100089</t>
  </si>
  <si>
    <t>AQ100090</t>
  </si>
  <si>
    <t>AQ100091</t>
  </si>
  <si>
    <t>AQ100092</t>
  </si>
  <si>
    <t>AQ100093</t>
  </si>
  <si>
    <t>AQ100094</t>
  </si>
  <si>
    <t>AQ100095</t>
  </si>
  <si>
    <t>AQ100096</t>
  </si>
  <si>
    <t>AQ100097</t>
  </si>
  <si>
    <t>AQ100098</t>
  </si>
  <si>
    <t>AQ100099</t>
  </si>
  <si>
    <t>AQ100100</t>
  </si>
  <si>
    <t>AQ100101</t>
  </si>
  <si>
    <t>AQ100102</t>
  </si>
  <si>
    <t>AQ100103</t>
  </si>
  <si>
    <t>AQ100104</t>
  </si>
  <si>
    <t>AQ100105</t>
  </si>
  <si>
    <t>AQ100106</t>
  </si>
  <si>
    <t>AQ100107</t>
  </si>
  <si>
    <t>AQ100108</t>
  </si>
  <si>
    <t>AQ100109</t>
  </si>
  <si>
    <t>AQ100110</t>
  </si>
  <si>
    <t>AQ100111</t>
  </si>
  <si>
    <t>AQ100112</t>
  </si>
  <si>
    <t>AQ100113</t>
  </si>
  <si>
    <t>AQ100114</t>
  </si>
  <si>
    <t>AQ100115</t>
  </si>
  <si>
    <t>AQ100116</t>
  </si>
  <si>
    <t>AQ100117</t>
  </si>
  <si>
    <t>AQ100118</t>
  </si>
  <si>
    <t>AQ100119</t>
  </si>
  <si>
    <t>AQ100120</t>
  </si>
  <si>
    <t>AQ100121</t>
  </si>
  <si>
    <t>AQ100122</t>
  </si>
  <si>
    <t>AQ100123</t>
  </si>
  <si>
    <t>AQ100124</t>
  </si>
  <si>
    <t>AQ100125</t>
  </si>
  <si>
    <t>AQ100126</t>
  </si>
  <si>
    <t>AQ100127</t>
  </si>
  <si>
    <t>AQ100128</t>
  </si>
  <si>
    <t>AQ100129</t>
  </si>
  <si>
    <t>AQ100130</t>
  </si>
  <si>
    <t>AQ100131</t>
  </si>
  <si>
    <t>AQ100132</t>
  </si>
  <si>
    <t>AQ100133</t>
  </si>
  <si>
    <t>AQ100134</t>
  </si>
  <si>
    <t>AQ100135</t>
  </si>
  <si>
    <t>AQ100136</t>
  </si>
  <si>
    <t>AQ100137</t>
  </si>
  <si>
    <t>AQ100138</t>
  </si>
  <si>
    <t>AQ100139</t>
  </si>
  <si>
    <t>AQ100140</t>
  </si>
  <si>
    <t>AQ100141</t>
  </si>
  <si>
    <t>AQ100142</t>
  </si>
  <si>
    <t>AQ100143</t>
  </si>
  <si>
    <t>AQ100144</t>
  </si>
  <si>
    <t>AQ100145</t>
  </si>
  <si>
    <t>AQ100146</t>
  </si>
  <si>
    <t>AQ100147</t>
  </si>
  <si>
    <t>AQ100148</t>
  </si>
  <si>
    <t>AQ100149</t>
  </si>
  <si>
    <t>AQ100150</t>
  </si>
  <si>
    <t>AQ100151</t>
  </si>
  <si>
    <t>AQ100152</t>
  </si>
  <si>
    <t>AQ100153</t>
  </si>
  <si>
    <t>AQ100154</t>
  </si>
  <si>
    <t>AQ100155</t>
  </si>
  <si>
    <t>AQ100156</t>
  </si>
  <si>
    <t>AQ100157</t>
  </si>
  <si>
    <t>AQ100158</t>
  </si>
  <si>
    <t>AQ100159</t>
  </si>
  <si>
    <t>AQ100160</t>
  </si>
  <si>
    <t>AQ100161</t>
  </si>
  <si>
    <t>AQ100162</t>
  </si>
  <si>
    <t>AQ100163</t>
  </si>
  <si>
    <t>AQ100164</t>
  </si>
  <si>
    <t>AQ100165</t>
  </si>
  <si>
    <t>AQ100166</t>
  </si>
  <si>
    <t xml:space="preserve">Station-11 </t>
  </si>
  <si>
    <t>AQ100167</t>
  </si>
  <si>
    <t>AQ100168</t>
  </si>
  <si>
    <t>AQ100169</t>
  </si>
  <si>
    <t>AQ100170</t>
  </si>
  <si>
    <t>AQ100171</t>
  </si>
  <si>
    <t>AQ100172</t>
  </si>
  <si>
    <t>AQ100173</t>
  </si>
  <si>
    <t>AQ100174</t>
  </si>
  <si>
    <t>AQ100175</t>
  </si>
  <si>
    <t>AQ100176</t>
  </si>
  <si>
    <t>AQ100177</t>
  </si>
  <si>
    <t>AQ100178</t>
  </si>
  <si>
    <t>AQ100179</t>
  </si>
  <si>
    <t>AQ100180</t>
  </si>
  <si>
    <t>AQ100181</t>
  </si>
  <si>
    <t>AQ100182</t>
  </si>
  <si>
    <t>AQ100183</t>
  </si>
  <si>
    <t>AQ100184</t>
  </si>
  <si>
    <t>AQ100185</t>
  </si>
  <si>
    <t>AQ100186</t>
  </si>
  <si>
    <t>AQ100187</t>
  </si>
  <si>
    <t>AQ100188</t>
  </si>
  <si>
    <t>AQ100189</t>
  </si>
  <si>
    <t>AQ100190</t>
  </si>
  <si>
    <t>AQ100191</t>
  </si>
  <si>
    <t>AQ100192</t>
  </si>
  <si>
    <t>AQ100193</t>
  </si>
  <si>
    <t>AQ100194</t>
  </si>
  <si>
    <t>AQ100195</t>
  </si>
  <si>
    <t>AQ100196</t>
  </si>
  <si>
    <t>AQ100197</t>
  </si>
  <si>
    <t>AQ100198</t>
  </si>
  <si>
    <t>AQ100199</t>
  </si>
  <si>
    <t>AQ100200</t>
  </si>
  <si>
    <t>AQ100201</t>
  </si>
  <si>
    <t>AQ100202</t>
  </si>
  <si>
    <t>AQ100203</t>
  </si>
  <si>
    <t>AQ100204</t>
  </si>
  <si>
    <t>AQ100205</t>
  </si>
  <si>
    <t>AQ100206</t>
  </si>
  <si>
    <t xml:space="preserve">Station-04 </t>
  </si>
  <si>
    <t>AQ100207</t>
  </si>
  <si>
    <t>AQ100208</t>
  </si>
  <si>
    <t>AQ100209</t>
  </si>
  <si>
    <t>AQ100210</t>
  </si>
  <si>
    <t>AQ100211</t>
  </si>
  <si>
    <t>AQ100212</t>
  </si>
  <si>
    <t>AQ100213</t>
  </si>
  <si>
    <t>AQ100214</t>
  </si>
  <si>
    <t>AQ100215</t>
  </si>
  <si>
    <t>AQ100216</t>
  </si>
  <si>
    <t>AQ100217</t>
  </si>
  <si>
    <t>AQ100218</t>
  </si>
  <si>
    <t>AQ100219</t>
  </si>
  <si>
    <t>AQ100220</t>
  </si>
  <si>
    <t>AQ100221</t>
  </si>
  <si>
    <t>AQ100222</t>
  </si>
  <si>
    <t>AQ100223</t>
  </si>
  <si>
    <t>AQ100224</t>
  </si>
  <si>
    <t>AQ100225</t>
  </si>
  <si>
    <t>AQ100226</t>
  </si>
  <si>
    <t>AQ100227</t>
  </si>
  <si>
    <t>AQ100228</t>
  </si>
  <si>
    <t>AQ100229</t>
  </si>
  <si>
    <t>AQ100230</t>
  </si>
  <si>
    <t>AQ100231</t>
  </si>
  <si>
    <t>AQ100232</t>
  </si>
  <si>
    <t>AQ100233</t>
  </si>
  <si>
    <t>AQ100234</t>
  </si>
  <si>
    <t>AQ100235</t>
  </si>
  <si>
    <t>AQ100236</t>
  </si>
  <si>
    <t>AQ100237</t>
  </si>
  <si>
    <t>AQ100238</t>
  </si>
  <si>
    <t>AQ100239</t>
  </si>
  <si>
    <t>AQ100240</t>
  </si>
  <si>
    <t>AQ100241</t>
  </si>
  <si>
    <t>AQ100242</t>
  </si>
  <si>
    <t>AQ100243</t>
  </si>
  <si>
    <t>AQ100244</t>
  </si>
  <si>
    <t>AQ100245</t>
  </si>
  <si>
    <t>AQ100246</t>
  </si>
  <si>
    <t>AQ100247</t>
  </si>
  <si>
    <t>AQ100248</t>
  </si>
  <si>
    <t xml:space="preserve">Station-05 </t>
  </si>
  <si>
    <t>AQ100249</t>
  </si>
  <si>
    <t>AQ100250</t>
  </si>
  <si>
    <t>AQ100251</t>
  </si>
  <si>
    <t>AQ100252</t>
  </si>
  <si>
    <t>AQ100253</t>
  </si>
  <si>
    <t>AQ100254</t>
  </si>
  <si>
    <t>AQ100255</t>
  </si>
  <si>
    <t>AQ100256</t>
  </si>
  <si>
    <t>AQ100257</t>
  </si>
  <si>
    <t>AQ100258</t>
  </si>
  <si>
    <t>AQ100259</t>
  </si>
  <si>
    <t>AQ100260</t>
  </si>
  <si>
    <t>AQ100261</t>
  </si>
  <si>
    <t>AQ100262</t>
  </si>
  <si>
    <t>AQ100263</t>
  </si>
  <si>
    <t>AQ100264</t>
  </si>
  <si>
    <t>AQ100265</t>
  </si>
  <si>
    <t>AQ100266</t>
  </si>
  <si>
    <t>AQ100267</t>
  </si>
  <si>
    <t>AQ100268</t>
  </si>
  <si>
    <t>AQ100269</t>
  </si>
  <si>
    <t>AQ100270</t>
  </si>
  <si>
    <t>AQ100271</t>
  </si>
  <si>
    <t>AQ100272</t>
  </si>
  <si>
    <t>AQ100273</t>
  </si>
  <si>
    <t>AQ100274</t>
  </si>
  <si>
    <t>AQ100275</t>
  </si>
  <si>
    <t>AQ100276</t>
  </si>
  <si>
    <t>AQ100277</t>
  </si>
  <si>
    <t>AQ100278</t>
  </si>
  <si>
    <t>AQ100279</t>
  </si>
  <si>
    <t>AQ100280</t>
  </si>
  <si>
    <t>AQ100281</t>
  </si>
  <si>
    <t>AQ100282</t>
  </si>
  <si>
    <t>AQ100283</t>
  </si>
  <si>
    <t>AQ100284</t>
  </si>
  <si>
    <t>AQ100285</t>
  </si>
  <si>
    <t>AQ100286</t>
  </si>
  <si>
    <t>AQ100287</t>
  </si>
  <si>
    <t>AQ100288</t>
  </si>
  <si>
    <t>AQ100289</t>
  </si>
  <si>
    <t>AQ100290</t>
  </si>
  <si>
    <t>AQ100291</t>
  </si>
  <si>
    <t>AQ100292</t>
  </si>
  <si>
    <t>AQ100293</t>
  </si>
  <si>
    <t>AQ100294</t>
  </si>
  <si>
    <t>AQ100295</t>
  </si>
  <si>
    <t>AQ100296</t>
  </si>
  <si>
    <t>AQ100297</t>
  </si>
  <si>
    <t>AQ100298</t>
  </si>
  <si>
    <t>AQ100299</t>
  </si>
  <si>
    <t>AQ100300</t>
  </si>
  <si>
    <t>AQ100301</t>
  </si>
  <si>
    <t>AQ100302</t>
  </si>
  <si>
    <t>AQ100303</t>
  </si>
  <si>
    <t>AQ100304</t>
  </si>
  <si>
    <t>AQ100305</t>
  </si>
  <si>
    <t>AQ100306</t>
  </si>
  <si>
    <t>AQ100307</t>
  </si>
  <si>
    <t>AQ100308</t>
  </si>
  <si>
    <t>AQ100309</t>
  </si>
  <si>
    <t>AQ100310</t>
  </si>
  <si>
    <t>AQ100311</t>
  </si>
  <si>
    <t>AQ100312</t>
  </si>
  <si>
    <t>AQ100313</t>
  </si>
  <si>
    <t>AQ100314</t>
  </si>
  <si>
    <t>AQ100315</t>
  </si>
  <si>
    <t>AQ100316</t>
  </si>
  <si>
    <t>AQ100317</t>
  </si>
  <si>
    <t>AQ100318</t>
  </si>
  <si>
    <t>AQ100319</t>
  </si>
  <si>
    <t>AQ100320</t>
  </si>
  <si>
    <t>AQ100321</t>
  </si>
  <si>
    <t>AQ100322</t>
  </si>
  <si>
    <t>AQ100323</t>
  </si>
  <si>
    <t>AQ100324</t>
  </si>
  <si>
    <t>AQ100325</t>
  </si>
  <si>
    <t>AQ100326</t>
  </si>
  <si>
    <t>AQ100327</t>
  </si>
  <si>
    <t>AQ100328</t>
  </si>
  <si>
    <t>AQ100329</t>
  </si>
  <si>
    <t>AQ100330</t>
  </si>
  <si>
    <t>AQ100331</t>
  </si>
  <si>
    <t>AQ100332</t>
  </si>
  <si>
    <t>AQ100333</t>
  </si>
  <si>
    <t>AQ100334</t>
  </si>
  <si>
    <t>AQ100335</t>
  </si>
  <si>
    <t>AQ100336</t>
  </si>
  <si>
    <t>AQ100337</t>
  </si>
  <si>
    <t>AQ100338</t>
  </si>
  <si>
    <t>AQ100339</t>
  </si>
  <si>
    <t>AQ100340</t>
  </si>
  <si>
    <t>AQ100341</t>
  </si>
  <si>
    <t>AQ100342</t>
  </si>
  <si>
    <t>AQ100343</t>
  </si>
  <si>
    <t>AQ100344</t>
  </si>
  <si>
    <t>AQ100345</t>
  </si>
  <si>
    <t>AQ100346</t>
  </si>
  <si>
    <t>AQ100347</t>
  </si>
  <si>
    <t>AQ100348</t>
  </si>
  <si>
    <t>AQ100349</t>
  </si>
  <si>
    <t>AQ100350</t>
  </si>
  <si>
    <t>AQ100351</t>
  </si>
  <si>
    <t>AQ100352</t>
  </si>
  <si>
    <t>AQ100353</t>
  </si>
  <si>
    <t>AQ100354</t>
  </si>
  <si>
    <t>AQ100355</t>
  </si>
  <si>
    <t>AQ100356</t>
  </si>
  <si>
    <t>AQ100357</t>
  </si>
  <si>
    <t>AQ100358</t>
  </si>
  <si>
    <t>AQ100359</t>
  </si>
  <si>
    <t>AQ100360</t>
  </si>
  <si>
    <t>AQ100361</t>
  </si>
  <si>
    <t>AQ100362</t>
  </si>
  <si>
    <t>AQ100363</t>
  </si>
  <si>
    <t>AQ100364</t>
  </si>
  <si>
    <t>AQ100365</t>
  </si>
  <si>
    <t>AQ100366</t>
  </si>
  <si>
    <t>AQ100367</t>
  </si>
  <si>
    <t>AQ100368</t>
  </si>
  <si>
    <t>AQ100369</t>
  </si>
  <si>
    <t>AQ100370</t>
  </si>
  <si>
    <t xml:space="preserve">Bengaluru </t>
  </si>
  <si>
    <t>AQ100371</t>
  </si>
  <si>
    <t>AQ100372</t>
  </si>
  <si>
    <t>AQ100373</t>
  </si>
  <si>
    <t>AQ100374</t>
  </si>
  <si>
    <t>AQ100375</t>
  </si>
  <si>
    <t>AQ100376</t>
  </si>
  <si>
    <t>AQ100377</t>
  </si>
  <si>
    <t>AQ100378</t>
  </si>
  <si>
    <t>AQ100379</t>
  </si>
  <si>
    <t>AQ100380</t>
  </si>
  <si>
    <t>AQ100381</t>
  </si>
  <si>
    <t>AQ100382</t>
  </si>
  <si>
    <t>AQ100383</t>
  </si>
  <si>
    <t>AQ100384</t>
  </si>
  <si>
    <t>AQ100385</t>
  </si>
  <si>
    <t>AQ100386</t>
  </si>
  <si>
    <t>AQ100387</t>
  </si>
  <si>
    <t>AQ100388</t>
  </si>
  <si>
    <t>AQ100389</t>
  </si>
  <si>
    <t>AQ100390</t>
  </si>
  <si>
    <t>AQ100391</t>
  </si>
  <si>
    <t>AQ100392</t>
  </si>
  <si>
    <t>AQ100393</t>
  </si>
  <si>
    <t>AQ100394</t>
  </si>
  <si>
    <t>AQ100395</t>
  </si>
  <si>
    <t>AQ100396</t>
  </si>
  <si>
    <t>AQ100397</t>
  </si>
  <si>
    <t>AQ100398</t>
  </si>
  <si>
    <t>AQ100399</t>
  </si>
  <si>
    <t>AQ100400</t>
  </si>
  <si>
    <t>AQ100401</t>
  </si>
  <si>
    <t>AQ100402</t>
  </si>
  <si>
    <t>AQ100403</t>
  </si>
  <si>
    <t>AQ100404</t>
  </si>
  <si>
    <t>AQ100405</t>
  </si>
  <si>
    <t>AQ100406</t>
  </si>
  <si>
    <t>AQ100407</t>
  </si>
  <si>
    <t>AQ100408</t>
  </si>
  <si>
    <t>AQ100409</t>
  </si>
  <si>
    <t>AQ100410</t>
  </si>
  <si>
    <t>AQ100411</t>
  </si>
  <si>
    <t>AQ100412</t>
  </si>
  <si>
    <t>AQ100413</t>
  </si>
  <si>
    <t>AQ100414</t>
  </si>
  <si>
    <t>AQ100415</t>
  </si>
  <si>
    <t>AQ100416</t>
  </si>
  <si>
    <t>AQ100417</t>
  </si>
  <si>
    <t>AQ100418</t>
  </si>
  <si>
    <t>AQ100419</t>
  </si>
  <si>
    <t>AQ100420</t>
  </si>
  <si>
    <t>AQ100421</t>
  </si>
  <si>
    <t>AQ100422</t>
  </si>
  <si>
    <t>AQ100423</t>
  </si>
  <si>
    <t>AQ100424</t>
  </si>
  <si>
    <t>AQ100425</t>
  </si>
  <si>
    <t>AQ100426</t>
  </si>
  <si>
    <t>AQ100427</t>
  </si>
  <si>
    <t>AQ100428</t>
  </si>
  <si>
    <t>AQ100429</t>
  </si>
  <si>
    <t>AQ100430</t>
  </si>
  <si>
    <t>AQ100431</t>
  </si>
  <si>
    <t>AQ100432</t>
  </si>
  <si>
    <t>AQ100433</t>
  </si>
  <si>
    <t>AQ100434</t>
  </si>
  <si>
    <t>AQ100435</t>
  </si>
  <si>
    <t>AQ100436</t>
  </si>
  <si>
    <t>AQ100437</t>
  </si>
  <si>
    <t>AQ100438</t>
  </si>
  <si>
    <t>AQ100439</t>
  </si>
  <si>
    <t>AQ100440</t>
  </si>
  <si>
    <t>AQ100441</t>
  </si>
  <si>
    <t>AQ100442</t>
  </si>
  <si>
    <t>AQ100443</t>
  </si>
  <si>
    <t>AQ100444</t>
  </si>
  <si>
    <t>AQ100445</t>
  </si>
  <si>
    <t>AQ100446</t>
  </si>
  <si>
    <t>AQ100447</t>
  </si>
  <si>
    <t>AQ100448</t>
  </si>
  <si>
    <t>AQ100449</t>
  </si>
  <si>
    <t>AQ100450</t>
  </si>
  <si>
    <t>AQ100451</t>
  </si>
  <si>
    <t>AQ100452</t>
  </si>
  <si>
    <t>AQ100453</t>
  </si>
  <si>
    <t>AQ100454</t>
  </si>
  <si>
    <t>AQ100455</t>
  </si>
  <si>
    <t>AQ100456</t>
  </si>
  <si>
    <t>AQ100457</t>
  </si>
  <si>
    <t>AQ100458</t>
  </si>
  <si>
    <t>AQ100459</t>
  </si>
  <si>
    <t>AQ100460</t>
  </si>
  <si>
    <t>AQ100461</t>
  </si>
  <si>
    <t>AQ100462</t>
  </si>
  <si>
    <t>AQ100463</t>
  </si>
  <si>
    <t>AQ100464</t>
  </si>
  <si>
    <t>AQ100465</t>
  </si>
  <si>
    <t>AQ100466</t>
  </si>
  <si>
    <t>AQ100467</t>
  </si>
  <si>
    <t>AQ100468</t>
  </si>
  <si>
    <t>AQ100469</t>
  </si>
  <si>
    <t>AQ100470</t>
  </si>
  <si>
    <t>AQ100471</t>
  </si>
  <si>
    <t>AQ100472</t>
  </si>
  <si>
    <t>AQ100473</t>
  </si>
  <si>
    <t>AQ100474</t>
  </si>
  <si>
    <t>AQ100475</t>
  </si>
  <si>
    <t>AQ100476</t>
  </si>
  <si>
    <t>AQ100477</t>
  </si>
  <si>
    <t>AQ100478</t>
  </si>
  <si>
    <t xml:space="preserve">Hyderabad </t>
  </si>
  <si>
    <t>AQ100479</t>
  </si>
  <si>
    <t>AQ100480</t>
  </si>
  <si>
    <t>AQ100481</t>
  </si>
  <si>
    <t>AQ100482</t>
  </si>
  <si>
    <t>AQ100483</t>
  </si>
  <si>
    <t>AQ100484</t>
  </si>
  <si>
    <t>AQ100485</t>
  </si>
  <si>
    <t>AQ100486</t>
  </si>
  <si>
    <t>AQ100487</t>
  </si>
  <si>
    <t>AQ100488</t>
  </si>
  <si>
    <t>AQ100489</t>
  </si>
  <si>
    <t>AQ100490</t>
  </si>
  <si>
    <t>AQ100491</t>
  </si>
  <si>
    <t>AQ100492</t>
  </si>
  <si>
    <t>AQ100493</t>
  </si>
  <si>
    <t>AQ100494</t>
  </si>
  <si>
    <t>AQ100495</t>
  </si>
  <si>
    <t>AQ100496</t>
  </si>
  <si>
    <t>AQ100497</t>
  </si>
  <si>
    <t>AQ100498</t>
  </si>
  <si>
    <t>AQ100499</t>
  </si>
  <si>
    <t>AQ100500</t>
  </si>
  <si>
    <t>AQ100501</t>
  </si>
  <si>
    <t>AQ100502</t>
  </si>
  <si>
    <t>AQ100503</t>
  </si>
  <si>
    <t>AQ100504</t>
  </si>
  <si>
    <t>AQ100505</t>
  </si>
  <si>
    <t>AQ100506</t>
  </si>
  <si>
    <t>AQ100507</t>
  </si>
  <si>
    <t>AQ100508</t>
  </si>
  <si>
    <t>AQ100509</t>
  </si>
  <si>
    <t>AQ100510</t>
  </si>
  <si>
    <t>AQ100511</t>
  </si>
  <si>
    <t>AQ100512</t>
  </si>
  <si>
    <t>AQ100513</t>
  </si>
  <si>
    <t>AQ100514</t>
  </si>
  <si>
    <t>AQ100515</t>
  </si>
  <si>
    <t>AQ100516</t>
  </si>
  <si>
    <t>AQ100517</t>
  </si>
  <si>
    <t>AQ100518</t>
  </si>
  <si>
    <t>AQ100519</t>
  </si>
  <si>
    <t>AQ100520</t>
  </si>
  <si>
    <t>AQ100521</t>
  </si>
  <si>
    <t>AQ100522</t>
  </si>
  <si>
    <t>AQ100523</t>
  </si>
  <si>
    <t>AQ100524</t>
  </si>
  <si>
    <t>AQ100525</t>
  </si>
  <si>
    <t>AQ100526</t>
  </si>
  <si>
    <t>AQ100527</t>
  </si>
  <si>
    <t>AQ100528</t>
  </si>
  <si>
    <t>AQ100529</t>
  </si>
  <si>
    <t>AQ100530</t>
  </si>
  <si>
    <t>AQ100531</t>
  </si>
  <si>
    <t>AQ100532</t>
  </si>
  <si>
    <t>AQ100533</t>
  </si>
  <si>
    <t>AQ100534</t>
  </si>
  <si>
    <t>AQ100535</t>
  </si>
  <si>
    <t>AQ100536</t>
  </si>
  <si>
    <t>AQ100537</t>
  </si>
  <si>
    <t>AQ100538</t>
  </si>
  <si>
    <t>AQ100539</t>
  </si>
  <si>
    <t>AQ100540</t>
  </si>
  <si>
    <t>AQ100541</t>
  </si>
  <si>
    <t>AQ100542</t>
  </si>
  <si>
    <t>AQ100543</t>
  </si>
  <si>
    <t>AQ100544</t>
  </si>
  <si>
    <t>AQ100545</t>
  </si>
  <si>
    <t>AQ100546</t>
  </si>
  <si>
    <t>AQ100547</t>
  </si>
  <si>
    <t>AQ100548</t>
  </si>
  <si>
    <t>AQ100549</t>
  </si>
  <si>
    <t>AQ100550</t>
  </si>
  <si>
    <t>AQ100551</t>
  </si>
  <si>
    <t>AQ100552</t>
  </si>
  <si>
    <t>AQ100553</t>
  </si>
  <si>
    <t>AQ100554</t>
  </si>
  <si>
    <t>AQ100555</t>
  </si>
  <si>
    <t>AQ100556</t>
  </si>
  <si>
    <t>AQ100557</t>
  </si>
  <si>
    <t>AQ100558</t>
  </si>
  <si>
    <t>AQ100559</t>
  </si>
  <si>
    <t>AQ100560</t>
  </si>
  <si>
    <t>AQ100561</t>
  </si>
  <si>
    <t>AQ100562</t>
  </si>
  <si>
    <t>AQ100563</t>
  </si>
  <si>
    <t>AQ100564</t>
  </si>
  <si>
    <t>AQ100565</t>
  </si>
  <si>
    <t>AQ100566</t>
  </si>
  <si>
    <t>AQ100567</t>
  </si>
  <si>
    <t>AQ100568</t>
  </si>
  <si>
    <t>AQ100569</t>
  </si>
  <si>
    <t>AQ100570</t>
  </si>
  <si>
    <t>AQ100571</t>
  </si>
  <si>
    <t>AQ100572</t>
  </si>
  <si>
    <t>AQ100573</t>
  </si>
  <si>
    <t>AQ100574</t>
  </si>
  <si>
    <t>AQ100575</t>
  </si>
  <si>
    <t>AQ100576</t>
  </si>
  <si>
    <t>AQ100577</t>
  </si>
  <si>
    <t>AQ100578</t>
  </si>
  <si>
    <t>AQ100579</t>
  </si>
  <si>
    <t>AQ100580</t>
  </si>
  <si>
    <t>AQ100581</t>
  </si>
  <si>
    <t>AQ100582</t>
  </si>
  <si>
    <t>AQ100583</t>
  </si>
  <si>
    <t>AQ100584</t>
  </si>
  <si>
    <t>AQ100585</t>
  </si>
  <si>
    <t>AQ100586</t>
  </si>
  <si>
    <t>AQ100587</t>
  </si>
  <si>
    <t>AQ100588</t>
  </si>
  <si>
    <t>AQ100589</t>
  </si>
  <si>
    <t>AQ100590</t>
  </si>
  <si>
    <t>AQ100591</t>
  </si>
  <si>
    <t>AQ100592</t>
  </si>
  <si>
    <t>AQ100593</t>
  </si>
  <si>
    <t>AQ100594</t>
  </si>
  <si>
    <t>AQ100595</t>
  </si>
  <si>
    <t>AQ100596</t>
  </si>
  <si>
    <t>AQ100597</t>
  </si>
  <si>
    <t>AQ100598</t>
  </si>
  <si>
    <t>AQ100599</t>
  </si>
  <si>
    <t>AQ100600</t>
  </si>
  <si>
    <t>AQ100601</t>
  </si>
  <si>
    <t>AQ100602</t>
  </si>
  <si>
    <t>AQ100603</t>
  </si>
  <si>
    <t>AQ100604</t>
  </si>
  <si>
    <t>AQ100605</t>
  </si>
  <si>
    <t xml:space="preserve">Bhopal </t>
  </si>
  <si>
    <t>AQ100606</t>
  </si>
  <si>
    <t>AQ100607</t>
  </si>
  <si>
    <t>AQ100608</t>
  </si>
  <si>
    <t>AQ100609</t>
  </si>
  <si>
    <t>AQ100610</t>
  </si>
  <si>
    <t>AQ100611</t>
  </si>
  <si>
    <t>AQ100612</t>
  </si>
  <si>
    <t>AQ100613</t>
  </si>
  <si>
    <t>AQ100614</t>
  </si>
  <si>
    <t>AQ100615</t>
  </si>
  <si>
    <t>AQ100616</t>
  </si>
  <si>
    <t>AQ100617</t>
  </si>
  <si>
    <t>AQ100618</t>
  </si>
  <si>
    <t>AQ100619</t>
  </si>
  <si>
    <t>AQ100620</t>
  </si>
  <si>
    <t>AQ100621</t>
  </si>
  <si>
    <t>AQ100622</t>
  </si>
  <si>
    <t>AQ100623</t>
  </si>
  <si>
    <t>AQ100624</t>
  </si>
  <si>
    <t>AQ100625</t>
  </si>
  <si>
    <t>AQ100626</t>
  </si>
  <si>
    <t>AQ100627</t>
  </si>
  <si>
    <t>AQ100628</t>
  </si>
  <si>
    <t>AQ100629</t>
  </si>
  <si>
    <t>AQ100630</t>
  </si>
  <si>
    <t>AQ100631</t>
  </si>
  <si>
    <t>AQ100632</t>
  </si>
  <si>
    <t>AQ100633</t>
  </si>
  <si>
    <t>AQ100634</t>
  </si>
  <si>
    <t>AQ100635</t>
  </si>
  <si>
    <t>AQ100636</t>
  </si>
  <si>
    <t>AQ100637</t>
  </si>
  <si>
    <t>AQ100638</t>
  </si>
  <si>
    <t>AQ100639</t>
  </si>
  <si>
    <t>AQ100640</t>
  </si>
  <si>
    <t>AQ100641</t>
  </si>
  <si>
    <t>AQ100642</t>
  </si>
  <si>
    <t>AQ100643</t>
  </si>
  <si>
    <t>AQ100644</t>
  </si>
  <si>
    <t>AQ100645</t>
  </si>
  <si>
    <t>AQ100646</t>
  </si>
  <si>
    <t>AQ100647</t>
  </si>
  <si>
    <t>AQ100648</t>
  </si>
  <si>
    <t>AQ100649</t>
  </si>
  <si>
    <t>AQ100650</t>
  </si>
  <si>
    <t>AQ100651</t>
  </si>
  <si>
    <t>AQ100652</t>
  </si>
  <si>
    <t>AQ100653</t>
  </si>
  <si>
    <t>AQ100654</t>
  </si>
  <si>
    <t>AQ100655</t>
  </si>
  <si>
    <t>AQ100656</t>
  </si>
  <si>
    <t>AQ100657</t>
  </si>
  <si>
    <t>AQ100658</t>
  </si>
  <si>
    <t>AQ100659</t>
  </si>
  <si>
    <t>AQ100660</t>
  </si>
  <si>
    <t>AQ100661</t>
  </si>
  <si>
    <t>AQ100662</t>
  </si>
  <si>
    <t>AQ100663</t>
  </si>
  <si>
    <t>AQ100664</t>
  </si>
  <si>
    <t>AQ100665</t>
  </si>
  <si>
    <t>AQ100666</t>
  </si>
  <si>
    <t>AQ100667</t>
  </si>
  <si>
    <t>AQ100668</t>
  </si>
  <si>
    <t>AQ100669</t>
  </si>
  <si>
    <t>AQ100670</t>
  </si>
  <si>
    <t>AQ100671</t>
  </si>
  <si>
    <t>AQ100672</t>
  </si>
  <si>
    <t>AQ100673</t>
  </si>
  <si>
    <t>AQ100674</t>
  </si>
  <si>
    <t>AQ100675</t>
  </si>
  <si>
    <t>AQ100676</t>
  </si>
  <si>
    <t>AQ100677</t>
  </si>
  <si>
    <t>AQ100678</t>
  </si>
  <si>
    <t>AQ100679</t>
  </si>
  <si>
    <t>AQ100680</t>
  </si>
  <si>
    <t>AQ100681</t>
  </si>
  <si>
    <t>AQ100682</t>
  </si>
  <si>
    <t>AQ100683</t>
  </si>
  <si>
    <t>AQ100684</t>
  </si>
  <si>
    <t>AQ100685</t>
  </si>
  <si>
    <t>AQ100686</t>
  </si>
  <si>
    <t>AQ100687</t>
  </si>
  <si>
    <t>AQ100688</t>
  </si>
  <si>
    <t>AQ100689</t>
  </si>
  <si>
    <t>AQ100690</t>
  </si>
  <si>
    <t>AQ100691</t>
  </si>
  <si>
    <t>AQ100692</t>
  </si>
  <si>
    <t>AQ100693</t>
  </si>
  <si>
    <t>AQ100694</t>
  </si>
  <si>
    <t>AQ100695</t>
  </si>
  <si>
    <t>AQ100696</t>
  </si>
  <si>
    <t>AQ100697</t>
  </si>
  <si>
    <t>AQ100698</t>
  </si>
  <si>
    <t>AQ100699</t>
  </si>
  <si>
    <t>AQ100700</t>
  </si>
  <si>
    <t>AQ100701</t>
  </si>
  <si>
    <t>AQ100702</t>
  </si>
  <si>
    <t>AQ100703</t>
  </si>
  <si>
    <t>AQ100704</t>
  </si>
  <si>
    <t>AQ100705</t>
  </si>
  <si>
    <t>AQ100706</t>
  </si>
  <si>
    <t>AQ100707</t>
  </si>
  <si>
    <t>AQ100708</t>
  </si>
  <si>
    <t>AQ100709</t>
  </si>
  <si>
    <t>AQ100710</t>
  </si>
  <si>
    <t>AQ100711</t>
  </si>
  <si>
    <t>AQ100712</t>
  </si>
  <si>
    <t>AQ100713</t>
  </si>
  <si>
    <t>AQ100714</t>
  </si>
  <si>
    <t>AQ100715</t>
  </si>
  <si>
    <t>AQ100716</t>
  </si>
  <si>
    <t>AQ100717</t>
  </si>
  <si>
    <t>AQ100718</t>
  </si>
  <si>
    <t>AQ100719</t>
  </si>
  <si>
    <t>AQ100720</t>
  </si>
  <si>
    <t>AQ100721</t>
  </si>
  <si>
    <t>AQ100722</t>
  </si>
  <si>
    <t>AQ100723</t>
  </si>
  <si>
    <t>AQ100724</t>
  </si>
  <si>
    <t>AQ100725</t>
  </si>
  <si>
    <t>AQ100726</t>
  </si>
  <si>
    <t>AQ100727</t>
  </si>
  <si>
    <t>AQ100728</t>
  </si>
  <si>
    <t>AQ100729</t>
  </si>
  <si>
    <t>AQ100730</t>
  </si>
  <si>
    <t>AQ100731</t>
  </si>
  <si>
    <t>AQ100732</t>
  </si>
  <si>
    <t>AQ100733</t>
  </si>
  <si>
    <t>AQ100734</t>
  </si>
  <si>
    <t>AQ100735</t>
  </si>
  <si>
    <t>AQ100736</t>
  </si>
  <si>
    <t>AQ100737</t>
  </si>
  <si>
    <t>AQ100738</t>
  </si>
  <si>
    <t>AQ100739</t>
  </si>
  <si>
    <t>AQ100740</t>
  </si>
  <si>
    <t>AQ100741</t>
  </si>
  <si>
    <t>AQ100742</t>
  </si>
  <si>
    <t>AQ100743</t>
  </si>
  <si>
    <t>AQ100744</t>
  </si>
  <si>
    <t>AQ100745</t>
  </si>
  <si>
    <t>AQ100746</t>
  </si>
  <si>
    <t>AQ100747</t>
  </si>
  <si>
    <t>AQ100748</t>
  </si>
  <si>
    <t>AQ100749</t>
  </si>
  <si>
    <t>AQ100750</t>
  </si>
  <si>
    <t>AQ100751</t>
  </si>
  <si>
    <t>AQ100752</t>
  </si>
  <si>
    <t>AQ100753</t>
  </si>
  <si>
    <t>AQ100754</t>
  </si>
  <si>
    <t>AQ100755</t>
  </si>
  <si>
    <t>AQ100756</t>
  </si>
  <si>
    <t>AQ100757</t>
  </si>
  <si>
    <t>AQ100758</t>
  </si>
  <si>
    <t>AQ100759</t>
  </si>
  <si>
    <t>AQ100760</t>
  </si>
  <si>
    <t>AQ100761</t>
  </si>
  <si>
    <t>AQ100762</t>
  </si>
  <si>
    <t>AQ100763</t>
  </si>
  <si>
    <t>AQ100764</t>
  </si>
  <si>
    <t>AQ100765</t>
  </si>
  <si>
    <t>AQ100766</t>
  </si>
  <si>
    <t>AQ100767</t>
  </si>
  <si>
    <t>AQ100768</t>
  </si>
  <si>
    <t>AQ100769</t>
  </si>
  <si>
    <t>AQ100770</t>
  </si>
  <si>
    <t>AQ100771</t>
  </si>
  <si>
    <t>AQ100772</t>
  </si>
  <si>
    <t>AQ100773</t>
  </si>
  <si>
    <t>AQ100774</t>
  </si>
  <si>
    <t>AQ100775</t>
  </si>
  <si>
    <t>AQ100776</t>
  </si>
  <si>
    <t>AQ100777</t>
  </si>
  <si>
    <t>AQ100778</t>
  </si>
  <si>
    <t>AQ100779</t>
  </si>
  <si>
    <t>AQ100780</t>
  </si>
  <si>
    <t>AQ100781</t>
  </si>
  <si>
    <t>AQ100782</t>
  </si>
  <si>
    <t>AQ100783</t>
  </si>
  <si>
    <t>AQ100784</t>
  </si>
  <si>
    <t>AQ100785</t>
  </si>
  <si>
    <t>AQ100786</t>
  </si>
  <si>
    <t>AQ100787</t>
  </si>
  <si>
    <t>AQ100788</t>
  </si>
  <si>
    <t>AQ100789</t>
  </si>
  <si>
    <t>AQ100790</t>
  </si>
  <si>
    <t>AQ100791</t>
  </si>
  <si>
    <t>AQ100792</t>
  </si>
  <si>
    <t>AQ100793</t>
  </si>
  <si>
    <t>AQ100794</t>
  </si>
  <si>
    <t>AQ100795</t>
  </si>
  <si>
    <t>AQ100796</t>
  </si>
  <si>
    <t>AQ100797</t>
  </si>
  <si>
    <t>AQ100798</t>
  </si>
  <si>
    <t>AQ100799</t>
  </si>
  <si>
    <t>AQ100800</t>
  </si>
  <si>
    <t>AQ100801</t>
  </si>
  <si>
    <t>AQ100802</t>
  </si>
  <si>
    <t>AQ100803</t>
  </si>
  <si>
    <t>AQ100804</t>
  </si>
  <si>
    <t>AQ100805</t>
  </si>
  <si>
    <t>AQ100806</t>
  </si>
  <si>
    <t>AQ100807</t>
  </si>
  <si>
    <t>AQ100808</t>
  </si>
  <si>
    <t>AQ100809</t>
  </si>
  <si>
    <t>AQ100810</t>
  </si>
  <si>
    <t>AQ100811</t>
  </si>
  <si>
    <t>AQ100812</t>
  </si>
  <si>
    <t>AQ100813</t>
  </si>
  <si>
    <t>AQ100814</t>
  </si>
  <si>
    <t>AQ100815</t>
  </si>
  <si>
    <t>AQ100816</t>
  </si>
  <si>
    <t>AQ100817</t>
  </si>
  <si>
    <t>AQ100818</t>
  </si>
  <si>
    <t>AQ100819</t>
  </si>
  <si>
    <t>AQ100820</t>
  </si>
  <si>
    <t>AQ100821</t>
  </si>
  <si>
    <t>AQ100822</t>
  </si>
  <si>
    <t>AQ100823</t>
  </si>
  <si>
    <t>AQ100824</t>
  </si>
  <si>
    <t>AQ100825</t>
  </si>
  <si>
    <t>AQ100826</t>
  </si>
  <si>
    <t>AQ100827</t>
  </si>
  <si>
    <t>AQ100828</t>
  </si>
  <si>
    <t>AQ100829</t>
  </si>
  <si>
    <t>AQ100830</t>
  </si>
  <si>
    <t>AQ100831</t>
  </si>
  <si>
    <t>AQ100832</t>
  </si>
  <si>
    <t>AQ100833</t>
  </si>
  <si>
    <t>AQ100834</t>
  </si>
  <si>
    <t>AQ100835</t>
  </si>
  <si>
    <t>AQ100836</t>
  </si>
  <si>
    <t>AQ100837</t>
  </si>
  <si>
    <t>AQ100838</t>
  </si>
  <si>
    <t>AQ100839</t>
  </si>
  <si>
    <t>AQ100840</t>
  </si>
  <si>
    <t>AQ100841</t>
  </si>
  <si>
    <t>AQ100842</t>
  </si>
  <si>
    <t>AQ100843</t>
  </si>
  <si>
    <t>AQ100844</t>
  </si>
  <si>
    <t>AQ100845</t>
  </si>
  <si>
    <t>AQ100846</t>
  </si>
  <si>
    <t>AQ100847</t>
  </si>
  <si>
    <t>AQ100848</t>
  </si>
  <si>
    <t>AQ100849</t>
  </si>
  <si>
    <t>AQ100850</t>
  </si>
  <si>
    <t>AQ100851</t>
  </si>
  <si>
    <t>AQ100852</t>
  </si>
  <si>
    <t>AQ100853</t>
  </si>
  <si>
    <t>AQ100854</t>
  </si>
  <si>
    <t>AQ100855</t>
  </si>
  <si>
    <t>AQ100856</t>
  </si>
  <si>
    <t>AQ100857</t>
  </si>
  <si>
    <t>AQ100858</t>
  </si>
  <si>
    <t>AQ100859</t>
  </si>
  <si>
    <t>AQ100860</t>
  </si>
  <si>
    <t>AQ100861</t>
  </si>
  <si>
    <t>AQ100862</t>
  </si>
  <si>
    <t>AQ100863</t>
  </si>
  <si>
    <t>AQ100864</t>
  </si>
  <si>
    <t xml:space="preserve">Station-06 </t>
  </si>
  <si>
    <t>AQ100865</t>
  </si>
  <si>
    <t>AQ100866</t>
  </si>
  <si>
    <t>AQ100867</t>
  </si>
  <si>
    <t>AQ100868</t>
  </si>
  <si>
    <t>AQ100869</t>
  </si>
  <si>
    <t>AQ100870</t>
  </si>
  <si>
    <t>AQ100871</t>
  </si>
  <si>
    <t>AQ100872</t>
  </si>
  <si>
    <t>AQ100873</t>
  </si>
  <si>
    <t>AQ100874</t>
  </si>
  <si>
    <t>AQ100875</t>
  </si>
  <si>
    <t>AQ100876</t>
  </si>
  <si>
    <t>AQ100877</t>
  </si>
  <si>
    <t>AQ100878</t>
  </si>
  <si>
    <t>AQ100879</t>
  </si>
  <si>
    <t>AQ100880</t>
  </si>
  <si>
    <t>AQ100881</t>
  </si>
  <si>
    <t>AQ100882</t>
  </si>
  <si>
    <t>AQ100883</t>
  </si>
  <si>
    <t>AQ100884</t>
  </si>
  <si>
    <t>AQ100885</t>
  </si>
  <si>
    <t>AQ100886</t>
  </si>
  <si>
    <t>AQ100887</t>
  </si>
  <si>
    <t>AQ100888</t>
  </si>
  <si>
    <t>AQ100889</t>
  </si>
  <si>
    <t>AQ100890</t>
  </si>
  <si>
    <t>AQ100891</t>
  </si>
  <si>
    <t>AQ100892</t>
  </si>
  <si>
    <t>AQ100893</t>
  </si>
  <si>
    <t>AQ100894</t>
  </si>
  <si>
    <t>AQ100895</t>
  </si>
  <si>
    <t>AQ100896</t>
  </si>
  <si>
    <t>AQ100897</t>
  </si>
  <si>
    <t>AQ100898</t>
  </si>
  <si>
    <t>AQ100899</t>
  </si>
  <si>
    <t>AQ100900</t>
  </si>
  <si>
    <t>AQ100901</t>
  </si>
  <si>
    <t>AQ100902</t>
  </si>
  <si>
    <t>AQ100903</t>
  </si>
  <si>
    <t>AQ100904</t>
  </si>
  <si>
    <t>AQ100905</t>
  </si>
  <si>
    <t>AQ100906</t>
  </si>
  <si>
    <t>AQ100907</t>
  </si>
  <si>
    <t>AQ100908</t>
  </si>
  <si>
    <t>AQ100909</t>
  </si>
  <si>
    <t>AQ100910</t>
  </si>
  <si>
    <t>AQ100911</t>
  </si>
  <si>
    <t>AQ100912</t>
  </si>
  <si>
    <t>AQ100913</t>
  </si>
  <si>
    <t>AQ100914</t>
  </si>
  <si>
    <t>AQ100915</t>
  </si>
  <si>
    <t>AQ100916</t>
  </si>
  <si>
    <t>AQ100917</t>
  </si>
  <si>
    <t>AQ100918</t>
  </si>
  <si>
    <t>AQ100919</t>
  </si>
  <si>
    <t>AQ100920</t>
  </si>
  <si>
    <t xml:space="preserve">Station-12 </t>
  </si>
  <si>
    <t>AQ100921</t>
  </si>
  <si>
    <t>AQ100922</t>
  </si>
  <si>
    <t>AQ100923</t>
  </si>
  <si>
    <t>AQ100924</t>
  </si>
  <si>
    <t>AQ100925</t>
  </si>
  <si>
    <t>AQ100926</t>
  </si>
  <si>
    <t>AQ100927</t>
  </si>
  <si>
    <t>AQ100928</t>
  </si>
  <si>
    <t>AQ100929</t>
  </si>
  <si>
    <t>AQ100930</t>
  </si>
  <si>
    <t>AQ100931</t>
  </si>
  <si>
    <t>AQ100932</t>
  </si>
  <si>
    <t>AQ100933</t>
  </si>
  <si>
    <t>AQ100934</t>
  </si>
  <si>
    <t>AQ100935</t>
  </si>
  <si>
    <t>AQ100936</t>
  </si>
  <si>
    <t>AQ100937</t>
  </si>
  <si>
    <t>AQ100938</t>
  </si>
  <si>
    <t>AQ100939</t>
  </si>
  <si>
    <t>AQ100940</t>
  </si>
  <si>
    <t>AQ100941</t>
  </si>
  <si>
    <t>AQ100942</t>
  </si>
  <si>
    <t>AQ100943</t>
  </si>
  <si>
    <t>AQ100944</t>
  </si>
  <si>
    <t>AQ100945</t>
  </si>
  <si>
    <t>AQ100946</t>
  </si>
  <si>
    <t>AQ100947</t>
  </si>
  <si>
    <t>AQ100948</t>
  </si>
  <si>
    <t>AQ100949</t>
  </si>
  <si>
    <t>AQ100950</t>
  </si>
  <si>
    <t>AQ100951</t>
  </si>
  <si>
    <t>AQ100952</t>
  </si>
  <si>
    <t>AQ100953</t>
  </si>
  <si>
    <t>AQ100954</t>
  </si>
  <si>
    <t>AQ100955</t>
  </si>
  <si>
    <t>AQ100956</t>
  </si>
  <si>
    <t>AQ100957</t>
  </si>
  <si>
    <t>AQ100958</t>
  </si>
  <si>
    <t>AQ100959</t>
  </si>
  <si>
    <t>AQ100960</t>
  </si>
  <si>
    <t>AQ100961</t>
  </si>
  <si>
    <t xml:space="preserve">Jaipur </t>
  </si>
  <si>
    <t>AQ100962</t>
  </si>
  <si>
    <t>AQ100963</t>
  </si>
  <si>
    <t>AQ100964</t>
  </si>
  <si>
    <t>AQ100965</t>
  </si>
  <si>
    <t>AQ100966</t>
  </si>
  <si>
    <t>AQ100967</t>
  </si>
  <si>
    <t>AQ100968</t>
  </si>
  <si>
    <t>AQ100969</t>
  </si>
  <si>
    <t>AQ100970</t>
  </si>
  <si>
    <t>AQ100971</t>
  </si>
  <si>
    <t>AQ100972</t>
  </si>
  <si>
    <t>AQ100973</t>
  </si>
  <si>
    <t>AQ100974</t>
  </si>
  <si>
    <t>AQ100975</t>
  </si>
  <si>
    <t>AQ100976</t>
  </si>
  <si>
    <t>AQ100977</t>
  </si>
  <si>
    <t>AQ100978</t>
  </si>
  <si>
    <t>AQ100979</t>
  </si>
  <si>
    <t>AQ100980</t>
  </si>
  <si>
    <t>AQ100981</t>
  </si>
  <si>
    <t>AQ100982</t>
  </si>
  <si>
    <t xml:space="preserve">Patna </t>
  </si>
  <si>
    <t>AQ100983</t>
  </si>
  <si>
    <t>AQ100984</t>
  </si>
  <si>
    <t>AQ100985</t>
  </si>
  <si>
    <t>AQ100986</t>
  </si>
  <si>
    <t>AQ100987</t>
  </si>
  <si>
    <t>AQ100988</t>
  </si>
  <si>
    <t>AQ100989</t>
  </si>
  <si>
    <t>AQ100990</t>
  </si>
  <si>
    <t>AQ100991</t>
  </si>
  <si>
    <t>AQ100992</t>
  </si>
  <si>
    <t>AQ100993</t>
  </si>
  <si>
    <t>AQ100994</t>
  </si>
  <si>
    <t>AQ100995</t>
  </si>
  <si>
    <t>AQ100996</t>
  </si>
  <si>
    <t>AQ100997</t>
  </si>
  <si>
    <t>AQ100998</t>
  </si>
  <si>
    <t>AQ100999</t>
  </si>
  <si>
    <t>AQ101000</t>
  </si>
  <si>
    <t>AQ101001</t>
  </si>
  <si>
    <t>AQ101002</t>
  </si>
  <si>
    <t>AQ101003</t>
  </si>
  <si>
    <t>AQ101004</t>
  </si>
  <si>
    <t>AQ101005</t>
  </si>
  <si>
    <t>AQ101006</t>
  </si>
  <si>
    <t>AQ101007</t>
  </si>
  <si>
    <t>AQ101008</t>
  </si>
  <si>
    <t>AQ101009</t>
  </si>
  <si>
    <t>AQ101010</t>
  </si>
  <si>
    <t>AQ101011</t>
  </si>
  <si>
    <t>AQ101012</t>
  </si>
  <si>
    <t>AQ101013</t>
  </si>
  <si>
    <t>AQ101014</t>
  </si>
  <si>
    <t>AQ101015</t>
  </si>
  <si>
    <t>AQ101016</t>
  </si>
  <si>
    <t>AQ101017</t>
  </si>
  <si>
    <t>AQ101018</t>
  </si>
  <si>
    <t>AQ101019</t>
  </si>
  <si>
    <t>AQ101020</t>
  </si>
  <si>
    <t>AQ101021</t>
  </si>
  <si>
    <t>AQ101022</t>
  </si>
  <si>
    <t>AQ101023</t>
  </si>
  <si>
    <t>AQ101024</t>
  </si>
  <si>
    <t>AQ101025</t>
  </si>
  <si>
    <t>AQ101026</t>
  </si>
  <si>
    <t>AQ101027</t>
  </si>
  <si>
    <t>AQ101028</t>
  </si>
  <si>
    <t>AQ101029</t>
  </si>
  <si>
    <t>AQ101030</t>
  </si>
  <si>
    <t>AQ101031</t>
  </si>
  <si>
    <t>AQ101032</t>
  </si>
  <si>
    <t>AQ101033</t>
  </si>
  <si>
    <t>AQ101034</t>
  </si>
  <si>
    <t>AQ101035</t>
  </si>
  <si>
    <t>AQ101036</t>
  </si>
  <si>
    <t>AQ101037</t>
  </si>
  <si>
    <t>AQ101038</t>
  </si>
  <si>
    <t>AQ101039</t>
  </si>
  <si>
    <t>AQ101040</t>
  </si>
  <si>
    <t>AQ101041</t>
  </si>
  <si>
    <t>AQ101042</t>
  </si>
  <si>
    <t>AQ101043</t>
  </si>
  <si>
    <t>AQ101044</t>
  </si>
  <si>
    <t>AQ101045</t>
  </si>
  <si>
    <t>AQ101046</t>
  </si>
  <si>
    <t>AQ101047</t>
  </si>
  <si>
    <t>AQ101048</t>
  </si>
  <si>
    <t>AQ101049</t>
  </si>
  <si>
    <t>AQ101050</t>
  </si>
  <si>
    <t>AQ101051</t>
  </si>
  <si>
    <t>AQ101052</t>
  </si>
  <si>
    <t>AQ101053</t>
  </si>
  <si>
    <t>AQ101054</t>
  </si>
  <si>
    <t>AQ101055</t>
  </si>
  <si>
    <t>AQ101056</t>
  </si>
  <si>
    <t>AQ101057</t>
  </si>
  <si>
    <t>AQ101058</t>
  </si>
  <si>
    <t>AQ101059</t>
  </si>
  <si>
    <t>AQ101060</t>
  </si>
  <si>
    <t>AQ101061</t>
  </si>
  <si>
    <t>AQ101062</t>
  </si>
  <si>
    <t>AQ101063</t>
  </si>
  <si>
    <t>AQ101064</t>
  </si>
  <si>
    <t>AQ101065</t>
  </si>
  <si>
    <t>AQ101066</t>
  </si>
  <si>
    <t>AQ101067</t>
  </si>
  <si>
    <t>AQ101068</t>
  </si>
  <si>
    <t>AQ101069</t>
  </si>
  <si>
    <t>AQ101070</t>
  </si>
  <si>
    <t>AQ101071</t>
  </si>
  <si>
    <t>AQ101072</t>
  </si>
  <si>
    <t>AQ101073</t>
  </si>
  <si>
    <t>AQ101074</t>
  </si>
  <si>
    <t>AQ101075</t>
  </si>
  <si>
    <t>AQ101076</t>
  </si>
  <si>
    <t>AQ101077</t>
  </si>
  <si>
    <t>AQ101078</t>
  </si>
  <si>
    <t>AQ101079</t>
  </si>
  <si>
    <t>AQ101080</t>
  </si>
  <si>
    <t>AQ101081</t>
  </si>
  <si>
    <t>AQ101082</t>
  </si>
  <si>
    <t>AQ101083</t>
  </si>
  <si>
    <t>AQ101084</t>
  </si>
  <si>
    <t>AQ101085</t>
  </si>
  <si>
    <t>AQ101086</t>
  </si>
  <si>
    <t>AQ101087</t>
  </si>
  <si>
    <t>AQ101088</t>
  </si>
  <si>
    <t>AQ101089</t>
  </si>
  <si>
    <t>AQ101090</t>
  </si>
  <si>
    <t>AQ101091</t>
  </si>
  <si>
    <t>AQ101092</t>
  </si>
  <si>
    <t>AQ101093</t>
  </si>
  <si>
    <t>AQ101094</t>
  </si>
  <si>
    <t>AQ101095</t>
  </si>
  <si>
    <t>AQ101096</t>
  </si>
  <si>
    <t>AQ101097</t>
  </si>
  <si>
    <t>AQ101098</t>
  </si>
  <si>
    <t>AQ101099</t>
  </si>
  <si>
    <t>AQ101100</t>
  </si>
  <si>
    <t>AQ101101</t>
  </si>
  <si>
    <t>AQ101102</t>
  </si>
  <si>
    <t>AQ101103</t>
  </si>
  <si>
    <t>AQ101104</t>
  </si>
  <si>
    <t>AQ101105</t>
  </si>
  <si>
    <t>AQ101106</t>
  </si>
  <si>
    <t>AQ101107</t>
  </si>
  <si>
    <t>AQ101108</t>
  </si>
  <si>
    <t>AQ101109</t>
  </si>
  <si>
    <t>AQ101110</t>
  </si>
  <si>
    <t>AQ101111</t>
  </si>
  <si>
    <t>AQ101112</t>
  </si>
  <si>
    <t>AQ101113</t>
  </si>
  <si>
    <t>AQ101114</t>
  </si>
  <si>
    <t>AQ101115</t>
  </si>
  <si>
    <t>AQ101116</t>
  </si>
  <si>
    <t>AQ101117</t>
  </si>
  <si>
    <t>AQ101118</t>
  </si>
  <si>
    <t>AQ101119</t>
  </si>
  <si>
    <t>AQ101120</t>
  </si>
  <si>
    <t>AQ101121</t>
  </si>
  <si>
    <t>AQ101122</t>
  </si>
  <si>
    <t>AQ101123</t>
  </si>
  <si>
    <t>AQ101124</t>
  </si>
  <si>
    <t>AQ101125</t>
  </si>
  <si>
    <t>AQ101126</t>
  </si>
  <si>
    <t>AQ101127</t>
  </si>
  <si>
    <t>AQ101128</t>
  </si>
  <si>
    <t>AQ101129</t>
  </si>
  <si>
    <t>AQ101130</t>
  </si>
  <si>
    <t>AQ101131</t>
  </si>
  <si>
    <t>AQ101132</t>
  </si>
  <si>
    <t>AQ101133</t>
  </si>
  <si>
    <t>AQ101134</t>
  </si>
  <si>
    <t>AQ101135</t>
  </si>
  <si>
    <t>AQ101136</t>
  </si>
  <si>
    <t>AQ101137</t>
  </si>
  <si>
    <t>AQ101138</t>
  </si>
  <si>
    <t>AQ101139</t>
  </si>
  <si>
    <t xml:space="preserve">Chennai </t>
  </si>
  <si>
    <t>AQ101140</t>
  </si>
  <si>
    <t>AQ101141</t>
  </si>
  <si>
    <t>AQ101142</t>
  </si>
  <si>
    <t>AQ101143</t>
  </si>
  <si>
    <t>AQ101144</t>
  </si>
  <si>
    <t>AQ101145</t>
  </si>
  <si>
    <t>AQ101146</t>
  </si>
  <si>
    <t>AQ101147</t>
  </si>
  <si>
    <t>AQ101148</t>
  </si>
  <si>
    <t>AQ101149</t>
  </si>
  <si>
    <t>AQ101150</t>
  </si>
  <si>
    <t>AQ101151</t>
  </si>
  <si>
    <t>AQ101152</t>
  </si>
  <si>
    <t>AQ101153</t>
  </si>
  <si>
    <t>AQ101154</t>
  </si>
  <si>
    <t>AQ101155</t>
  </si>
  <si>
    <t>AQ101156</t>
  </si>
  <si>
    <t>AQ101157</t>
  </si>
  <si>
    <t>AQ101158</t>
  </si>
  <si>
    <t>AQ101159</t>
  </si>
  <si>
    <t>AQ101160</t>
  </si>
  <si>
    <t>AQ101161</t>
  </si>
  <si>
    <t>AQ101162</t>
  </si>
  <si>
    <t>AQ101163</t>
  </si>
  <si>
    <t>AQ101164</t>
  </si>
  <si>
    <t>AQ101165</t>
  </si>
  <si>
    <t>AQ101166</t>
  </si>
  <si>
    <t>AQ101167</t>
  </si>
  <si>
    <t>AQ101168</t>
  </si>
  <si>
    <t xml:space="preserve">Station-01 </t>
  </si>
  <si>
    <t>AQ101169</t>
  </si>
  <si>
    <t>AQ101170</t>
  </si>
  <si>
    <t>AQ101171</t>
  </si>
  <si>
    <t>AQ101172</t>
  </si>
  <si>
    <t>AQ101173</t>
  </si>
  <si>
    <t>AQ101174</t>
  </si>
  <si>
    <t>AQ101175</t>
  </si>
  <si>
    <t>AQ101176</t>
  </si>
  <si>
    <t>AQ101177</t>
  </si>
  <si>
    <t>AQ101178</t>
  </si>
  <si>
    <t>AQ101179</t>
  </si>
  <si>
    <t>AQ101180</t>
  </si>
  <si>
    <t>AQ101181</t>
  </si>
  <si>
    <t>AQ101182</t>
  </si>
  <si>
    <t>AQ101183</t>
  </si>
  <si>
    <t>AQ101184</t>
  </si>
  <si>
    <t>AQ101185</t>
  </si>
  <si>
    <t>AQ101186</t>
  </si>
  <si>
    <t>AQ101187</t>
  </si>
  <si>
    <t>AQ101188</t>
  </si>
  <si>
    <t>AQ101189</t>
  </si>
  <si>
    <t>AQ101190</t>
  </si>
  <si>
    <t>AQ101191</t>
  </si>
  <si>
    <t>AQ101192</t>
  </si>
  <si>
    <t>AQ101193</t>
  </si>
  <si>
    <t>AQ101194</t>
  </si>
  <si>
    <t>AQ101195</t>
  </si>
  <si>
    <t>AQ101196</t>
  </si>
  <si>
    <t>AQ101197</t>
  </si>
  <si>
    <t>AQ101198</t>
  </si>
  <si>
    <t>AQ101199</t>
  </si>
  <si>
    <t>AQ101200</t>
  </si>
  <si>
    <t>AQ101201</t>
  </si>
  <si>
    <t>AQ101202</t>
  </si>
  <si>
    <t>AQ101203</t>
  </si>
  <si>
    <t>AQ101204</t>
  </si>
  <si>
    <t>AQ101205</t>
  </si>
  <si>
    <t>AQ101206</t>
  </si>
  <si>
    <t>AQ101207</t>
  </si>
  <si>
    <t>AQ101208</t>
  </si>
  <si>
    <t>AQ101209</t>
  </si>
  <si>
    <t>AQ101210</t>
  </si>
  <si>
    <t>AQ101211</t>
  </si>
  <si>
    <t>AQ101212</t>
  </si>
  <si>
    <t>AQ101213</t>
  </si>
  <si>
    <t>AQ101214</t>
  </si>
  <si>
    <t>AQ101215</t>
  </si>
  <si>
    <t>AQ101216</t>
  </si>
  <si>
    <t>AQ101217</t>
  </si>
  <si>
    <t>AQ101218</t>
  </si>
  <si>
    <t>AQ101219</t>
  </si>
  <si>
    <t>AQ101220</t>
  </si>
  <si>
    <t>AQ101221</t>
  </si>
  <si>
    <t>AQ101222</t>
  </si>
  <si>
    <t>AQ101223</t>
  </si>
  <si>
    <t>AQ101224</t>
  </si>
  <si>
    <t>AQ101225</t>
  </si>
  <si>
    <t>AQ101226</t>
  </si>
  <si>
    <t>AQ101227</t>
  </si>
  <si>
    <t>AQ101228</t>
  </si>
  <si>
    <t>AQ101229</t>
  </si>
  <si>
    <t>AQ101230</t>
  </si>
  <si>
    <t>AQ101231</t>
  </si>
  <si>
    <t>AQ101232</t>
  </si>
  <si>
    <t>AQ101233</t>
  </si>
  <si>
    <t>AQ101234</t>
  </si>
  <si>
    <t>AQ101235</t>
  </si>
  <si>
    <t>AQ101236</t>
  </si>
  <si>
    <t>AQ101237</t>
  </si>
  <si>
    <t>AQ101238</t>
  </si>
  <si>
    <t>AQ101239</t>
  </si>
  <si>
    <t>AQ101240</t>
  </si>
  <si>
    <t>AQ101241</t>
  </si>
  <si>
    <t>AQ101242</t>
  </si>
  <si>
    <t>AQ101243</t>
  </si>
  <si>
    <t>AQ101244</t>
  </si>
  <si>
    <t>AQ101245</t>
  </si>
  <si>
    <t>AQ101246</t>
  </si>
  <si>
    <t xml:space="preserve">Station-13 </t>
  </si>
  <si>
    <t>AQ101247</t>
  </si>
  <si>
    <t>AQ101248</t>
  </si>
  <si>
    <t>AQ101249</t>
  </si>
  <si>
    <t>AQ101250</t>
  </si>
  <si>
    <t>AQ101251</t>
  </si>
  <si>
    <t>AQ101252</t>
  </si>
  <si>
    <t>AQ101253</t>
  </si>
  <si>
    <t>AQ101254</t>
  </si>
  <si>
    <t>AQ101255</t>
  </si>
  <si>
    <t>AQ101256</t>
  </si>
  <si>
    <t>AQ101257</t>
  </si>
  <si>
    <t>AQ101258</t>
  </si>
  <si>
    <t>AQ101259</t>
  </si>
  <si>
    <t>AQ101260</t>
  </si>
  <si>
    <t>AQ101261</t>
  </si>
  <si>
    <t>AQ101262</t>
  </si>
  <si>
    <t>AQ101263</t>
  </si>
  <si>
    <t>AQ101264</t>
  </si>
  <si>
    <t>AQ101265</t>
  </si>
  <si>
    <t>AQ101266</t>
  </si>
  <si>
    <t>AQ101267</t>
  </si>
  <si>
    <t>AQ101268</t>
  </si>
  <si>
    <t>AQ101269</t>
  </si>
  <si>
    <t>AQ101270</t>
  </si>
  <si>
    <t>AQ101271</t>
  </si>
  <si>
    <t>AQ101272</t>
  </si>
  <si>
    <t>AQ101273</t>
  </si>
  <si>
    <t>AQ101274</t>
  </si>
  <si>
    <t>AQ101275</t>
  </si>
  <si>
    <t>AQ101276</t>
  </si>
  <si>
    <t>AQ101277</t>
  </si>
  <si>
    <t>AQ101278</t>
  </si>
  <si>
    <t>AQ101279</t>
  </si>
  <si>
    <t>AQ101280</t>
  </si>
  <si>
    <t>AQ101281</t>
  </si>
  <si>
    <t>AQ101282</t>
  </si>
  <si>
    <t>AQ101283</t>
  </si>
  <si>
    <t>AQ101284</t>
  </si>
  <si>
    <t>AQ101285</t>
  </si>
  <si>
    <t>AQ101286</t>
  </si>
  <si>
    <t>AQ101287</t>
  </si>
  <si>
    <t>AQ101288</t>
  </si>
  <si>
    <t>AQ101289</t>
  </si>
  <si>
    <t>AQ101290</t>
  </si>
  <si>
    <t>AQ101291</t>
  </si>
  <si>
    <t>AQ101292</t>
  </si>
  <si>
    <t>AQ101293</t>
  </si>
  <si>
    <t>AQ101294</t>
  </si>
  <si>
    <t>AQ101295</t>
  </si>
  <si>
    <t>AQ101296</t>
  </si>
  <si>
    <t>AQ101297</t>
  </si>
  <si>
    <t>AQ101298</t>
  </si>
  <si>
    <t>AQ101299</t>
  </si>
  <si>
    <t>AQ101300</t>
  </si>
  <si>
    <t>AQ101301</t>
  </si>
  <si>
    <t>AQ101302</t>
  </si>
  <si>
    <t>AQ101303</t>
  </si>
  <si>
    <t>AQ101304</t>
  </si>
  <si>
    <t>AQ101305</t>
  </si>
  <si>
    <t>AQ101306</t>
  </si>
  <si>
    <t>AQ101307</t>
  </si>
  <si>
    <t>AQ101308</t>
  </si>
  <si>
    <t>AQ101309</t>
  </si>
  <si>
    <t>AQ101310</t>
  </si>
  <si>
    <t>AQ101311</t>
  </si>
  <si>
    <t>AQ101312</t>
  </si>
  <si>
    <t>AQ101313</t>
  </si>
  <si>
    <t>AQ101314</t>
  </si>
  <si>
    <t>AQ101315</t>
  </si>
  <si>
    <t>AQ101316</t>
  </si>
  <si>
    <t>AQ101317</t>
  </si>
  <si>
    <t>AQ101318</t>
  </si>
  <si>
    <t>AQ101319</t>
  </si>
  <si>
    <t>AQ101320</t>
  </si>
  <si>
    <t>AQ101321</t>
  </si>
  <si>
    <t>AQ101322</t>
  </si>
  <si>
    <t>AQ101323</t>
  </si>
  <si>
    <t>AQ101324</t>
  </si>
  <si>
    <t>AQ101325</t>
  </si>
  <si>
    <t>AQ101326</t>
  </si>
  <si>
    <t>AQ101327</t>
  </si>
  <si>
    <t>AQ101328</t>
  </si>
  <si>
    <t>AQ101329</t>
  </si>
  <si>
    <t>AQ101330</t>
  </si>
  <si>
    <t>AQ101331</t>
  </si>
  <si>
    <t>AQ101332</t>
  </si>
  <si>
    <t>AQ101333</t>
  </si>
  <si>
    <t>AQ101334</t>
  </si>
  <si>
    <t>AQ101335</t>
  </si>
  <si>
    <t>AQ101336</t>
  </si>
  <si>
    <t>AQ101337</t>
  </si>
  <si>
    <t>AQ101338</t>
  </si>
  <si>
    <t>AQ101339</t>
  </si>
  <si>
    <t>AQ101340</t>
  </si>
  <si>
    <t>AQ101341</t>
  </si>
  <si>
    <t>AQ101342</t>
  </si>
  <si>
    <t>AQ101343</t>
  </si>
  <si>
    <t>AQ101344</t>
  </si>
  <si>
    <t>AQ101345</t>
  </si>
  <si>
    <t>AQ101346</t>
  </si>
  <si>
    <t>AQ101347</t>
  </si>
  <si>
    <t>AQ101348</t>
  </si>
  <si>
    <t>AQ101349</t>
  </si>
  <si>
    <t>AQ101350</t>
  </si>
  <si>
    <t>AQ101351</t>
  </si>
  <si>
    <t>AQ101352</t>
  </si>
  <si>
    <t>AQ101353</t>
  </si>
  <si>
    <t>AQ101354</t>
  </si>
  <si>
    <t>AQ101355</t>
  </si>
  <si>
    <t>AQ101356</t>
  </si>
  <si>
    <t>AQ101357</t>
  </si>
  <si>
    <t>AQ101358</t>
  </si>
  <si>
    <t>AQ101359</t>
  </si>
  <si>
    <t>AQ101360</t>
  </si>
  <si>
    <t>AQ101361</t>
  </si>
  <si>
    <t>AQ101362</t>
  </si>
  <si>
    <t>AQ101363</t>
  </si>
  <si>
    <t>AQ101364</t>
  </si>
  <si>
    <t>AQ101365</t>
  </si>
  <si>
    <t>AQ101366</t>
  </si>
  <si>
    <t>AQ101367</t>
  </si>
  <si>
    <t>AQ101368</t>
  </si>
  <si>
    <t>AQ101369</t>
  </si>
  <si>
    <t>AQ101370</t>
  </si>
  <si>
    <t>AQ101371</t>
  </si>
  <si>
    <t>AQ101372</t>
  </si>
  <si>
    <t>AQ101373</t>
  </si>
  <si>
    <t>AQ101374</t>
  </si>
  <si>
    <t>AQ101375</t>
  </si>
  <si>
    <t>AQ101376</t>
  </si>
  <si>
    <t>AQ101377</t>
  </si>
  <si>
    <t>AQ101378</t>
  </si>
  <si>
    <t>AQ101379</t>
  </si>
  <si>
    <t>AQ101380</t>
  </si>
  <si>
    <t>AQ101381</t>
  </si>
  <si>
    <t>AQ101382</t>
  </si>
  <si>
    <t>AQ101383</t>
  </si>
  <si>
    <t>AQ101384</t>
  </si>
  <si>
    <t>AQ101385</t>
  </si>
  <si>
    <t>AQ101386</t>
  </si>
  <si>
    <t>AQ101387</t>
  </si>
  <si>
    <t>AQ101388</t>
  </si>
  <si>
    <t>AQ101389</t>
  </si>
  <si>
    <t>AQ101390</t>
  </si>
  <si>
    <t>AQ101391</t>
  </si>
  <si>
    <t>AQ101392</t>
  </si>
  <si>
    <t>AQ101393</t>
  </si>
  <si>
    <t>AQ101394</t>
  </si>
  <si>
    <t>AQ101395</t>
  </si>
  <si>
    <t>AQ101396</t>
  </si>
  <si>
    <t>AQ101397</t>
  </si>
  <si>
    <t>AQ101398</t>
  </si>
  <si>
    <t>AQ101399</t>
  </si>
  <si>
    <t>AQ101400</t>
  </si>
  <si>
    <t>AQ101401</t>
  </si>
  <si>
    <t>AQ101402</t>
  </si>
  <si>
    <t>AQ101403</t>
  </si>
  <si>
    <t>AQ101404</t>
  </si>
  <si>
    <t>AQ101405</t>
  </si>
  <si>
    <t>AQ101406</t>
  </si>
  <si>
    <t>AQ101407</t>
  </si>
  <si>
    <t>AQ101408</t>
  </si>
  <si>
    <t>AQ101409</t>
  </si>
  <si>
    <t>AQ101410</t>
  </si>
  <si>
    <t>AQ101411</t>
  </si>
  <si>
    <t>AQ101412</t>
  </si>
  <si>
    <t>AQ101413</t>
  </si>
  <si>
    <t>AQ101414</t>
  </si>
  <si>
    <t>AQ101415</t>
  </si>
  <si>
    <t>AQ101416</t>
  </si>
  <si>
    <t>AQ101417</t>
  </si>
  <si>
    <t>AQ101418</t>
  </si>
  <si>
    <t>AQ101419</t>
  </si>
  <si>
    <t>AQ101420</t>
  </si>
  <si>
    <t>AQ101421</t>
  </si>
  <si>
    <t>AQ101422</t>
  </si>
  <si>
    <t>AQ101423</t>
  </si>
  <si>
    <t>AQ101424</t>
  </si>
  <si>
    <t>AQ101425</t>
  </si>
  <si>
    <t>AQ101426</t>
  </si>
  <si>
    <t>AQ101427</t>
  </si>
  <si>
    <t>AQ101428</t>
  </si>
  <si>
    <t>AQ101429</t>
  </si>
  <si>
    <t>AQ101430</t>
  </si>
  <si>
    <t>AQ101431</t>
  </si>
  <si>
    <t>AQ101432</t>
  </si>
  <si>
    <t xml:space="preserve">Bhubaneswar </t>
  </si>
  <si>
    <t>AQ101433</t>
  </si>
  <si>
    <t>AQ101434</t>
  </si>
  <si>
    <t>AQ101435</t>
  </si>
  <si>
    <t>AQ101436</t>
  </si>
  <si>
    <t>AQ101437</t>
  </si>
  <si>
    <t>AQ101438</t>
  </si>
  <si>
    <t>AQ101439</t>
  </si>
  <si>
    <t>AQ101440</t>
  </si>
  <si>
    <t>AQ101441</t>
  </si>
  <si>
    <t>AQ101442</t>
  </si>
  <si>
    <t>AQ101443</t>
  </si>
  <si>
    <t>AQ101444</t>
  </si>
  <si>
    <t>AQ101445</t>
  </si>
  <si>
    <t>AQ101446</t>
  </si>
  <si>
    <t>AQ101447</t>
  </si>
  <si>
    <t>AQ101448</t>
  </si>
  <si>
    <t>AQ101449</t>
  </si>
  <si>
    <t>AQ101450</t>
  </si>
  <si>
    <t>AQ101451</t>
  </si>
  <si>
    <t>AQ101452</t>
  </si>
  <si>
    <t>AQ101453</t>
  </si>
  <si>
    <t>AQ101454</t>
  </si>
  <si>
    <t>AQ101455</t>
  </si>
  <si>
    <t>AQ101456</t>
  </si>
  <si>
    <t>AQ101457</t>
  </si>
  <si>
    <t>AQ101458</t>
  </si>
  <si>
    <t>AQ101459</t>
  </si>
  <si>
    <t>AQ101460</t>
  </si>
  <si>
    <t>AQ101461</t>
  </si>
  <si>
    <t>AQ101462</t>
  </si>
  <si>
    <t>AQ101463</t>
  </si>
  <si>
    <t>AQ101464</t>
  </si>
  <si>
    <t>AQ101465</t>
  </si>
  <si>
    <t>AQ101466</t>
  </si>
  <si>
    <t>AQ101467</t>
  </si>
  <si>
    <t>AQ101468</t>
  </si>
  <si>
    <t>AQ101469</t>
  </si>
  <si>
    <t>AQ101470</t>
  </si>
  <si>
    <t>AQ101471</t>
  </si>
  <si>
    <t>AQ101472</t>
  </si>
  <si>
    <t>AQ101473</t>
  </si>
  <si>
    <t>AQ101474</t>
  </si>
  <si>
    <t>AQ101475</t>
  </si>
  <si>
    <t>AQ101476</t>
  </si>
  <si>
    <t>AQ101477</t>
  </si>
  <si>
    <t>AQ101478</t>
  </si>
  <si>
    <t>AQ101479</t>
  </si>
  <si>
    <t>AQ101480</t>
  </si>
  <si>
    <t>AQ101481</t>
  </si>
  <si>
    <t>AQ101482</t>
  </si>
  <si>
    <t>AQ101483</t>
  </si>
  <si>
    <t>AQ101484</t>
  </si>
  <si>
    <t>AQ101485</t>
  </si>
  <si>
    <t>AQ101486</t>
  </si>
  <si>
    <t>AQ101487</t>
  </si>
  <si>
    <t>AQ101488</t>
  </si>
  <si>
    <t>AQ101489</t>
  </si>
  <si>
    <t>AQ101490</t>
  </si>
  <si>
    <t>AQ101491</t>
  </si>
  <si>
    <t>AQ101492</t>
  </si>
  <si>
    <t>AQ101493</t>
  </si>
  <si>
    <t>AQ101494</t>
  </si>
  <si>
    <t>AQ101495</t>
  </si>
  <si>
    <t>AQ101496</t>
  </si>
  <si>
    <t>AQ101497</t>
  </si>
  <si>
    <t>AQ101498</t>
  </si>
  <si>
    <t>AQ101499</t>
  </si>
  <si>
    <t>AQ101500</t>
  </si>
  <si>
    <t>Temperature_Level</t>
  </si>
  <si>
    <t>Humidity _Status</t>
  </si>
  <si>
    <t>Polution_Status</t>
  </si>
  <si>
    <t>Wind Condition</t>
  </si>
  <si>
    <t>Low Humidity</t>
  </si>
  <si>
    <t>Grand Total</t>
  </si>
  <si>
    <t>City Wise AQI Analysis</t>
  </si>
  <si>
    <t>AQI Category</t>
  </si>
  <si>
    <t>Average of Temperature_C</t>
  </si>
  <si>
    <t>Average Temperature By Region</t>
  </si>
  <si>
    <t>Count of AQI</t>
  </si>
  <si>
    <t>Average of Wind_Speed_m_s</t>
  </si>
  <si>
    <t xml:space="preserve">City </t>
  </si>
  <si>
    <t>City Wise Average 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</si>
</sst>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5" fillId="0" borderId="0" xfId="0" applyFont="1"/>
    <xf numFmtId="0" fontId="4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4" fontId="0" fillId="0" borderId="1" xfId="0" applyNumberFormat="1" applyBorder="1"/>
    <xf numFmtId="49" fontId="0" fillId="0" borderId="1" xfId="0" applyNumberFormat="1" applyBorder="1"/>
    <xf numFmtId="0" fontId="6" fillId="0" borderId="2" xfId="0" applyFont="1" applyBorder="1" applyAlignment="1">
      <alignment horizontal="center" vertical="top"/>
    </xf>
    <xf numFmtId="0" fontId="6" fillId="0" borderId="2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00.544323032409" createdVersion="6" refreshedVersion="6" minRefreshableVersion="3" recordCount="1500">
  <cacheSource type="worksheet">
    <worksheetSource name="Table1"/>
  </cacheSource>
  <cacheFields count="20">
    <cacheField name="Record_ID" numFmtId="0">
      <sharedItems/>
    </cacheField>
    <cacheField name="Date" numFmtId="164">
      <sharedItems containsSemiMixedTypes="0" containsNonDate="0" containsDate="1" containsString="0" minDate="2025-01-01T00:00:00" maxDate="2026-01-01T00:00:00"/>
    </cacheField>
    <cacheField name="City" numFmtId="0">
      <sharedItems count="16">
        <s v="Bhopal"/>
        <s v="Chandigarh"/>
        <s v="Delhi"/>
        <s v="Mumbai"/>
        <s v="Hyderabad"/>
        <s v="Kolkata"/>
        <s v="Jaipur"/>
        <s v="Ahmedabad"/>
        <s v="Pune"/>
        <s v="Indore"/>
        <s v="Bengaluru"/>
        <s v="Nagpur"/>
        <s v="Patna"/>
        <s v="Bhubaneswar"/>
        <s v="Chennai"/>
        <s v="Coimbatore"/>
      </sharedItems>
    </cacheField>
    <cacheField name="Region" numFmtId="0">
      <sharedItems count="5">
        <s v="Central"/>
        <s v="North"/>
        <s v="West"/>
        <s v="South"/>
        <s v="East"/>
      </sharedItems>
    </cacheField>
    <cacheField name="Monitoring_Station" numFmtId="0">
      <sharedItems/>
    </cacheField>
    <cacheField name="PM2.5_ug_m3" numFmtId="0">
      <sharedItems containsSemiMixedTypes="0" containsString="0" containsNumber="1" minValue="1.2" maxValue="191.8"/>
    </cacheField>
    <cacheField name="PM10_ug_m3" numFmtId="0">
      <sharedItems containsSemiMixedTypes="0" containsString="0" containsNumber="1" minValue="9.9" maxValue="327.3"/>
    </cacheField>
    <cacheField name="NO2_ug_m3" numFmtId="0">
      <sharedItems containsSemiMixedTypes="0" containsString="0" containsNumber="1" minValue="1.5" maxValue="133.1"/>
    </cacheField>
    <cacheField name="SO2_ug_m3" numFmtId="0">
      <sharedItems containsSemiMixedTypes="0" containsString="0" containsNumber="1" minValue="0.4" maxValue="70.599999999999994"/>
    </cacheField>
    <cacheField name="CO_mg_m3" numFmtId="0">
      <sharedItems containsSemiMixedTypes="0" containsString="0" containsNumber="1" minValue="0.01" maxValue="3.22"/>
    </cacheField>
    <cacheField name="O3_ug_m3" numFmtId="0">
      <sharedItems containsSemiMixedTypes="0" containsString="0" containsNumber="1" minValue="2" maxValue="170.2"/>
    </cacheField>
    <cacheField name="Temperature_C" numFmtId="0">
      <sharedItems containsSemiMixedTypes="0" containsString="0" containsNumber="1" minValue="9.8000000000000007" maxValue="45.1"/>
    </cacheField>
    <cacheField name="Humidity_Percent" numFmtId="0">
      <sharedItems containsSemiMixedTypes="0" containsString="0" containsNumber="1" minValue="20" maxValue="98"/>
    </cacheField>
    <cacheField name="Wind_Speed_m_s" numFmtId="0">
      <sharedItems containsSemiMixedTypes="0" containsString="0" containsNumber="1" minValue="0.1" maxValue="6.1"/>
    </cacheField>
    <cacheField name="AQI" numFmtId="0">
      <sharedItems containsSemiMixedTypes="0" containsString="0" containsNumber="1" containsInteger="1" minValue="76" maxValue="494"/>
    </cacheField>
    <cacheField name="AQI_Category" numFmtId="0">
      <sharedItems count="4">
        <s v="Very Poor"/>
        <s v="Poor"/>
        <s v="Moderate"/>
        <s v="Satisfactory"/>
      </sharedItems>
    </cacheField>
    <cacheField name="Polution_Status" numFmtId="0">
      <sharedItems/>
    </cacheField>
    <cacheField name="Temperature_Level" numFmtId="0">
      <sharedItems/>
    </cacheField>
    <cacheField name="Humidity _Status" numFmtId="0">
      <sharedItems/>
    </cacheField>
    <cacheField name="Wind Condi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s v="AQ100001"/>
    <d v="2025-12-19T00:00:00"/>
    <x v="0"/>
    <x v="0"/>
    <s v="Station-01"/>
    <n v="103.5"/>
    <n v="133"/>
    <n v="27.2"/>
    <n v="17.8"/>
    <n v="1.66"/>
    <n v="27"/>
    <n v="28.4"/>
    <n v="40.200000000000003"/>
    <n v="2.6"/>
    <n v="340"/>
    <x v="0"/>
    <s v="Unhealthy"/>
    <s v="Normal"/>
    <s v="Low Humidity"/>
    <s v="Moderate Wind"/>
  </r>
  <r>
    <s v="AQ100002"/>
    <d v="2025-09-11T00:00:00"/>
    <x v="1"/>
    <x v="1"/>
    <s v="Station-04"/>
    <n v="69.3"/>
    <n v="206.9"/>
    <n v="43.2"/>
    <n v="20"/>
    <n v="0.96"/>
    <n v="17"/>
    <n v="36.9"/>
    <n v="88.5"/>
    <n v="1.5"/>
    <n v="326"/>
    <x v="0"/>
    <s v="VeryUnhealthy"/>
    <s v="Hot"/>
    <s v="High Humidity"/>
    <s v="Low Wind"/>
  </r>
  <r>
    <s v="AQ100003"/>
    <d v="2025-05-26T00:00:00"/>
    <x v="2"/>
    <x v="1"/>
    <s v="Station-11"/>
    <n v="42.2"/>
    <n v="138.1"/>
    <n v="24"/>
    <n v="1.4"/>
    <n v="0.14000000000000001"/>
    <n v="62.3"/>
    <n v="37.4"/>
    <n v="53.4"/>
    <n v="2.2000000000000002"/>
    <n v="209"/>
    <x v="1"/>
    <s v="Unhealthy"/>
    <s v="Hot"/>
    <s v="Normal Humidity"/>
    <s v="Moderate Wind"/>
  </r>
  <r>
    <s v="AQ100004"/>
    <d v="2025-02-28T00:00:00"/>
    <x v="3"/>
    <x v="2"/>
    <s v="Station-09"/>
    <n v="18.2"/>
    <n v="133.19999999999999"/>
    <n v="45.4"/>
    <n v="10.199999999999999"/>
    <n v="0.55000000000000004"/>
    <n v="53.4"/>
    <n v="21.2"/>
    <n v="34.200000000000003"/>
    <n v="3.6"/>
    <n v="197"/>
    <x v="2"/>
    <s v="Unhealthy"/>
    <s v="Normal"/>
    <s v="Normal Humidity"/>
    <s v="Moderate Wind"/>
  </r>
  <r>
    <s v="AQ100005"/>
    <d v="2025-09-30T00:00:00"/>
    <x v="4"/>
    <x v="3"/>
    <s v="Station-09"/>
    <n v="46"/>
    <n v="58.1"/>
    <n v="8.1"/>
    <n v="12.6"/>
    <n v="0.46"/>
    <n v="21.9"/>
    <n v="23.6"/>
    <n v="47.1"/>
    <n v="2.2000000000000002"/>
    <n v="148"/>
    <x v="2"/>
    <s v="Moderate"/>
    <s v="Normal"/>
    <s v="Normal Humidity"/>
    <s v="Moderate Wind"/>
  </r>
  <r>
    <s v="AQ100006"/>
    <d v="2025-11-08T00:00:00"/>
    <x v="5"/>
    <x v="4"/>
    <s v="Station-07"/>
    <n v="40.1"/>
    <n v="72.7"/>
    <n v="47.7"/>
    <n v="7.6"/>
    <n v="1.68"/>
    <n v="87.8"/>
    <n v="29.9"/>
    <n v="62.5"/>
    <n v="1.8"/>
    <n v="236"/>
    <x v="1"/>
    <s v="Moderate"/>
    <s v="Normal"/>
    <s v="High Humidity"/>
    <s v="Low Wind"/>
  </r>
  <r>
    <s v="AQ100007"/>
    <d v="2025-12-18T00:00:00"/>
    <x v="6"/>
    <x v="1"/>
    <s v="Station-06"/>
    <n v="118.1"/>
    <n v="63"/>
    <n v="74.7"/>
    <n v="28.1"/>
    <n v="0.63"/>
    <n v="41.3"/>
    <n v="32.200000000000003"/>
    <n v="44"/>
    <n v="1.4"/>
    <n v="344"/>
    <x v="0"/>
    <s v="Moderate"/>
    <s v="Hot"/>
    <s v="Normal Humidity"/>
    <s v="Low Wind"/>
  </r>
  <r>
    <s v="AQ100008"/>
    <d v="2025-03-26T00:00:00"/>
    <x v="4"/>
    <x v="3"/>
    <s v="Station-13"/>
    <n v="49.1"/>
    <n v="87.3"/>
    <n v="83.2"/>
    <n v="27.3"/>
    <n v="0.17"/>
    <n v="64.8"/>
    <n v="32.200000000000003"/>
    <n v="76.7"/>
    <n v="2.6"/>
    <n v="254"/>
    <x v="1"/>
    <s v="Moderate"/>
    <s v="Hot"/>
    <s v="High Humidity"/>
    <s v="Moderate Wind"/>
  </r>
  <r>
    <s v="AQ100009"/>
    <d v="2025-08-16T00:00:00"/>
    <x v="3"/>
    <x v="2"/>
    <s v="Station-09"/>
    <n v="55.8"/>
    <n v="92.2"/>
    <n v="85.9"/>
    <n v="7.7"/>
    <n v="1.02"/>
    <n v="33.9"/>
    <n v="29.8"/>
    <n v="43.8"/>
    <n v="0.9"/>
    <n v="264"/>
    <x v="1"/>
    <s v="Moderate"/>
    <s v="Normal"/>
    <s v="Normal Humidity"/>
    <s v="Low Wind"/>
  </r>
  <r>
    <s v="AQ100010"/>
    <d v="2025-01-27T00:00:00"/>
    <x v="4"/>
    <x v="3"/>
    <s v="Station-13"/>
    <n v="3.8"/>
    <n v="119.9"/>
    <n v="23.6"/>
    <n v="10.6"/>
    <n v="0.8"/>
    <n v="31.9"/>
    <n v="36.9"/>
    <n v="95.7"/>
    <n v="3.4"/>
    <n v="145"/>
    <x v="2"/>
    <s v="Unhealthy"/>
    <s v="Hot"/>
    <s v="High Humidity"/>
    <s v="Moderate Wind"/>
  </r>
  <r>
    <s v="AQ100011"/>
    <d v="2025-12-14T00:00:00"/>
    <x v="0"/>
    <x v="0"/>
    <s v="Station-07"/>
    <n v="101.6"/>
    <n v="116.6"/>
    <n v="19.100000000000001"/>
    <n v="62.5"/>
    <n v="1.1399999999999999"/>
    <n v="9.1"/>
    <n v="31.8"/>
    <n v="64.5"/>
    <n v="0.9"/>
    <n v="330"/>
    <x v="0"/>
    <s v="Unhealthy"/>
    <s v="Hot"/>
    <s v="High Humidity"/>
    <s v="Low Wind"/>
  </r>
  <r>
    <s v="AQ100012"/>
    <d v="2025-01-31T00:00:00"/>
    <x v="7"/>
    <x v="2"/>
    <s v="Station-01"/>
    <n v="19.100000000000001"/>
    <n v="80.099999999999994"/>
    <n v="16.100000000000001"/>
    <n v="13.3"/>
    <n v="1.23"/>
    <n v="18.899999999999999"/>
    <n v="32.4"/>
    <n v="57.4"/>
    <n v="1.6"/>
    <n v="144"/>
    <x v="2"/>
    <s v="Moderate"/>
    <s v="Hot"/>
    <s v="Normal Humidity"/>
    <s v="Low Wind"/>
  </r>
  <r>
    <s v="AQ100013"/>
    <d v="2025-10-16T00:00:00"/>
    <x v="8"/>
    <x v="2"/>
    <s v="Station-09"/>
    <n v="38.6"/>
    <n v="113.7"/>
    <n v="14.9"/>
    <n v="23.9"/>
    <n v="0.96"/>
    <n v="32.200000000000003"/>
    <n v="22.5"/>
    <n v="71.5"/>
    <n v="2"/>
    <n v="203"/>
    <x v="1"/>
    <s v="Unhealthy"/>
    <s v="Normal"/>
    <s v="High Humidity"/>
    <s v="Moderate Wind"/>
  </r>
  <r>
    <s v="AQ100014"/>
    <d v="2025-10-14T00:00:00"/>
    <x v="9"/>
    <x v="0"/>
    <s v="Station-12"/>
    <n v="47.4"/>
    <n v="74.5"/>
    <n v="23.8"/>
    <n v="4.5"/>
    <n v="1.34"/>
    <n v="15.2"/>
    <n v="21.1"/>
    <n v="58.8"/>
    <n v="3.3"/>
    <n v="187"/>
    <x v="2"/>
    <s v="Moderate"/>
    <s v="Normal"/>
    <s v="Normal Humidity"/>
    <s v="Moderate Wind"/>
  </r>
  <r>
    <s v="AQ100015"/>
    <d v="2025-06-17T00:00:00"/>
    <x v="8"/>
    <x v="2"/>
    <s v="Station-11"/>
    <n v="33.5"/>
    <n v="19.8"/>
    <n v="28.7"/>
    <n v="13.2"/>
    <n v="0.28999999999999998"/>
    <n v="7.3"/>
    <n v="29"/>
    <n v="66.3"/>
    <n v="3"/>
    <n v="109"/>
    <x v="2"/>
    <s v="Good"/>
    <s v="Normal"/>
    <s v="High Humidity"/>
    <s v="Moderate Wind"/>
  </r>
  <r>
    <s v="AQ100016"/>
    <d v="2025-11-03T00:00:00"/>
    <x v="1"/>
    <x v="1"/>
    <s v="Station-03"/>
    <n v="32.6"/>
    <n v="111"/>
    <n v="49.5"/>
    <n v="21.3"/>
    <n v="1.03"/>
    <n v="23"/>
    <n v="27.9"/>
    <n v="52.6"/>
    <n v="2.4"/>
    <n v="215"/>
    <x v="1"/>
    <s v="Unhealthy"/>
    <s v="Normal"/>
    <s v="Normal Humidity"/>
    <s v="Moderate Wind"/>
  </r>
  <r>
    <s v="AQ100017"/>
    <d v="2025-01-23T00:00:00"/>
    <x v="0"/>
    <x v="0"/>
    <s v="Station-11"/>
    <n v="60.3"/>
    <n v="118.1"/>
    <n v="15.9"/>
    <n v="10.1"/>
    <n v="0.13"/>
    <n v="5.8"/>
    <n v="24.4"/>
    <n v="76"/>
    <n v="1.5"/>
    <n v="199"/>
    <x v="2"/>
    <s v="Unhealthy"/>
    <s v="Normal"/>
    <s v="High Humidity"/>
    <s v="Low Wind"/>
  </r>
  <r>
    <s v="AQ100018"/>
    <d v="2025-11-18T00:00:00"/>
    <x v="3"/>
    <x v="2"/>
    <s v="Station-10"/>
    <n v="38.6"/>
    <n v="38.200000000000003"/>
    <n v="18.5"/>
    <n v="6.3"/>
    <n v="0.94"/>
    <n v="39.799999999999997"/>
    <n v="24"/>
    <n v="69.599999999999994"/>
    <n v="2.5"/>
    <n v="147"/>
    <x v="2"/>
    <s v="Good"/>
    <s v="Normal"/>
    <s v="High Humidity"/>
    <s v="Moderate Wind"/>
  </r>
  <r>
    <s v="AQ100019"/>
    <d v="2025-05-12T00:00:00"/>
    <x v="6"/>
    <x v="1"/>
    <s v="Station-01"/>
    <n v="13.5"/>
    <n v="91.7"/>
    <n v="18.3"/>
    <n v="32.200000000000003"/>
    <n v="1.07"/>
    <n v="25.3"/>
    <n v="32.6"/>
    <n v="72.099999999999994"/>
    <n v="2.5"/>
    <n v="157"/>
    <x v="2"/>
    <s v="Moderate"/>
    <s v="Hot"/>
    <s v="High Humidity"/>
    <s v="Moderate Wind"/>
  </r>
  <r>
    <s v="AQ100020"/>
    <d v="2025-10-03T00:00:00"/>
    <x v="10"/>
    <x v="3"/>
    <s v="Station-01"/>
    <n v="18.3"/>
    <n v="55.7"/>
    <n v="19.7"/>
    <n v="4.0999999999999996"/>
    <n v="0.34"/>
    <n v="84.8"/>
    <n v="33.6"/>
    <n v="53.5"/>
    <n v="1.6"/>
    <n v="131"/>
    <x v="2"/>
    <s v="Moderate"/>
    <s v="Hot"/>
    <s v="Normal Humidity"/>
    <s v="Low Wind"/>
  </r>
  <r>
    <s v="AQ100021"/>
    <d v="2025-02-15T00:00:00"/>
    <x v="1"/>
    <x v="1"/>
    <s v="Station-10"/>
    <n v="165"/>
    <n v="79.599999999999994"/>
    <n v="40.4"/>
    <n v="13"/>
    <n v="0.86"/>
    <n v="62.4"/>
    <n v="28.8"/>
    <n v="58.3"/>
    <n v="2"/>
    <n v="407"/>
    <x v="0"/>
    <s v="Moderate"/>
    <s v="Normal"/>
    <s v="Normal Humidity"/>
    <s v="Moderate Wind"/>
  </r>
  <r>
    <s v="AQ100022"/>
    <d v="2025-11-23T00:00:00"/>
    <x v="11"/>
    <x v="0"/>
    <s v="Station-02"/>
    <n v="87.8"/>
    <n v="76.8"/>
    <n v="65.400000000000006"/>
    <n v="17.399999999999999"/>
    <n v="0.36"/>
    <n v="29.3"/>
    <n v="22.5"/>
    <n v="27.2"/>
    <n v="3"/>
    <n v="277"/>
    <x v="1"/>
    <s v="Moderate"/>
    <s v="Normal"/>
    <s v="Low Humidity"/>
    <s v="Moderate Wind"/>
  </r>
  <r>
    <s v="AQ100023"/>
    <d v="2025-02-26T00:00:00"/>
    <x v="8"/>
    <x v="2"/>
    <s v="Station-15"/>
    <n v="8.9"/>
    <n v="41.6"/>
    <n v="32.9"/>
    <n v="11.5"/>
    <n v="0.5"/>
    <n v="14.9"/>
    <n v="21.8"/>
    <n v="67.099999999999994"/>
    <n v="2.1"/>
    <n v="95"/>
    <x v="3"/>
    <s v="Good"/>
    <s v="Normal"/>
    <s v="High Humidity"/>
    <s v="Moderate Wind"/>
  </r>
  <r>
    <s v="AQ100024"/>
    <d v="2025-12-05T00:00:00"/>
    <x v="9"/>
    <x v="0"/>
    <s v="Station-15"/>
    <n v="45.3"/>
    <n v="135.69999999999999"/>
    <n v="24.7"/>
    <n v="6"/>
    <n v="1.1299999999999999"/>
    <n v="35.6"/>
    <n v="19.8"/>
    <n v="51.4"/>
    <n v="1.1000000000000001"/>
    <n v="229"/>
    <x v="1"/>
    <s v="Unhealthy"/>
    <s v="Cool"/>
    <s v="Normal Humidity"/>
    <s v="Low Wind"/>
  </r>
  <r>
    <s v="AQ100025"/>
    <d v="2025-04-19T00:00:00"/>
    <x v="10"/>
    <x v="3"/>
    <s v="Station-05"/>
    <n v="53.8"/>
    <n v="171.3"/>
    <n v="17.899999999999999"/>
    <n v="6.5"/>
    <n v="1.51"/>
    <n v="48.7"/>
    <n v="28.1"/>
    <n v="75.400000000000006"/>
    <n v="1.8"/>
    <n v="276"/>
    <x v="1"/>
    <s v="VeryUnhealthy"/>
    <s v="Normal"/>
    <s v="High Humidity"/>
    <s v="Low Wind"/>
  </r>
  <r>
    <s v="AQ100026"/>
    <d v="2025-07-16T00:00:00"/>
    <x v="3"/>
    <x v="2"/>
    <s v="Station-13"/>
    <n v="67.7"/>
    <n v="133.9"/>
    <n v="30.2"/>
    <n v="11.2"/>
    <n v="0.47"/>
    <n v="61.4"/>
    <n v="30.2"/>
    <n v="65.400000000000006"/>
    <n v="1.7"/>
    <n v="267"/>
    <x v="1"/>
    <s v="Unhealthy"/>
    <s v="Hot"/>
    <s v="High Humidity"/>
    <s v="Low Wind"/>
  </r>
  <r>
    <s v="AQ100027"/>
    <d v="2025-09-09T00:00:00"/>
    <x v="12"/>
    <x v="4"/>
    <s v="Station-04"/>
    <n v="63"/>
    <n v="42.8"/>
    <n v="30.4"/>
    <n v="5.5"/>
    <n v="0.2"/>
    <n v="51.7"/>
    <n v="32.1"/>
    <n v="53.3"/>
    <n v="2.7"/>
    <n v="185"/>
    <x v="2"/>
    <s v="Good"/>
    <s v="Hot"/>
    <s v="Normal Humidity"/>
    <s v="Moderate Wind"/>
  </r>
  <r>
    <s v="AQ100028"/>
    <d v="2025-08-19T00:00:00"/>
    <x v="7"/>
    <x v="2"/>
    <s v="Station-07"/>
    <n v="19.399999999999999"/>
    <n v="215.5"/>
    <n v="36.200000000000003"/>
    <n v="40.299999999999997"/>
    <n v="0.15"/>
    <n v="38.200000000000003"/>
    <n v="27.6"/>
    <n v="64.8"/>
    <n v="3.7"/>
    <n v="249"/>
    <x v="1"/>
    <s v="VeryUnhealthy"/>
    <s v="Normal"/>
    <s v="High Humidity"/>
    <s v="Moderate Wind"/>
  </r>
  <r>
    <s v="AQ100029"/>
    <d v="2025-07-23T00:00:00"/>
    <x v="6"/>
    <x v="1"/>
    <s v="Station-02"/>
    <n v="59.7"/>
    <n v="93.9"/>
    <n v="48.1"/>
    <n v="20.100000000000001"/>
    <n v="1.05"/>
    <n v="47"/>
    <n v="30.9"/>
    <n v="80.7"/>
    <n v="1.8"/>
    <n v="257"/>
    <x v="1"/>
    <s v="Moderate"/>
    <s v="Hot"/>
    <s v="High Humidity"/>
    <s v="Low Wind"/>
  </r>
  <r>
    <s v="AQ100030"/>
    <d v="2025-12-15T00:00:00"/>
    <x v="13"/>
    <x v="4"/>
    <s v="Station-04"/>
    <n v="55.2"/>
    <n v="39.799999999999997"/>
    <n v="75.2"/>
    <n v="29"/>
    <n v="1.02"/>
    <n v="69.2"/>
    <n v="21.4"/>
    <n v="88.5"/>
    <n v="2.2999999999999998"/>
    <n v="251"/>
    <x v="1"/>
    <s v="Good"/>
    <s v="Normal"/>
    <s v="High Humidity"/>
    <s v="Moderate Wind"/>
  </r>
  <r>
    <s v="AQ100031"/>
    <d v="2025-08-08T00:00:00"/>
    <x v="3"/>
    <x v="2"/>
    <s v="Station-11"/>
    <n v="11.2"/>
    <n v="68.900000000000006"/>
    <n v="13.7"/>
    <n v="8.3000000000000007"/>
    <n v="0.9"/>
    <n v="51.8"/>
    <n v="30.7"/>
    <n v="53.3"/>
    <n v="2.8"/>
    <n v="125"/>
    <x v="2"/>
    <s v="Moderate"/>
    <s v="Hot"/>
    <s v="Normal Humidity"/>
    <s v="Moderate Wind"/>
  </r>
  <r>
    <s v="AQ100032"/>
    <d v="2025-07-07T00:00:00"/>
    <x v="0"/>
    <x v="0"/>
    <s v="Station-04"/>
    <n v="50.1"/>
    <n v="77.5"/>
    <n v="29.8"/>
    <n v="21.5"/>
    <n v="0.86"/>
    <n v="34.799999999999997"/>
    <n v="29"/>
    <n v="75.099999999999994"/>
    <n v="1.2"/>
    <n v="207"/>
    <x v="1"/>
    <s v="Moderate"/>
    <s v="Normal"/>
    <s v="High Humidity"/>
    <s v="Low Wind"/>
  </r>
  <r>
    <s v="AQ100033"/>
    <d v="2025-01-27T00:00:00"/>
    <x v="3"/>
    <x v="2"/>
    <s v="Station-04"/>
    <n v="51.1"/>
    <n v="50.1"/>
    <n v="24.7"/>
    <n v="5.6"/>
    <n v="0.45"/>
    <n v="32.299999999999997"/>
    <n v="23.1"/>
    <n v="62.9"/>
    <n v="3.2"/>
    <n v="164"/>
    <x v="2"/>
    <s v="Moderate"/>
    <s v="Normal"/>
    <s v="High Humidity"/>
    <s v="Moderate Wind"/>
  </r>
  <r>
    <s v="AQ100034"/>
    <d v="2025-03-29T00:00:00"/>
    <x v="5"/>
    <x v="4"/>
    <s v="Station-05"/>
    <n v="28.8"/>
    <n v="87.4"/>
    <n v="38.6"/>
    <n v="17.3"/>
    <n v="1.19"/>
    <n v="38.200000000000003"/>
    <n v="29.1"/>
    <n v="58.8"/>
    <n v="2.2999999999999998"/>
    <n v="193"/>
    <x v="2"/>
    <s v="Moderate"/>
    <s v="Normal"/>
    <s v="Normal Humidity"/>
    <s v="Moderate Wind"/>
  </r>
  <r>
    <s v="AQ100035"/>
    <d v="2025-06-17T00:00:00"/>
    <x v="5"/>
    <x v="4"/>
    <s v="Station-04"/>
    <n v="50.7"/>
    <n v="169"/>
    <n v="26.1"/>
    <n v="24.3"/>
    <n v="0.69"/>
    <n v="34.9"/>
    <n v="21.3"/>
    <n v="67.8"/>
    <n v="3.5"/>
    <n v="262"/>
    <x v="1"/>
    <s v="VeryUnhealthy"/>
    <s v="Normal"/>
    <s v="High Humidity"/>
    <s v="Moderate Wind"/>
  </r>
  <r>
    <s v="AQ100036"/>
    <d v="2025-12-09T00:00:00"/>
    <x v="4"/>
    <x v="3"/>
    <s v="Station-06"/>
    <n v="55"/>
    <n v="86.8"/>
    <n v="70.599999999999994"/>
    <n v="3"/>
    <n v="0.57999999999999996"/>
    <n v="23.6"/>
    <n v="39.200000000000003"/>
    <n v="92.5"/>
    <n v="2.4"/>
    <n v="228"/>
    <x v="1"/>
    <s v="Moderate"/>
    <s v="Hot"/>
    <s v="High Humidity"/>
    <s v="Moderate Wind"/>
  </r>
  <r>
    <s v="AQ100037"/>
    <d v="2025-07-10T00:00:00"/>
    <x v="1"/>
    <x v="1"/>
    <s v="Station-07"/>
    <n v="31.6"/>
    <n v="118.2"/>
    <n v="36"/>
    <n v="6.6"/>
    <n v="0.23"/>
    <n v="19.8"/>
    <n v="32.1"/>
    <n v="44.1"/>
    <n v="5.3"/>
    <n v="175"/>
    <x v="2"/>
    <s v="Unhealthy"/>
    <s v="Hot"/>
    <s v="Normal Humidity"/>
    <s v="High Wind"/>
  </r>
  <r>
    <s v="AQ100038"/>
    <d v="2025-01-19T00:00:00"/>
    <x v="10"/>
    <x v="3"/>
    <s v="Station-02"/>
    <n v="58.8"/>
    <n v="89.6"/>
    <n v="19.2"/>
    <n v="18.2"/>
    <n v="0.02"/>
    <n v="75.3"/>
    <n v="29"/>
    <n v="57.3"/>
    <n v="3.6"/>
    <n v="215"/>
    <x v="1"/>
    <s v="Moderate"/>
    <s v="Normal"/>
    <s v="Normal Humidity"/>
    <s v="Moderate Wind"/>
  </r>
  <r>
    <s v="AQ100039"/>
    <d v="2025-03-17T00:00:00"/>
    <x v="1"/>
    <x v="1"/>
    <s v="Station-14"/>
    <n v="57"/>
    <n v="33.6"/>
    <n v="21.2"/>
    <n v="2"/>
    <n v="7.0000000000000007E-2"/>
    <n v="10.199999999999999"/>
    <n v="24.2"/>
    <n v="65"/>
    <n v="2.9"/>
    <n v="138"/>
    <x v="2"/>
    <s v="Good"/>
    <s v="Normal"/>
    <s v="High Humidity"/>
    <s v="Moderate Wind"/>
  </r>
  <r>
    <s v="AQ100040"/>
    <d v="2025-08-01T00:00:00"/>
    <x v="14"/>
    <x v="3"/>
    <s v="Station-05"/>
    <n v="33.9"/>
    <n v="94.6"/>
    <n v="33.1"/>
    <n v="40.299999999999997"/>
    <n v="0.38"/>
    <n v="63.8"/>
    <n v="37.200000000000003"/>
    <n v="40.4"/>
    <n v="2.8"/>
    <n v="209"/>
    <x v="1"/>
    <s v="Moderate"/>
    <s v="Hot"/>
    <s v="Normal Humidity"/>
    <s v="Moderate Wind"/>
  </r>
  <r>
    <s v="AQ100041"/>
    <d v="2025-02-21T00:00:00"/>
    <x v="0"/>
    <x v="0"/>
    <s v="Station-07"/>
    <n v="18.399999999999999"/>
    <n v="67"/>
    <n v="62.9"/>
    <n v="13"/>
    <n v="0.87"/>
    <n v="15.6"/>
    <n v="28.7"/>
    <n v="54.4"/>
    <n v="1.5"/>
    <n v="161"/>
    <x v="2"/>
    <s v="Moderate"/>
    <s v="Normal"/>
    <s v="Normal Humidity"/>
    <s v="Low Wind"/>
  </r>
  <r>
    <s v="AQ100042"/>
    <d v="2025-12-06T00:00:00"/>
    <x v="13"/>
    <x v="4"/>
    <s v="Station-01"/>
    <n v="40.5"/>
    <n v="154"/>
    <n v="5.2"/>
    <n v="8.6"/>
    <n v="0.16"/>
    <n v="38.9"/>
    <n v="33.4"/>
    <n v="41"/>
    <n v="3"/>
    <n v="197"/>
    <x v="2"/>
    <s v="VeryUnhealthy"/>
    <s v="Hot"/>
    <s v="Normal Humidity"/>
    <s v="Moderate Wind"/>
  </r>
  <r>
    <s v="AQ100043"/>
    <d v="2025-03-16T00:00:00"/>
    <x v="6"/>
    <x v="1"/>
    <s v="Station-08"/>
    <n v="33.1"/>
    <n v="65.8"/>
    <n v="36.4"/>
    <n v="10.8"/>
    <n v="0.3"/>
    <n v="34.299999999999997"/>
    <n v="25.5"/>
    <n v="64.2"/>
    <n v="2.8"/>
    <n v="155"/>
    <x v="2"/>
    <s v="Moderate"/>
    <s v="Normal"/>
    <s v="High Humidity"/>
    <s v="Moderate Wind"/>
  </r>
  <r>
    <s v="AQ100044"/>
    <d v="2025-09-29T00:00:00"/>
    <x v="15"/>
    <x v="3"/>
    <s v="Station-01"/>
    <n v="80.2"/>
    <n v="168.9"/>
    <n v="22.8"/>
    <n v="10.4"/>
    <n v="0.37"/>
    <n v="93.9"/>
    <n v="33.799999999999997"/>
    <n v="57.3"/>
    <n v="3.5"/>
    <n v="315"/>
    <x v="0"/>
    <s v="VeryUnhealthy"/>
    <s v="Hot"/>
    <s v="Normal Humidity"/>
    <s v="Moderate Wind"/>
  </r>
  <r>
    <s v="AQ100045"/>
    <d v="2025-10-03T00:00:00"/>
    <x v="10"/>
    <x v="3"/>
    <s v="Station-05"/>
    <n v="47.6"/>
    <n v="78"/>
    <n v="40.299999999999997"/>
    <n v="12.9"/>
    <n v="1.29"/>
    <n v="110.9"/>
    <n v="22.6"/>
    <n v="79"/>
    <n v="2.8"/>
    <n v="250"/>
    <x v="1"/>
    <s v="Moderate"/>
    <s v="Normal"/>
    <s v="High Humidity"/>
    <s v="Moderate Wind"/>
  </r>
  <r>
    <s v="AQ100046"/>
    <d v="2025-08-10T00:00:00"/>
    <x v="3"/>
    <x v="2"/>
    <s v="Station-14"/>
    <n v="56.9"/>
    <n v="154.9"/>
    <n v="13.7"/>
    <n v="6.1"/>
    <n v="0.15"/>
    <n v="13.5"/>
    <n v="32.200000000000003"/>
    <n v="74"/>
    <n v="0.8"/>
    <n v="217"/>
    <x v="1"/>
    <s v="VeryUnhealthy"/>
    <s v="Hot"/>
    <s v="High Humidity"/>
    <s v="Low Wind"/>
  </r>
  <r>
    <s v="AQ100047"/>
    <d v="2025-07-31T00:00:00"/>
    <x v="0"/>
    <x v="0"/>
    <s v="Station-02"/>
    <n v="47.7"/>
    <n v="50.5"/>
    <n v="13.7"/>
    <n v="14.1"/>
    <n v="0.84"/>
    <n v="46.2"/>
    <n v="30.4"/>
    <n v="52.9"/>
    <n v="2.2000000000000002"/>
    <n v="172"/>
    <x v="2"/>
    <s v="Moderate"/>
    <s v="Hot"/>
    <s v="Normal Humidity"/>
    <s v="Moderate Wind"/>
  </r>
  <r>
    <s v="AQ100048"/>
    <d v="2025-06-27T00:00:00"/>
    <x v="2"/>
    <x v="1"/>
    <s v="Station-11"/>
    <n v="90.2"/>
    <n v="52.4"/>
    <n v="10.199999999999999"/>
    <n v="25.9"/>
    <n v="0.22"/>
    <n v="30.5"/>
    <n v="25.3"/>
    <n v="55.5"/>
    <n v="1.3"/>
    <n v="224"/>
    <x v="1"/>
    <s v="Moderate"/>
    <s v="Normal"/>
    <s v="Normal Humidity"/>
    <s v="Low Wind"/>
  </r>
  <r>
    <s v="AQ100049"/>
    <d v="2025-03-14T00:00:00"/>
    <x v="5"/>
    <x v="4"/>
    <s v="Station-12"/>
    <n v="39"/>
    <n v="102.7"/>
    <n v="52.3"/>
    <n v="15.9"/>
    <n v="0.28999999999999998"/>
    <n v="120.3"/>
    <n v="29.4"/>
    <n v="55.3"/>
    <n v="2.2000000000000002"/>
    <n v="244"/>
    <x v="1"/>
    <s v="Unhealthy"/>
    <s v="Normal"/>
    <s v="Normal Humidity"/>
    <s v="Moderate Wind"/>
  </r>
  <r>
    <s v="AQ100050"/>
    <d v="2025-04-10T00:00:00"/>
    <x v="5"/>
    <x v="4"/>
    <s v="Station-12"/>
    <n v="40.1"/>
    <n v="98.2"/>
    <n v="20.2"/>
    <n v="5.8"/>
    <n v="0.95"/>
    <n v="38"/>
    <n v="31.2"/>
    <n v="59.9"/>
    <n v="2.2000000000000002"/>
    <n v="189"/>
    <x v="2"/>
    <s v="Moderate"/>
    <s v="Hot"/>
    <s v="Normal Humidity"/>
    <s v="Moderate Wind"/>
  </r>
  <r>
    <s v="AQ100051"/>
    <d v="2025-06-14T00:00:00"/>
    <x v="11"/>
    <x v="0"/>
    <s v="Station-02"/>
    <n v="92.5"/>
    <n v="76.900000000000006"/>
    <n v="7.7"/>
    <n v="24.4"/>
    <n v="0.94"/>
    <n v="28.5"/>
    <n v="21.5"/>
    <n v="57.2"/>
    <n v="0.8"/>
    <n v="258"/>
    <x v="1"/>
    <s v="Moderate"/>
    <s v="Normal"/>
    <s v="Normal Humidity"/>
    <s v="Low Wind"/>
  </r>
  <r>
    <s v="AQ100052"/>
    <d v="2025-07-25T00:00:00"/>
    <x v="4"/>
    <x v="3"/>
    <s v="Station-11"/>
    <n v="30.7"/>
    <n v="61.6"/>
    <n v="4.8"/>
    <n v="12"/>
    <n v="0.63"/>
    <n v="44"/>
    <n v="25.3"/>
    <n v="65.400000000000006"/>
    <n v="2.2999999999999998"/>
    <n v="137"/>
    <x v="2"/>
    <s v="Moderate"/>
    <s v="Normal"/>
    <s v="High Humidity"/>
    <s v="Moderate Wind"/>
  </r>
  <r>
    <s v="AQ100053"/>
    <d v="2025-11-11T00:00:00"/>
    <x v="1"/>
    <x v="1"/>
    <s v="Station-15"/>
    <n v="96"/>
    <n v="29.3"/>
    <n v="26.8"/>
    <n v="11.3"/>
    <n v="0.2"/>
    <n v="9.9"/>
    <n v="27.8"/>
    <n v="75.3"/>
    <n v="3.1"/>
    <n v="211"/>
    <x v="1"/>
    <s v="Good"/>
    <s v="Normal"/>
    <s v="High Humidity"/>
    <s v="Moderate Wind"/>
  </r>
  <r>
    <s v="AQ100054"/>
    <d v="2025-09-27T00:00:00"/>
    <x v="14"/>
    <x v="3"/>
    <s v="Station-05"/>
    <n v="44.6"/>
    <n v="46.3"/>
    <n v="7.7"/>
    <n v="20.6"/>
    <n v="0.18"/>
    <n v="28.5"/>
    <n v="27"/>
    <n v="65"/>
    <n v="2.7"/>
    <n v="139"/>
    <x v="2"/>
    <s v="Good"/>
    <s v="Normal"/>
    <s v="High Humidity"/>
    <s v="Moderate Wind"/>
  </r>
  <r>
    <s v="AQ100055"/>
    <d v="2025-12-26T00:00:00"/>
    <x v="5"/>
    <x v="4"/>
    <s v="Station-13"/>
    <n v="55.7"/>
    <n v="84.8"/>
    <n v="48.4"/>
    <n v="4.7"/>
    <n v="0.28000000000000003"/>
    <n v="81.3"/>
    <n v="20.2"/>
    <n v="70.2"/>
    <n v="1.8"/>
    <n v="230"/>
    <x v="1"/>
    <s v="Moderate"/>
    <s v="Normal"/>
    <s v="High Humidity"/>
    <s v="Low Wind"/>
  </r>
  <r>
    <s v="AQ100056"/>
    <d v="2025-07-24T00:00:00"/>
    <x v="12"/>
    <x v="4"/>
    <s v="Station-10"/>
    <n v="36.200000000000003"/>
    <n v="72.5"/>
    <n v="28.6"/>
    <n v="3.8"/>
    <n v="0.97"/>
    <n v="76.900000000000006"/>
    <n v="23"/>
    <n v="76.8"/>
    <n v="1.9"/>
    <n v="189"/>
    <x v="2"/>
    <s v="Moderate"/>
    <s v="Normal"/>
    <s v="High Humidity"/>
    <s v="Low Wind"/>
  </r>
  <r>
    <s v="AQ100057"/>
    <d v="2025-06-13T00:00:00"/>
    <x v="4"/>
    <x v="3"/>
    <s v="Station-14"/>
    <n v="71.5"/>
    <n v="86"/>
    <n v="31.6"/>
    <n v="16.8"/>
    <n v="1.34"/>
    <n v="63.6"/>
    <n v="19.399999999999999"/>
    <n v="87.3"/>
    <n v="1.9"/>
    <n v="269"/>
    <x v="1"/>
    <s v="Moderate"/>
    <s v="Cool"/>
    <s v="High Humidity"/>
    <s v="Low Wind"/>
  </r>
  <r>
    <s v="AQ100058"/>
    <d v="2025-10-07T00:00:00"/>
    <x v="15"/>
    <x v="3"/>
    <s v="Station-14"/>
    <n v="55.3"/>
    <n v="32.6"/>
    <n v="8.8000000000000007"/>
    <n v="6.4"/>
    <n v="0.82"/>
    <n v="10.199999999999999"/>
    <n v="27.2"/>
    <n v="94.7"/>
    <n v="2.2999999999999998"/>
    <n v="146"/>
    <x v="2"/>
    <s v="Good"/>
    <s v="Normal"/>
    <s v="High Humidity"/>
    <s v="Moderate Wind"/>
  </r>
  <r>
    <s v="AQ100059"/>
    <d v="2025-06-26T00:00:00"/>
    <x v="3"/>
    <x v="2"/>
    <s v="Station-04"/>
    <n v="45"/>
    <n v="38.700000000000003"/>
    <n v="22"/>
    <n v="12.6"/>
    <n v="1.2"/>
    <n v="9.5"/>
    <n v="26.6"/>
    <n v="45.1"/>
    <n v="1.9"/>
    <n v="158"/>
    <x v="2"/>
    <s v="Good"/>
    <s v="Normal"/>
    <s v="Normal Humidity"/>
    <s v="Low Wind"/>
  </r>
  <r>
    <s v="AQ100060"/>
    <d v="2025-12-19T00:00:00"/>
    <x v="10"/>
    <x v="3"/>
    <s v="Station-14"/>
    <n v="18.2"/>
    <n v="45.9"/>
    <n v="17.8"/>
    <n v="25.6"/>
    <n v="0.28999999999999998"/>
    <n v="41.1"/>
    <n v="27.3"/>
    <n v="55"/>
    <n v="2.2000000000000002"/>
    <n v="117"/>
    <x v="2"/>
    <s v="Good"/>
    <s v="Normal"/>
    <s v="Normal Humidity"/>
    <s v="Moderate Wind"/>
  </r>
  <r>
    <s v="AQ100061"/>
    <d v="2025-07-18T00:00:00"/>
    <x v="11"/>
    <x v="0"/>
    <s v="Station-08"/>
    <n v="30.8"/>
    <n v="129.6"/>
    <n v="30.5"/>
    <n v="28.7"/>
    <n v="1.26"/>
    <n v="53.5"/>
    <n v="25"/>
    <n v="72"/>
    <n v="1"/>
    <n v="234"/>
    <x v="1"/>
    <s v="Unhealthy"/>
    <s v="Normal"/>
    <s v="High Humidity"/>
    <s v="Low Wind"/>
  </r>
  <r>
    <s v="AQ100062"/>
    <d v="2025-08-22T00:00:00"/>
    <x v="14"/>
    <x v="3"/>
    <s v="Station-07"/>
    <n v="47.2"/>
    <n v="42.1"/>
    <n v="14.9"/>
    <n v="19.100000000000001"/>
    <n v="1.08"/>
    <n v="23.6"/>
    <n v="23.9"/>
    <n v="69"/>
    <n v="0.1"/>
    <n v="166"/>
    <x v="2"/>
    <s v="Good"/>
    <s v="Normal"/>
    <s v="High Humidity"/>
    <s v="Low Wind"/>
  </r>
  <r>
    <s v="AQ100063"/>
    <d v="2025-12-08T00:00:00"/>
    <x v="9"/>
    <x v="0"/>
    <s v="Station-01"/>
    <n v="87.8"/>
    <n v="127.8"/>
    <n v="23.2"/>
    <n v="10.7"/>
    <n v="0.55000000000000004"/>
    <n v="7.9"/>
    <n v="13.8"/>
    <n v="74.5"/>
    <n v="1.6"/>
    <n v="267"/>
    <x v="1"/>
    <s v="Unhealthy"/>
    <s v="Cool"/>
    <s v="High Humidity"/>
    <s v="Low Wind"/>
  </r>
  <r>
    <s v="AQ100064"/>
    <d v="2025-09-16T00:00:00"/>
    <x v="0"/>
    <x v="0"/>
    <s v="Station-14"/>
    <n v="31"/>
    <n v="75.400000000000006"/>
    <n v="30.3"/>
    <n v="8.1999999999999993"/>
    <n v="0.74"/>
    <n v="53.8"/>
    <n v="36.299999999999997"/>
    <n v="42.3"/>
    <n v="0.3"/>
    <n v="171"/>
    <x v="2"/>
    <s v="Moderate"/>
    <s v="Hot"/>
    <s v="Normal Humidity"/>
    <s v="Low Wind"/>
  </r>
  <r>
    <s v="AQ100065"/>
    <d v="2025-05-16T00:00:00"/>
    <x v="11"/>
    <x v="0"/>
    <s v="Station-01"/>
    <n v="64.5"/>
    <n v="148.4"/>
    <n v="11.7"/>
    <n v="17.3"/>
    <n v="1.83"/>
    <n v="13.8"/>
    <n v="21.4"/>
    <n v="55.8"/>
    <n v="3"/>
    <n v="273"/>
    <x v="1"/>
    <s v="Unhealthy"/>
    <s v="Normal"/>
    <s v="Normal Humidity"/>
    <s v="Moderate Wind"/>
  </r>
  <r>
    <s v="AQ100066"/>
    <d v="2025-11-06T00:00:00"/>
    <x v="7"/>
    <x v="2"/>
    <s v="Station-12"/>
    <n v="17.399999999999999"/>
    <n v="95.3"/>
    <n v="33.9"/>
    <n v="6.2"/>
    <n v="0.95"/>
    <n v="37.1"/>
    <n v="21.5"/>
    <n v="43.3"/>
    <n v="1.3"/>
    <n v="162"/>
    <x v="2"/>
    <s v="Moderate"/>
    <s v="Normal"/>
    <s v="Normal Humidity"/>
    <s v="Low Wind"/>
  </r>
  <r>
    <s v="AQ100067"/>
    <d v="2025-12-05T00:00:00"/>
    <x v="13"/>
    <x v="4"/>
    <s v="Station-15"/>
    <n v="66.599999999999994"/>
    <n v="83.1"/>
    <n v="43.9"/>
    <n v="24.9"/>
    <n v="0.4"/>
    <n v="71.099999999999994"/>
    <n v="20.5"/>
    <n v="53.5"/>
    <n v="1.4"/>
    <n v="255"/>
    <x v="1"/>
    <s v="Moderate"/>
    <s v="Normal"/>
    <s v="Normal Humidity"/>
    <s v="Low Wind"/>
  </r>
  <r>
    <s v="AQ100068"/>
    <d v="2025-07-21T00:00:00"/>
    <x v="12"/>
    <x v="4"/>
    <s v="Station-04"/>
    <n v="20.2"/>
    <n v="56.2"/>
    <n v="34.5"/>
    <n v="11.7"/>
    <n v="0.27"/>
    <n v="31.5"/>
    <n v="24.8"/>
    <n v="65.099999999999994"/>
    <n v="1.7"/>
    <n v="126"/>
    <x v="2"/>
    <s v="Moderate"/>
    <s v="Normal"/>
    <s v="High Humidity"/>
    <s v="Low Wind"/>
  </r>
  <r>
    <s v="AQ100069"/>
    <d v="2025-11-04T00:00:00"/>
    <x v="14"/>
    <x v="3"/>
    <s v="Station-01"/>
    <n v="70"/>
    <n v="86.1"/>
    <n v="10.199999999999999"/>
    <n v="14.5"/>
    <n v="0.45"/>
    <n v="29.1"/>
    <n v="23.1"/>
    <n v="39"/>
    <n v="1"/>
    <n v="211"/>
    <x v="1"/>
    <s v="Moderate"/>
    <s v="Normal"/>
    <s v="Normal Humidity"/>
    <s v="Low Wind"/>
  </r>
  <r>
    <s v="AQ100070"/>
    <d v="2025-04-16T00:00:00"/>
    <x v="4"/>
    <x v="3"/>
    <s v="Station-09"/>
    <n v="30.5"/>
    <n v="48.1"/>
    <n v="26"/>
    <n v="20.8"/>
    <n v="0.79"/>
    <n v="70.5"/>
    <n v="30"/>
    <n v="72.099999999999994"/>
    <n v="2.8"/>
    <n v="167"/>
    <x v="2"/>
    <s v="Good"/>
    <s v="Normal"/>
    <s v="High Humidity"/>
    <s v="Moderate Wind"/>
  </r>
  <r>
    <s v="AQ100071"/>
    <d v="2025-06-27T00:00:00"/>
    <x v="5"/>
    <x v="4"/>
    <s v="Station-14"/>
    <n v="50.7"/>
    <n v="64.5"/>
    <n v="18.8"/>
    <n v="3.9"/>
    <n v="1.77"/>
    <n v="27.3"/>
    <n v="32.5"/>
    <n v="96.2"/>
    <n v="1.4"/>
    <n v="197"/>
    <x v="2"/>
    <s v="Moderate"/>
    <s v="Hot"/>
    <s v="High Humidity"/>
    <s v="Low Wind"/>
  </r>
  <r>
    <s v="AQ100072"/>
    <d v="2025-10-17T00:00:00"/>
    <x v="11"/>
    <x v="0"/>
    <s v="Station-05"/>
    <n v="48.1"/>
    <n v="79.3"/>
    <n v="18.3"/>
    <n v="4.8"/>
    <n v="0.27"/>
    <n v="52.5"/>
    <n v="25.9"/>
    <n v="86"/>
    <n v="4.2"/>
    <n v="177"/>
    <x v="2"/>
    <s v="Moderate"/>
    <s v="Normal"/>
    <s v="High Humidity"/>
    <s v="Moderate Wind"/>
  </r>
  <r>
    <s v="AQ100073"/>
    <d v="2025-03-11T00:00:00"/>
    <x v="7"/>
    <x v="2"/>
    <s v="Station-11"/>
    <n v="21.4"/>
    <n v="76.400000000000006"/>
    <n v="21.7"/>
    <n v="34.799999999999997"/>
    <n v="0.75"/>
    <n v="31"/>
    <n v="27.6"/>
    <n v="76.3"/>
    <n v="1.9"/>
    <n v="158"/>
    <x v="2"/>
    <s v="Moderate"/>
    <s v="Normal"/>
    <s v="High Humidity"/>
    <s v="Low Wind"/>
  </r>
  <r>
    <s v="AQ100074"/>
    <d v="2025-10-29T00:00:00"/>
    <x v="12"/>
    <x v="4"/>
    <s v="Station-04"/>
    <n v="81.7"/>
    <n v="141.6"/>
    <n v="27.3"/>
    <n v="16.8"/>
    <n v="1.29"/>
    <n v="27.9"/>
    <n v="26.5"/>
    <n v="58.5"/>
    <n v="2.4"/>
    <n v="301"/>
    <x v="0"/>
    <s v="Unhealthy"/>
    <s v="Normal"/>
    <s v="Normal Humidity"/>
    <s v="Moderate Wind"/>
  </r>
  <r>
    <s v="AQ100075"/>
    <d v="2025-12-02T00:00:00"/>
    <x v="12"/>
    <x v="4"/>
    <s v="Station-06"/>
    <n v="73.7"/>
    <n v="68.2"/>
    <n v="32"/>
    <n v="4.4000000000000004"/>
    <n v="0.28999999999999998"/>
    <n v="39.6"/>
    <n v="27.5"/>
    <n v="47.2"/>
    <n v="1.6"/>
    <n v="216"/>
    <x v="1"/>
    <s v="Moderate"/>
    <s v="Normal"/>
    <s v="Normal Humidity"/>
    <s v="Low Wind"/>
  </r>
  <r>
    <s v="AQ100076"/>
    <d v="2025-12-24T00:00:00"/>
    <x v="15"/>
    <x v="3"/>
    <s v="Station-08"/>
    <n v="29.1"/>
    <n v="135.6"/>
    <n v="19.399999999999999"/>
    <n v="26.5"/>
    <n v="0.12"/>
    <n v="12.1"/>
    <n v="30.7"/>
    <n v="95.8"/>
    <n v="0.6"/>
    <n v="177"/>
    <x v="2"/>
    <s v="Unhealthy"/>
    <s v="Hot"/>
    <s v="High Humidity"/>
    <s v="Low Wind"/>
  </r>
  <r>
    <s v="AQ100077"/>
    <d v="2025-02-24T00:00:00"/>
    <x v="15"/>
    <x v="3"/>
    <s v="Station-08"/>
    <n v="79.3"/>
    <n v="90.7"/>
    <n v="26.2"/>
    <n v="17.3"/>
    <n v="0.02"/>
    <n v="99"/>
    <n v="28.4"/>
    <n v="40.6"/>
    <n v="0.1"/>
    <n v="264"/>
    <x v="1"/>
    <s v="Moderate"/>
    <s v="Normal"/>
    <s v="Normal Humidity"/>
    <s v="Low Wind"/>
  </r>
  <r>
    <s v="AQ100078"/>
    <d v="2025-01-08T00:00:00"/>
    <x v="9"/>
    <x v="0"/>
    <s v="Station-10"/>
    <n v="44.7"/>
    <n v="87.9"/>
    <n v="26.2"/>
    <n v="3.9"/>
    <n v="0.77"/>
    <n v="45.3"/>
    <n v="27.3"/>
    <n v="89.3"/>
    <n v="3.3"/>
    <n v="192"/>
    <x v="2"/>
    <s v="Moderate"/>
    <s v="Normal"/>
    <s v="High Humidity"/>
    <s v="Moderate Wind"/>
  </r>
  <r>
    <s v="AQ100079"/>
    <d v="2025-05-13T00:00:00"/>
    <x v="2"/>
    <x v="1"/>
    <s v="Station-02"/>
    <n v="16.399999999999999"/>
    <n v="42.8"/>
    <n v="35.6"/>
    <n v="62"/>
    <n v="0.22"/>
    <n v="28.8"/>
    <n v="27.7"/>
    <n v="63.8"/>
    <n v="3.8"/>
    <n v="144"/>
    <x v="2"/>
    <s v="Good"/>
    <s v="Normal"/>
    <s v="High Humidity"/>
    <s v="Moderate Wind"/>
  </r>
  <r>
    <s v="AQ100080"/>
    <d v="2025-07-05T00:00:00"/>
    <x v="4"/>
    <x v="3"/>
    <s v="Station-01"/>
    <n v="96.5"/>
    <n v="80.599999999999994"/>
    <n v="11.2"/>
    <n v="5.6"/>
    <n v="2.46"/>
    <n v="14.1"/>
    <n v="32"/>
    <n v="39.6"/>
    <n v="2.2999999999999998"/>
    <n v="288"/>
    <x v="1"/>
    <s v="Moderate"/>
    <s v="Hot"/>
    <s v="Normal Humidity"/>
    <s v="Moderate Wind"/>
  </r>
  <r>
    <s v="AQ100081"/>
    <d v="2025-07-09T00:00:00"/>
    <x v="15"/>
    <x v="3"/>
    <s v="Station-05"/>
    <n v="58.4"/>
    <n v="97.1"/>
    <n v="38.799999999999997"/>
    <n v="9.9"/>
    <n v="0.28000000000000003"/>
    <n v="41.4"/>
    <n v="32.1"/>
    <n v="68.8"/>
    <n v="3.6"/>
    <n v="220"/>
    <x v="1"/>
    <s v="Moderate"/>
    <s v="Hot"/>
    <s v="High Humidity"/>
    <s v="Moderate Wind"/>
  </r>
  <r>
    <s v="AQ100082"/>
    <d v="2025-01-23T00:00:00"/>
    <x v="8"/>
    <x v="2"/>
    <s v="Station-05"/>
    <n v="70.7"/>
    <n v="89.4"/>
    <n v="34.6"/>
    <n v="13.9"/>
    <n v="0.92"/>
    <n v="51.3"/>
    <n v="37.4"/>
    <n v="98"/>
    <n v="2.7"/>
    <n v="255"/>
    <x v="1"/>
    <s v="Moderate"/>
    <s v="Hot"/>
    <s v="High Humidity"/>
    <s v="Moderate Wind"/>
  </r>
  <r>
    <s v="AQ100083"/>
    <d v="2025-08-31T00:00:00"/>
    <x v="15"/>
    <x v="3"/>
    <s v="Station-12"/>
    <n v="31.6"/>
    <n v="96"/>
    <n v="40.700000000000003"/>
    <n v="10.9"/>
    <n v="1.32"/>
    <n v="39.6"/>
    <n v="24.7"/>
    <n v="77.099999999999994"/>
    <n v="1.6"/>
    <n v="204"/>
    <x v="1"/>
    <s v="Moderate"/>
    <s v="Normal"/>
    <s v="High Humidity"/>
    <s v="Low Wind"/>
  </r>
  <r>
    <s v="AQ100084"/>
    <d v="2025-07-01T00:00:00"/>
    <x v="4"/>
    <x v="3"/>
    <s v="Station-06"/>
    <n v="20.6"/>
    <n v="62.8"/>
    <n v="11.6"/>
    <n v="39.200000000000003"/>
    <n v="1.2"/>
    <n v="59.3"/>
    <n v="22.4"/>
    <n v="62.7"/>
    <n v="4"/>
    <n v="167"/>
    <x v="2"/>
    <s v="Moderate"/>
    <s v="Normal"/>
    <s v="High Humidity"/>
    <s v="Moderate Wind"/>
  </r>
  <r>
    <s v="AQ100085"/>
    <d v="2025-05-06T00:00:00"/>
    <x v="6"/>
    <x v="1"/>
    <s v="Station-12"/>
    <n v="67"/>
    <n v="78.2"/>
    <n v="24.7"/>
    <n v="4.7"/>
    <n v="2.0099999999999998"/>
    <n v="24.2"/>
    <n v="33.1"/>
    <n v="44.7"/>
    <n v="1.1000000000000001"/>
    <n v="242"/>
    <x v="1"/>
    <s v="Moderate"/>
    <s v="Hot"/>
    <s v="Normal Humidity"/>
    <s v="Low Wind"/>
  </r>
  <r>
    <s v="AQ100086"/>
    <d v="2025-06-24T00:00:00"/>
    <x v="10"/>
    <x v="3"/>
    <s v="Station-04"/>
    <n v="83.1"/>
    <n v="135.30000000000001"/>
    <n v="76.7"/>
    <n v="7.5"/>
    <n v="0.87"/>
    <n v="32.6"/>
    <n v="22"/>
    <n v="81.7"/>
    <n v="1.8"/>
    <n v="324"/>
    <x v="0"/>
    <s v="Unhealthy"/>
    <s v="Normal"/>
    <s v="High Humidity"/>
    <s v="Low Wind"/>
  </r>
  <r>
    <s v="AQ100087"/>
    <d v="2025-07-25T00:00:00"/>
    <x v="6"/>
    <x v="1"/>
    <s v="Station-01"/>
    <n v="12.3"/>
    <n v="103.7"/>
    <n v="94.2"/>
    <n v="16.8"/>
    <n v="0.48"/>
    <n v="21.2"/>
    <n v="28.8"/>
    <n v="67.099999999999994"/>
    <n v="2.4"/>
    <n v="196"/>
    <x v="2"/>
    <s v="Unhealthy"/>
    <s v="Normal"/>
    <s v="High Humidity"/>
    <s v="Moderate Wind"/>
  </r>
  <r>
    <s v="AQ100088"/>
    <d v="2025-03-22T00:00:00"/>
    <x v="8"/>
    <x v="2"/>
    <s v="Station-11"/>
    <n v="111.3"/>
    <n v="114.3"/>
    <n v="25.2"/>
    <n v="17"/>
    <n v="0.8"/>
    <n v="10.6"/>
    <n v="26.2"/>
    <n v="89.7"/>
    <n v="1.7"/>
    <n v="309"/>
    <x v="0"/>
    <s v="Unhealthy"/>
    <s v="Normal"/>
    <s v="High Humidity"/>
    <s v="Low Wind"/>
  </r>
  <r>
    <s v="AQ100089"/>
    <d v="2025-10-03T00:00:00"/>
    <x v="15"/>
    <x v="3"/>
    <s v="Station-08"/>
    <n v="31.9"/>
    <n v="83.9"/>
    <n v="70.2"/>
    <n v="7.5"/>
    <n v="2.2799999999999998"/>
    <n v="42.8"/>
    <n v="29"/>
    <n v="66.3"/>
    <n v="2.2999999999999998"/>
    <n v="243"/>
    <x v="1"/>
    <s v="Moderate"/>
    <s v="Normal"/>
    <s v="High Humidity"/>
    <s v="Moderate Wind"/>
  </r>
  <r>
    <s v="AQ100090"/>
    <d v="2025-12-31T00:00:00"/>
    <x v="14"/>
    <x v="3"/>
    <s v="Station-04"/>
    <n v="94.1"/>
    <n v="118.6"/>
    <n v="28.9"/>
    <n v="4.9000000000000004"/>
    <n v="0.89"/>
    <n v="67.2"/>
    <n v="32.299999999999997"/>
    <n v="83.4"/>
    <n v="2.6"/>
    <n v="307"/>
    <x v="0"/>
    <s v="Unhealthy"/>
    <s v="Hot"/>
    <s v="High Humidity"/>
    <s v="Moderate Wind"/>
  </r>
  <r>
    <s v="AQ100091"/>
    <d v="2025-05-11T00:00:00"/>
    <x v="13"/>
    <x v="4"/>
    <s v="Station-10"/>
    <n v="36.5"/>
    <n v="110.4"/>
    <n v="13.8"/>
    <n v="14.8"/>
    <n v="1.57"/>
    <n v="58.5"/>
    <n v="27.2"/>
    <n v="30.6"/>
    <n v="0.6"/>
    <n v="217"/>
    <x v="1"/>
    <s v="Unhealthy"/>
    <s v="Normal"/>
    <s v="Normal Humidity"/>
    <s v="Low Wind"/>
  </r>
  <r>
    <s v="AQ100092"/>
    <d v="2025-09-29T00:00:00"/>
    <x v="5"/>
    <x v="4"/>
    <s v="Station-09"/>
    <n v="52"/>
    <n v="121.2"/>
    <n v="8.9"/>
    <n v="11.4"/>
    <n v="0.42"/>
    <n v="44.5"/>
    <n v="21.6"/>
    <n v="29.7"/>
    <n v="1.7"/>
    <n v="208"/>
    <x v="1"/>
    <s v="Unhealthy"/>
    <s v="Normal"/>
    <s v="Low Humidity"/>
    <s v="Low Wind"/>
  </r>
  <r>
    <s v="AQ100093"/>
    <d v="2025-01-23T00:00:00"/>
    <x v="5"/>
    <x v="4"/>
    <s v="Station-07"/>
    <n v="37.6"/>
    <n v="248.9"/>
    <n v="11.5"/>
    <n v="16.5"/>
    <n v="0.86"/>
    <n v="53.5"/>
    <n v="23.9"/>
    <n v="38.4"/>
    <n v="0.7"/>
    <n v="288"/>
    <x v="1"/>
    <s v="VeryUnhealthy"/>
    <s v="Normal"/>
    <s v="Normal Humidity"/>
    <s v="Low Wind"/>
  </r>
  <r>
    <s v="AQ100094"/>
    <d v="2025-05-21T00:00:00"/>
    <x v="12"/>
    <x v="4"/>
    <s v="Station-13"/>
    <n v="16.2"/>
    <n v="74.5"/>
    <n v="7"/>
    <n v="21.7"/>
    <n v="0.65"/>
    <n v="6.7"/>
    <n v="31.4"/>
    <n v="73.5"/>
    <n v="3"/>
    <n v="114"/>
    <x v="2"/>
    <s v="Moderate"/>
    <s v="Hot"/>
    <s v="High Humidity"/>
    <s v="Moderate Wind"/>
  </r>
  <r>
    <s v="AQ100095"/>
    <d v="2025-07-23T00:00:00"/>
    <x v="3"/>
    <x v="2"/>
    <s v="Station-14"/>
    <n v="18.600000000000001"/>
    <n v="111.8"/>
    <n v="6.2"/>
    <n v="5.0999999999999996"/>
    <n v="1.33"/>
    <n v="7.6"/>
    <n v="27.1"/>
    <n v="92.8"/>
    <n v="1.4"/>
    <n v="148"/>
    <x v="2"/>
    <s v="Unhealthy"/>
    <s v="Normal"/>
    <s v="High Humidity"/>
    <s v="Low Wind"/>
  </r>
  <r>
    <s v="AQ100096"/>
    <d v="2025-10-18T00:00:00"/>
    <x v="14"/>
    <x v="3"/>
    <s v="Station-14"/>
    <n v="24.4"/>
    <n v="105.3"/>
    <n v="14.3"/>
    <n v="20.7"/>
    <n v="0.48"/>
    <n v="17.399999999999999"/>
    <n v="25.8"/>
    <n v="20"/>
    <n v="2.1"/>
    <n v="153"/>
    <x v="2"/>
    <s v="Unhealthy"/>
    <s v="Normal"/>
    <s v="Low Humidity"/>
    <s v="Moderate Wind"/>
  </r>
  <r>
    <s v="AQ100097"/>
    <d v="2025-04-24T00:00:00"/>
    <x v="1"/>
    <x v="1"/>
    <s v="Station-05"/>
    <n v="36.1"/>
    <n v="107.8"/>
    <n v="53.9"/>
    <n v="5.2"/>
    <n v="1.0900000000000001"/>
    <n v="35.5"/>
    <n v="26.2"/>
    <n v="92.2"/>
    <n v="1.6"/>
    <n v="218"/>
    <x v="1"/>
    <s v="Unhealthy"/>
    <s v="Normal"/>
    <s v="High Humidity"/>
    <s v="Low Wind"/>
  </r>
  <r>
    <s v="AQ100098"/>
    <d v="2025-04-01T00:00:00"/>
    <x v="8"/>
    <x v="2"/>
    <s v="Station-03"/>
    <n v="15"/>
    <n v="65"/>
    <n v="6.2"/>
    <n v="7.2"/>
    <n v="0.39"/>
    <n v="51.6"/>
    <n v="22.8"/>
    <n v="80.900000000000006"/>
    <n v="2.4"/>
    <n v="109"/>
    <x v="2"/>
    <s v="Moderate"/>
    <s v="Normal"/>
    <s v="High Humidity"/>
    <s v="Moderate Wind"/>
  </r>
  <r>
    <s v="AQ100099"/>
    <d v="2025-11-13T00:00:00"/>
    <x v="11"/>
    <x v="0"/>
    <s v="Station-07"/>
    <n v="34"/>
    <n v="105"/>
    <n v="37.9"/>
    <n v="26.2"/>
    <n v="2.06"/>
    <n v="25"/>
    <n v="19.7"/>
    <n v="52.9"/>
    <n v="3.5"/>
    <n v="234"/>
    <x v="1"/>
    <s v="Unhealthy"/>
    <s v="Cool"/>
    <s v="Normal Humidity"/>
    <s v="Moderate Wind"/>
  </r>
  <r>
    <s v="AQ100100"/>
    <d v="2025-04-14T00:00:00"/>
    <x v="13"/>
    <x v="4"/>
    <s v="Station-04"/>
    <n v="56.6"/>
    <n v="142"/>
    <n v="35.4"/>
    <n v="12.6"/>
    <n v="0.25"/>
    <n v="55.9"/>
    <n v="29"/>
    <n v="69"/>
    <n v="1.5"/>
    <n v="251"/>
    <x v="1"/>
    <s v="Unhealthy"/>
    <s v="Normal"/>
    <s v="High Humidity"/>
    <s v="Low Wind"/>
  </r>
  <r>
    <s v="AQ100101"/>
    <d v="2025-03-18T00:00:00"/>
    <x v="5"/>
    <x v="4"/>
    <s v="Station-08"/>
    <n v="105.4"/>
    <n v="130"/>
    <n v="51"/>
    <n v="7.9"/>
    <n v="2.02"/>
    <n v="52"/>
    <n v="32.5"/>
    <n v="96.4"/>
    <n v="4"/>
    <n v="373"/>
    <x v="0"/>
    <s v="Unhealthy"/>
    <s v="Hot"/>
    <s v="High Humidity"/>
    <s v="Moderate Wind"/>
  </r>
  <r>
    <s v="AQ100102"/>
    <d v="2025-10-11T00:00:00"/>
    <x v="12"/>
    <x v="4"/>
    <s v="Station-05"/>
    <n v="50.9"/>
    <n v="58.7"/>
    <n v="35.200000000000003"/>
    <n v="21.4"/>
    <n v="1.1100000000000001"/>
    <n v="27.9"/>
    <n v="28.6"/>
    <n v="43.5"/>
    <n v="4.2"/>
    <n v="203"/>
    <x v="1"/>
    <s v="Moderate"/>
    <s v="Normal"/>
    <s v="Normal Humidity"/>
    <s v="Moderate Wind"/>
  </r>
  <r>
    <s v="AQ100103"/>
    <d v="2025-02-02T00:00:00"/>
    <x v="2"/>
    <x v="1"/>
    <s v="Station-15"/>
    <n v="28.9"/>
    <n v="145.6"/>
    <n v="11.5"/>
    <n v="16.2"/>
    <n v="0.72"/>
    <n v="4.4000000000000004"/>
    <n v="27.6"/>
    <n v="35.9"/>
    <n v="1.5"/>
    <n v="181"/>
    <x v="2"/>
    <s v="Unhealthy"/>
    <s v="Normal"/>
    <s v="Normal Humidity"/>
    <s v="Low Wind"/>
  </r>
  <r>
    <s v="AQ100104"/>
    <d v="2025-09-11T00:00:00"/>
    <x v="4"/>
    <x v="3"/>
    <s v="Station-06"/>
    <n v="33.799999999999997"/>
    <n v="115.3"/>
    <n v="38"/>
    <n v="28.3"/>
    <n v="0.7"/>
    <n v="33.799999999999997"/>
    <n v="28.9"/>
    <n v="66.099999999999994"/>
    <n v="2.4"/>
    <n v="212"/>
    <x v="1"/>
    <s v="Unhealthy"/>
    <s v="Normal"/>
    <s v="High Humidity"/>
    <s v="Moderate Wind"/>
  </r>
  <r>
    <s v="AQ100105"/>
    <d v="2025-06-20T00:00:00"/>
    <x v="4"/>
    <x v="3"/>
    <s v="Station-08"/>
    <n v="19.3"/>
    <n v="42.3"/>
    <n v="74.7"/>
    <n v="15.2"/>
    <n v="0.28999999999999998"/>
    <n v="85.1"/>
    <n v="37.9"/>
    <n v="65"/>
    <n v="1.5"/>
    <n v="174"/>
    <x v="2"/>
    <s v="Good"/>
    <s v="Hot"/>
    <s v="High Humidity"/>
    <s v="Low Wind"/>
  </r>
  <r>
    <s v="AQ100106"/>
    <d v="2025-10-14T00:00:00"/>
    <x v="15"/>
    <x v="3"/>
    <s v="Station-05"/>
    <n v="40.200000000000003"/>
    <n v="26.7"/>
    <n v="5.4"/>
    <n v="25.7"/>
    <n v="0.81"/>
    <n v="17.899999999999999"/>
    <n v="18.7"/>
    <n v="49.2"/>
    <n v="1.8"/>
    <n v="132"/>
    <x v="2"/>
    <s v="Good"/>
    <s v="Cool"/>
    <s v="Normal Humidity"/>
    <s v="Low Wind"/>
  </r>
  <r>
    <s v="AQ100107"/>
    <d v="2025-11-08T00:00:00"/>
    <x v="8"/>
    <x v="2"/>
    <s v="Station-04"/>
    <n v="37.5"/>
    <n v="79.5"/>
    <n v="19.399999999999999"/>
    <n v="13.4"/>
    <n v="0.22"/>
    <n v="36.299999999999997"/>
    <n v="34.5"/>
    <n v="85.2"/>
    <n v="1"/>
    <n v="158"/>
    <x v="2"/>
    <s v="Moderate"/>
    <s v="Hot"/>
    <s v="High Humidity"/>
    <s v="Low Wind"/>
  </r>
  <r>
    <s v="AQ100108"/>
    <d v="2025-05-23T00:00:00"/>
    <x v="5"/>
    <x v="4"/>
    <s v="Station-11"/>
    <n v="50"/>
    <n v="158.30000000000001"/>
    <n v="49.5"/>
    <n v="14.6"/>
    <n v="1.37"/>
    <n v="27.4"/>
    <n v="32.5"/>
    <n v="28.5"/>
    <n v="2.5"/>
    <n v="279"/>
    <x v="1"/>
    <s v="VeryUnhealthy"/>
    <s v="Hot"/>
    <s v="Low Humidity"/>
    <s v="Moderate Wind"/>
  </r>
  <r>
    <s v="AQ100109"/>
    <d v="2025-04-01T00:00:00"/>
    <x v="0"/>
    <x v="0"/>
    <s v="Station-06"/>
    <n v="79.2"/>
    <n v="39.6"/>
    <n v="30.2"/>
    <n v="30.7"/>
    <n v="0.77"/>
    <n v="88.4"/>
    <n v="29.2"/>
    <n v="57.7"/>
    <n v="4.4000000000000004"/>
    <n v="257"/>
    <x v="1"/>
    <s v="Good"/>
    <s v="Normal"/>
    <s v="Normal Humidity"/>
    <s v="Moderate Wind"/>
  </r>
  <r>
    <s v="AQ100110"/>
    <d v="2025-03-09T00:00:00"/>
    <x v="5"/>
    <x v="4"/>
    <s v="Station-08"/>
    <n v="68.5"/>
    <n v="103.3"/>
    <n v="49.2"/>
    <n v="6"/>
    <n v="0.44"/>
    <n v="29.5"/>
    <n v="22.3"/>
    <n v="77"/>
    <n v="3"/>
    <n v="245"/>
    <x v="1"/>
    <s v="Unhealthy"/>
    <s v="Normal"/>
    <s v="High Humidity"/>
    <s v="Moderate Wind"/>
  </r>
  <r>
    <s v="AQ100111"/>
    <d v="2025-09-21T00:00:00"/>
    <x v="2"/>
    <x v="1"/>
    <s v="Station-14"/>
    <n v="23.8"/>
    <n v="103.3"/>
    <n v="28.4"/>
    <n v="30.6"/>
    <n v="0.17"/>
    <n v="41.1"/>
    <n v="27.1"/>
    <n v="56"/>
    <n v="1.3"/>
    <n v="172"/>
    <x v="2"/>
    <s v="Unhealthy"/>
    <s v="Normal"/>
    <s v="Normal Humidity"/>
    <s v="Low Wind"/>
  </r>
  <r>
    <s v="AQ100112"/>
    <d v="2025-06-08T00:00:00"/>
    <x v="3"/>
    <x v="2"/>
    <s v="Station-01"/>
    <n v="13.5"/>
    <n v="48.5"/>
    <n v="27.1"/>
    <n v="8.1"/>
    <n v="1.73"/>
    <n v="21.1"/>
    <n v="34.299999999999997"/>
    <n v="76.7"/>
    <n v="2.7"/>
    <n v="133"/>
    <x v="2"/>
    <s v="Good"/>
    <s v="Hot"/>
    <s v="High Humidity"/>
    <s v="Moderate Wind"/>
  </r>
  <r>
    <s v="AQ100113"/>
    <d v="2025-10-21T00:00:00"/>
    <x v="7"/>
    <x v="2"/>
    <s v="Station-03"/>
    <n v="16.3"/>
    <n v="65.400000000000006"/>
    <n v="18.899999999999999"/>
    <n v="1.1000000000000001"/>
    <n v="1.1200000000000001"/>
    <n v="34.6"/>
    <n v="29.4"/>
    <n v="63"/>
    <n v="1.3"/>
    <n v="128"/>
    <x v="2"/>
    <s v="Moderate"/>
    <s v="Normal"/>
    <s v="High Humidity"/>
    <s v="Low Wind"/>
  </r>
  <r>
    <s v="AQ100114"/>
    <d v="2025-09-28T00:00:00"/>
    <x v="12"/>
    <x v="4"/>
    <s v="Station-04"/>
    <n v="28.2"/>
    <n v="141.4"/>
    <n v="9.5"/>
    <n v="19.5"/>
    <n v="0.55000000000000004"/>
    <n v="48"/>
    <n v="28.7"/>
    <n v="64.8"/>
    <n v="1.2"/>
    <n v="194"/>
    <x v="2"/>
    <s v="Unhealthy"/>
    <s v="Normal"/>
    <s v="High Humidity"/>
    <s v="Low Wind"/>
  </r>
  <r>
    <s v="AQ100115"/>
    <d v="2025-12-31T00:00:00"/>
    <x v="11"/>
    <x v="0"/>
    <s v="Station-03"/>
    <n v="61.3"/>
    <n v="157.6"/>
    <n v="9.6"/>
    <n v="3.1"/>
    <n v="0.75"/>
    <n v="28.1"/>
    <n v="23.9"/>
    <n v="81.8"/>
    <n v="2.5"/>
    <n v="242"/>
    <x v="1"/>
    <s v="VeryUnhealthy"/>
    <s v="Normal"/>
    <s v="High Humidity"/>
    <s v="Moderate Wind"/>
  </r>
  <r>
    <s v="AQ100116"/>
    <d v="2025-11-05T00:00:00"/>
    <x v="15"/>
    <x v="3"/>
    <s v="Station-04"/>
    <n v="27.5"/>
    <n v="97.2"/>
    <n v="34.9"/>
    <n v="11.3"/>
    <n v="0.37"/>
    <n v="61.9"/>
    <n v="27.2"/>
    <n v="50.8"/>
    <n v="2.2000000000000002"/>
    <n v="180"/>
    <x v="2"/>
    <s v="Moderate"/>
    <s v="Normal"/>
    <s v="Normal Humidity"/>
    <s v="Moderate Wind"/>
  </r>
  <r>
    <s v="AQ100117"/>
    <d v="2025-12-01T00:00:00"/>
    <x v="7"/>
    <x v="2"/>
    <s v="Station-01"/>
    <n v="60.1"/>
    <n v="67.8"/>
    <n v="4.5999999999999996"/>
    <n v="26"/>
    <n v="0.92"/>
    <n v="46.2"/>
    <n v="29"/>
    <n v="78.400000000000006"/>
    <n v="2.1"/>
    <n v="206"/>
    <x v="1"/>
    <s v="Moderate"/>
    <s v="Normal"/>
    <s v="High Humidity"/>
    <s v="Moderate Wind"/>
  </r>
  <r>
    <s v="AQ100118"/>
    <d v="2025-11-26T00:00:00"/>
    <x v="2"/>
    <x v="1"/>
    <s v="Station-12"/>
    <n v="37.200000000000003"/>
    <n v="101"/>
    <n v="29"/>
    <n v="9.4"/>
    <n v="0.61"/>
    <n v="28.4"/>
    <n v="32.9"/>
    <n v="60.2"/>
    <n v="2.2000000000000002"/>
    <n v="183"/>
    <x v="2"/>
    <s v="Unhealthy"/>
    <s v="Hot"/>
    <s v="High Humidity"/>
    <s v="Moderate Wind"/>
  </r>
  <r>
    <s v="AQ100119"/>
    <d v="2025-11-29T00:00:00"/>
    <x v="2"/>
    <x v="1"/>
    <s v="Station-10"/>
    <n v="113.2"/>
    <n v="40.799999999999997"/>
    <n v="36.700000000000003"/>
    <n v="15.8"/>
    <n v="1.73"/>
    <n v="76.2"/>
    <n v="34.5"/>
    <n v="63"/>
    <n v="2.9"/>
    <n v="326"/>
    <x v="0"/>
    <s v="Good"/>
    <s v="Hot"/>
    <s v="High Humidity"/>
    <s v="Moderate Wind"/>
  </r>
  <r>
    <s v="AQ100120"/>
    <d v="2025-12-29T00:00:00"/>
    <x v="7"/>
    <x v="2"/>
    <s v="Station-02"/>
    <n v="71.900000000000006"/>
    <n v="51.5"/>
    <n v="5.0999999999999996"/>
    <n v="21"/>
    <n v="0.76"/>
    <n v="34.5"/>
    <n v="22.9"/>
    <n v="73.7"/>
    <n v="2.2999999999999998"/>
    <n v="202"/>
    <x v="1"/>
    <s v="Moderate"/>
    <s v="Normal"/>
    <s v="High Humidity"/>
    <s v="Moderate Wind"/>
  </r>
  <r>
    <s v="AQ100121"/>
    <d v="2025-05-19T00:00:00"/>
    <x v="0"/>
    <x v="0"/>
    <s v="Station-12"/>
    <n v="16"/>
    <n v="83.8"/>
    <n v="29.5"/>
    <n v="18.2"/>
    <n v="1.36"/>
    <n v="22.4"/>
    <n v="24.4"/>
    <n v="68.900000000000006"/>
    <n v="2.1"/>
    <n v="160"/>
    <x v="2"/>
    <s v="Moderate"/>
    <s v="Normal"/>
    <s v="High Humidity"/>
    <s v="Moderate Wind"/>
  </r>
  <r>
    <s v="AQ100122"/>
    <d v="2025-04-25T00:00:00"/>
    <x v="13"/>
    <x v="4"/>
    <s v="Station-02"/>
    <n v="62.3"/>
    <n v="182.8"/>
    <n v="7.4"/>
    <n v="10.6"/>
    <n v="0.47"/>
    <n v="6.5"/>
    <n v="20"/>
    <n v="47.9"/>
    <n v="0.7"/>
    <n v="247"/>
    <x v="1"/>
    <s v="VeryUnhealthy"/>
    <s v="Normal"/>
    <s v="Normal Humidity"/>
    <s v="Low Wind"/>
  </r>
  <r>
    <s v="AQ100123"/>
    <d v="2025-08-06T00:00:00"/>
    <x v="7"/>
    <x v="2"/>
    <s v="Station-03"/>
    <n v="25.6"/>
    <n v="74"/>
    <n v="21.1"/>
    <n v="5.6"/>
    <n v="1.1100000000000001"/>
    <n v="37.4"/>
    <n v="29.3"/>
    <n v="53.3"/>
    <n v="2.4"/>
    <n v="154"/>
    <x v="2"/>
    <s v="Moderate"/>
    <s v="Normal"/>
    <s v="Normal Humidity"/>
    <s v="Moderate Wind"/>
  </r>
  <r>
    <s v="AQ100124"/>
    <d v="2025-11-02T00:00:00"/>
    <x v="4"/>
    <x v="3"/>
    <s v="Station-10"/>
    <n v="8.6999999999999993"/>
    <n v="161.1"/>
    <n v="12.9"/>
    <n v="23.7"/>
    <n v="0.54"/>
    <n v="15.7"/>
    <n v="22"/>
    <n v="75.599999999999994"/>
    <n v="2.2000000000000002"/>
    <n v="166"/>
    <x v="2"/>
    <s v="VeryUnhealthy"/>
    <s v="Normal"/>
    <s v="High Humidity"/>
    <s v="Moderate Wind"/>
  </r>
  <r>
    <s v="AQ100125"/>
    <d v="2025-03-07T00:00:00"/>
    <x v="8"/>
    <x v="2"/>
    <s v="Station-13"/>
    <n v="71.599999999999994"/>
    <n v="34.4"/>
    <n v="41.1"/>
    <n v="5.3"/>
    <n v="0.18"/>
    <n v="38.6"/>
    <n v="22.2"/>
    <n v="69.400000000000006"/>
    <n v="0.4"/>
    <n v="195"/>
    <x v="2"/>
    <s v="Good"/>
    <s v="Normal"/>
    <s v="High Humidity"/>
    <s v="Low Wind"/>
  </r>
  <r>
    <s v="AQ100126"/>
    <d v="2025-12-31T00:00:00"/>
    <x v="5"/>
    <x v="4"/>
    <s v="Station-02"/>
    <n v="34.9"/>
    <n v="104.2"/>
    <n v="25.9"/>
    <n v="5.5"/>
    <n v="0.84"/>
    <n v="34"/>
    <n v="37.6"/>
    <n v="86.6"/>
    <n v="0.9"/>
    <n v="184"/>
    <x v="2"/>
    <s v="Unhealthy"/>
    <s v="Hot"/>
    <s v="High Humidity"/>
    <s v="Low Wind"/>
  </r>
  <r>
    <s v="AQ100127"/>
    <d v="2025-04-21T00:00:00"/>
    <x v="10"/>
    <x v="3"/>
    <s v="Station-01"/>
    <n v="103.8"/>
    <n v="131.9"/>
    <n v="84.8"/>
    <n v="30.8"/>
    <n v="1.23"/>
    <n v="25.1"/>
    <n v="36.4"/>
    <n v="75.599999999999994"/>
    <n v="3.4"/>
    <n v="383"/>
    <x v="0"/>
    <s v="Unhealthy"/>
    <s v="Hot"/>
    <s v="High Humidity"/>
    <s v="Moderate Wind"/>
  </r>
  <r>
    <s v="AQ100128"/>
    <d v="2025-04-13T00:00:00"/>
    <x v="6"/>
    <x v="1"/>
    <s v="Station-11"/>
    <n v="84.2"/>
    <n v="28.1"/>
    <n v="11.7"/>
    <n v="11.1"/>
    <n v="0.72"/>
    <n v="48.6"/>
    <n v="27.2"/>
    <n v="69.2"/>
    <n v="3"/>
    <n v="210"/>
    <x v="1"/>
    <s v="Good"/>
    <s v="Normal"/>
    <s v="High Humidity"/>
    <s v="Moderate Wind"/>
  </r>
  <r>
    <s v="AQ100129"/>
    <d v="2025-05-25T00:00:00"/>
    <x v="1"/>
    <x v="1"/>
    <s v="Station-13"/>
    <n v="34.799999999999997"/>
    <n v="46.5"/>
    <n v="109.2"/>
    <n v="16.5"/>
    <n v="1.02"/>
    <n v="16.7"/>
    <n v="21.7"/>
    <n v="58.8"/>
    <n v="1"/>
    <n v="218"/>
    <x v="1"/>
    <s v="Good"/>
    <s v="Normal"/>
    <s v="Normal Humidity"/>
    <s v="Low Wind"/>
  </r>
  <r>
    <s v="AQ100130"/>
    <d v="2025-01-02T00:00:00"/>
    <x v="9"/>
    <x v="0"/>
    <s v="Station-03"/>
    <n v="14"/>
    <n v="95.5"/>
    <n v="13.9"/>
    <n v="8.1999999999999993"/>
    <n v="0.21"/>
    <n v="17.8"/>
    <n v="26"/>
    <n v="31.2"/>
    <n v="1.2"/>
    <n v="115"/>
    <x v="2"/>
    <s v="Moderate"/>
    <s v="Normal"/>
    <s v="Normal Humidity"/>
    <s v="Low Wind"/>
  </r>
  <r>
    <s v="AQ100131"/>
    <d v="2025-05-25T00:00:00"/>
    <x v="5"/>
    <x v="4"/>
    <s v="Station-10"/>
    <n v="18.899999999999999"/>
    <n v="76.7"/>
    <n v="10.3"/>
    <n v="28.1"/>
    <n v="0.34"/>
    <n v="39.200000000000003"/>
    <n v="25.7"/>
    <n v="77.8"/>
    <n v="2.9"/>
    <n v="134"/>
    <x v="2"/>
    <s v="Moderate"/>
    <s v="Normal"/>
    <s v="High Humidity"/>
    <s v="Moderate Wind"/>
  </r>
  <r>
    <s v="AQ100132"/>
    <d v="2025-02-22T00:00:00"/>
    <x v="11"/>
    <x v="0"/>
    <s v="Station-10"/>
    <n v="61"/>
    <n v="56.8"/>
    <n v="12.4"/>
    <n v="12.1"/>
    <n v="0.32"/>
    <n v="33.299999999999997"/>
    <n v="25.9"/>
    <n v="63.5"/>
    <n v="1.7"/>
    <n v="176"/>
    <x v="2"/>
    <s v="Moderate"/>
    <s v="Normal"/>
    <s v="High Humidity"/>
    <s v="Low Wind"/>
  </r>
  <r>
    <s v="AQ100133"/>
    <d v="2025-10-20T00:00:00"/>
    <x v="4"/>
    <x v="3"/>
    <s v="Station-01"/>
    <n v="52"/>
    <n v="40.9"/>
    <n v="22"/>
    <n v="12.8"/>
    <n v="0.41"/>
    <n v="26.9"/>
    <n v="13.9"/>
    <n v="84.3"/>
    <n v="2.1"/>
    <n v="159"/>
    <x v="2"/>
    <s v="Good"/>
    <s v="Cool"/>
    <s v="High Humidity"/>
    <s v="Moderate Wind"/>
  </r>
  <r>
    <s v="AQ100134"/>
    <d v="2025-10-11T00:00:00"/>
    <x v="2"/>
    <x v="1"/>
    <s v="Station-06"/>
    <n v="22.9"/>
    <n v="113.7"/>
    <n v="55.4"/>
    <n v="17.600000000000001"/>
    <n v="0.35"/>
    <n v="135.69999999999999"/>
    <n v="25.6"/>
    <n v="80.7"/>
    <n v="0.4"/>
    <n v="237"/>
    <x v="1"/>
    <s v="Unhealthy"/>
    <s v="Normal"/>
    <s v="High Humidity"/>
    <s v="Low Wind"/>
  </r>
  <r>
    <s v="AQ100135"/>
    <d v="2025-08-19T00:00:00"/>
    <x v="10"/>
    <x v="3"/>
    <s v="Station-01"/>
    <n v="28.1"/>
    <n v="59.1"/>
    <n v="14.3"/>
    <n v="13.1"/>
    <n v="1.24"/>
    <n v="50.3"/>
    <n v="28.6"/>
    <n v="74.599999999999994"/>
    <n v="2.2000000000000002"/>
    <n v="158"/>
    <x v="2"/>
    <s v="Moderate"/>
    <s v="Normal"/>
    <s v="High Humidity"/>
    <s v="Moderate Wind"/>
  </r>
  <r>
    <s v="AQ100136"/>
    <d v="2025-10-21T00:00:00"/>
    <x v="4"/>
    <x v="3"/>
    <s v="Station-02"/>
    <n v="128.6"/>
    <n v="14.3"/>
    <n v="18.399999999999999"/>
    <n v="6.5"/>
    <n v="0.97"/>
    <n v="39.9"/>
    <n v="28.5"/>
    <n v="66.400000000000006"/>
    <n v="2.8"/>
    <n v="277"/>
    <x v="1"/>
    <s v="Good"/>
    <s v="Normal"/>
    <s v="High Humidity"/>
    <s v="Moderate Wind"/>
  </r>
  <r>
    <s v="AQ100137"/>
    <d v="2025-03-02T00:00:00"/>
    <x v="8"/>
    <x v="2"/>
    <s v="Station-04"/>
    <n v="45.6"/>
    <n v="67.3"/>
    <n v="19.5"/>
    <n v="10.8"/>
    <n v="0.28000000000000003"/>
    <n v="46.5"/>
    <n v="19.2"/>
    <n v="72.5"/>
    <n v="1.6"/>
    <n v="168"/>
    <x v="2"/>
    <s v="Moderate"/>
    <s v="Cool"/>
    <s v="High Humidity"/>
    <s v="Low Wind"/>
  </r>
  <r>
    <s v="AQ100138"/>
    <d v="2025-04-05T00:00:00"/>
    <x v="8"/>
    <x v="2"/>
    <s v="Station-11"/>
    <n v="37.6"/>
    <n v="126.8"/>
    <n v="17.399999999999999"/>
    <n v="8.5"/>
    <n v="1.34"/>
    <n v="51.9"/>
    <n v="24.2"/>
    <n v="78.2"/>
    <n v="2.4"/>
    <n v="219"/>
    <x v="1"/>
    <s v="Unhealthy"/>
    <s v="Normal"/>
    <s v="High Humidity"/>
    <s v="Moderate Wind"/>
  </r>
  <r>
    <s v="AQ100139"/>
    <d v="2025-11-18T00:00:00"/>
    <x v="8"/>
    <x v="2"/>
    <s v="Station-09"/>
    <n v="11.4"/>
    <n v="83.7"/>
    <n v="79.900000000000006"/>
    <n v="5.4"/>
    <n v="0.56999999999999995"/>
    <n v="70.599999999999994"/>
    <n v="29.7"/>
    <n v="20"/>
    <n v="1.2"/>
    <n v="186"/>
    <x v="2"/>
    <s v="Moderate"/>
    <s v="Normal"/>
    <s v="Low Humidity"/>
    <s v="Low Wind"/>
  </r>
  <r>
    <s v="AQ100140"/>
    <d v="2025-12-10T00:00:00"/>
    <x v="4"/>
    <x v="3"/>
    <s v="Station-01"/>
    <n v="15.4"/>
    <n v="74"/>
    <n v="22.3"/>
    <n v="59.8"/>
    <n v="1.0900000000000001"/>
    <n v="57.2"/>
    <n v="21.5"/>
    <n v="61.8"/>
    <n v="0.8"/>
    <n v="185"/>
    <x v="2"/>
    <s v="Moderate"/>
    <s v="Normal"/>
    <s v="High Humidity"/>
    <s v="Low Wind"/>
  </r>
  <r>
    <s v="AQ100141"/>
    <d v="2025-04-09T00:00:00"/>
    <x v="15"/>
    <x v="3"/>
    <s v="Station-15"/>
    <n v="76.3"/>
    <n v="47.2"/>
    <n v="6.6"/>
    <n v="18.600000000000001"/>
    <n v="0.33"/>
    <n v="32.700000000000003"/>
    <n v="26"/>
    <n v="68.2"/>
    <n v="3.1"/>
    <n v="194"/>
    <x v="2"/>
    <s v="Good"/>
    <s v="Normal"/>
    <s v="High Humidity"/>
    <s v="Moderate Wind"/>
  </r>
  <r>
    <s v="AQ100142"/>
    <d v="2025-03-28T00:00:00"/>
    <x v="12"/>
    <x v="4"/>
    <s v="Station-12"/>
    <n v="102.2"/>
    <n v="83"/>
    <n v="47.4"/>
    <n v="4.2"/>
    <n v="1.21"/>
    <n v="58.9"/>
    <n v="27.7"/>
    <n v="61.2"/>
    <n v="1.7"/>
    <n v="315"/>
    <x v="0"/>
    <s v="Moderate"/>
    <s v="Normal"/>
    <s v="High Humidity"/>
    <s v="Low Wind"/>
  </r>
  <r>
    <s v="AQ100143"/>
    <d v="2025-02-12T00:00:00"/>
    <x v="12"/>
    <x v="4"/>
    <s v="Station-01"/>
    <n v="43.8"/>
    <n v="42.1"/>
    <n v="9.4"/>
    <n v="70.599999999999994"/>
    <n v="0.32"/>
    <n v="28.7"/>
    <n v="18.899999999999999"/>
    <n v="83.8"/>
    <n v="3.2"/>
    <n v="175"/>
    <x v="2"/>
    <s v="Good"/>
    <s v="Cool"/>
    <s v="High Humidity"/>
    <s v="Moderate Wind"/>
  </r>
  <r>
    <s v="AQ100144"/>
    <d v="2025-09-23T00:00:00"/>
    <x v="15"/>
    <x v="3"/>
    <s v="Station-14"/>
    <n v="28"/>
    <n v="119"/>
    <n v="23.4"/>
    <n v="1.4"/>
    <n v="0.53"/>
    <n v="10"/>
    <n v="32"/>
    <n v="54.2"/>
    <n v="1.3"/>
    <n v="160"/>
    <x v="2"/>
    <s v="Unhealthy"/>
    <s v="Hot"/>
    <s v="Normal Humidity"/>
    <s v="Low Wind"/>
  </r>
  <r>
    <s v="AQ100145"/>
    <d v="2025-08-30T00:00:00"/>
    <x v="14"/>
    <x v="3"/>
    <s v="Station-15"/>
    <n v="32.6"/>
    <n v="78.8"/>
    <n v="38"/>
    <n v="11.3"/>
    <n v="1.57"/>
    <n v="14.7"/>
    <n v="14.9"/>
    <n v="66"/>
    <n v="3.7"/>
    <n v="188"/>
    <x v="2"/>
    <s v="Moderate"/>
    <s v="Cool"/>
    <s v="High Humidity"/>
    <s v="Moderate Wind"/>
  </r>
  <r>
    <s v="AQ100146"/>
    <d v="2025-03-09T00:00:00"/>
    <x v="7"/>
    <x v="2"/>
    <s v="Station-04"/>
    <n v="29.6"/>
    <n v="45.3"/>
    <n v="8"/>
    <n v="13.6"/>
    <n v="0.52"/>
    <n v="36.1"/>
    <n v="30.1"/>
    <n v="57.9"/>
    <n v="1.6"/>
    <n v="122"/>
    <x v="2"/>
    <s v="Good"/>
    <s v="Hot"/>
    <s v="Normal Humidity"/>
    <s v="Low Wind"/>
  </r>
  <r>
    <s v="AQ100147"/>
    <d v="2025-08-13T00:00:00"/>
    <x v="13"/>
    <x v="4"/>
    <s v="Station-07"/>
    <n v="43.1"/>
    <n v="121.6"/>
    <n v="20.3"/>
    <n v="4.9000000000000004"/>
    <n v="0.49"/>
    <n v="26.4"/>
    <n v="15.3"/>
    <n v="71.099999999999994"/>
    <n v="2"/>
    <n v="192"/>
    <x v="2"/>
    <s v="Unhealthy"/>
    <s v="Cool"/>
    <s v="High Humidity"/>
    <s v="Moderate Wind"/>
  </r>
  <r>
    <s v="AQ100148"/>
    <d v="2025-10-04T00:00:00"/>
    <x v="11"/>
    <x v="0"/>
    <s v="Station-08"/>
    <n v="49.2"/>
    <n v="90.3"/>
    <n v="45.4"/>
    <n v="15.4"/>
    <n v="0.69"/>
    <n v="35"/>
    <n v="26.1"/>
    <n v="60.4"/>
    <n v="2.7"/>
    <n v="218"/>
    <x v="1"/>
    <s v="Moderate"/>
    <s v="Normal"/>
    <s v="High Humidity"/>
    <s v="Moderate Wind"/>
  </r>
  <r>
    <s v="AQ100149"/>
    <d v="2025-04-19T00:00:00"/>
    <x v="11"/>
    <x v="0"/>
    <s v="Station-10"/>
    <n v="117"/>
    <n v="83.6"/>
    <n v="71.3"/>
    <n v="5.0999999999999996"/>
    <n v="0.1"/>
    <n v="74.599999999999994"/>
    <n v="30"/>
    <n v="53.2"/>
    <n v="1.5"/>
    <n v="338"/>
    <x v="0"/>
    <s v="Moderate"/>
    <s v="Normal"/>
    <s v="Normal Humidity"/>
    <s v="Low Wind"/>
  </r>
  <r>
    <s v="AQ100150"/>
    <d v="2025-01-19T00:00:00"/>
    <x v="9"/>
    <x v="0"/>
    <s v="Station-11"/>
    <n v="41.2"/>
    <n v="190"/>
    <n v="108.4"/>
    <n v="28.9"/>
    <n v="0.83"/>
    <n v="35.700000000000003"/>
    <n v="25.3"/>
    <n v="69.2"/>
    <n v="0.9"/>
    <n v="333"/>
    <x v="0"/>
    <s v="VeryUnhealthy"/>
    <s v="Normal"/>
    <s v="High Humidity"/>
    <s v="Low Wind"/>
  </r>
  <r>
    <s v="AQ100151"/>
    <d v="2025-03-22T00:00:00"/>
    <x v="11"/>
    <x v="0"/>
    <s v="Station-11"/>
    <n v="24"/>
    <n v="62.7"/>
    <n v="22.5"/>
    <n v="9.6"/>
    <n v="0.28999999999999998"/>
    <n v="18.399999999999999"/>
    <n v="25.8"/>
    <n v="26.6"/>
    <n v="1.9"/>
    <n v="119"/>
    <x v="2"/>
    <s v="Moderate"/>
    <s v="Normal"/>
    <s v="Low Humidity"/>
    <s v="Low Wind"/>
  </r>
  <r>
    <s v="AQ100152"/>
    <d v="2025-08-04T00:00:00"/>
    <x v="12"/>
    <x v="4"/>
    <s v="Station-05"/>
    <n v="35.200000000000003"/>
    <n v="90.5"/>
    <n v="41.8"/>
    <n v="22.4"/>
    <n v="0.47"/>
    <n v="16.7"/>
    <n v="23.9"/>
    <n v="55.6"/>
    <n v="3.5"/>
    <n v="184"/>
    <x v="2"/>
    <s v="Moderate"/>
    <s v="Normal"/>
    <s v="Normal Humidity"/>
    <s v="Moderate Wind"/>
  </r>
  <r>
    <s v="AQ100153"/>
    <d v="2025-07-08T00:00:00"/>
    <x v="10"/>
    <x v="3"/>
    <s v="Station-05"/>
    <n v="75.599999999999994"/>
    <n v="81.3"/>
    <n v="41.5"/>
    <n v="24.6"/>
    <n v="0.25"/>
    <n v="40.9"/>
    <n v="18.2"/>
    <n v="74.400000000000006"/>
    <n v="2.4"/>
    <n v="249"/>
    <x v="1"/>
    <s v="Moderate"/>
    <s v="Cool"/>
    <s v="High Humidity"/>
    <s v="Moderate Wind"/>
  </r>
  <r>
    <s v="AQ100154"/>
    <d v="2025-05-08T00:00:00"/>
    <x v="1"/>
    <x v="1"/>
    <s v="Station-09"/>
    <n v="32.200000000000003"/>
    <n v="100.7"/>
    <n v="26.7"/>
    <n v="10.7"/>
    <n v="0.08"/>
    <n v="51"/>
    <n v="22.5"/>
    <n v="46.2"/>
    <n v="3"/>
    <n v="171"/>
    <x v="2"/>
    <s v="Unhealthy"/>
    <s v="Normal"/>
    <s v="Normal Humidity"/>
    <s v="Moderate Wind"/>
  </r>
  <r>
    <s v="AQ100155"/>
    <d v="2025-07-22T00:00:00"/>
    <x v="6"/>
    <x v="1"/>
    <s v="Station-04"/>
    <n v="11.5"/>
    <n v="71.3"/>
    <n v="14.4"/>
    <n v="12.2"/>
    <n v="0.13"/>
    <n v="5"/>
    <n v="25"/>
    <n v="71.400000000000006"/>
    <n v="2.1"/>
    <n v="90"/>
    <x v="3"/>
    <s v="Moderate"/>
    <s v="Normal"/>
    <s v="High Humidity"/>
    <s v="Moderate Wind"/>
  </r>
  <r>
    <s v="AQ100156"/>
    <d v="2025-08-29T00:00:00"/>
    <x v="11"/>
    <x v="0"/>
    <s v="Station-01"/>
    <n v="10.7"/>
    <n v="77.3"/>
    <n v="23.2"/>
    <n v="10.5"/>
    <n v="0.43"/>
    <n v="34.299999999999997"/>
    <n v="34.700000000000003"/>
    <n v="56.4"/>
    <n v="0.3"/>
    <n v="119"/>
    <x v="2"/>
    <s v="Moderate"/>
    <s v="Hot"/>
    <s v="Normal Humidity"/>
    <s v="Low Wind"/>
  </r>
  <r>
    <s v="AQ100157"/>
    <d v="2025-12-13T00:00:00"/>
    <x v="10"/>
    <x v="3"/>
    <s v="Station-07"/>
    <n v="34.799999999999997"/>
    <n v="64.900000000000006"/>
    <n v="80.599999999999994"/>
    <n v="12.5"/>
    <n v="0.21"/>
    <n v="37.1"/>
    <n v="30.2"/>
    <n v="62.7"/>
    <n v="1.9"/>
    <n v="193"/>
    <x v="2"/>
    <s v="Moderate"/>
    <s v="Hot"/>
    <s v="High Humidity"/>
    <s v="Low Wind"/>
  </r>
  <r>
    <s v="AQ100158"/>
    <d v="2025-11-20T00:00:00"/>
    <x v="2"/>
    <x v="1"/>
    <s v="Station-05"/>
    <n v="27.2"/>
    <n v="58.2"/>
    <n v="7.1"/>
    <n v="12"/>
    <n v="0.85"/>
    <n v="12.3"/>
    <n v="27"/>
    <n v="65.400000000000006"/>
    <n v="1.6"/>
    <n v="122"/>
    <x v="2"/>
    <s v="Moderate"/>
    <s v="Normal"/>
    <s v="High Humidity"/>
    <s v="Low Wind"/>
  </r>
  <r>
    <s v="AQ100159"/>
    <d v="2025-09-07T00:00:00"/>
    <x v="2"/>
    <x v="1"/>
    <s v="Station-12"/>
    <n v="57.1"/>
    <n v="143.19999999999999"/>
    <n v="35"/>
    <n v="26.6"/>
    <n v="0.52"/>
    <n v="18.899999999999999"/>
    <n v="27.7"/>
    <n v="53.3"/>
    <n v="1.6"/>
    <n v="253"/>
    <x v="1"/>
    <s v="Unhealthy"/>
    <s v="Normal"/>
    <s v="Normal Humidity"/>
    <s v="Low Wind"/>
  </r>
  <r>
    <s v="AQ100160"/>
    <d v="2025-04-28T00:00:00"/>
    <x v="10"/>
    <x v="3"/>
    <s v="Station-05"/>
    <n v="58.3"/>
    <n v="49.6"/>
    <n v="30.2"/>
    <n v="1.8"/>
    <n v="0.83"/>
    <n v="27.1"/>
    <n v="28.3"/>
    <n v="41.3"/>
    <n v="2.4"/>
    <n v="184"/>
    <x v="2"/>
    <s v="Good"/>
    <s v="Normal"/>
    <s v="Normal Humidity"/>
    <s v="Moderate Wind"/>
  </r>
  <r>
    <s v="AQ100161"/>
    <d v="2025-05-26T00:00:00"/>
    <x v="11"/>
    <x v="0"/>
    <s v="Station-15"/>
    <n v="111.7"/>
    <n v="163.1"/>
    <n v="40.9"/>
    <n v="13.3"/>
    <n v="0.34"/>
    <n v="65.2"/>
    <n v="34.700000000000003"/>
    <n v="86.1"/>
    <n v="2.4"/>
    <n v="365"/>
    <x v="0"/>
    <s v="VeryUnhealthy"/>
    <s v="Hot"/>
    <s v="High Humidity"/>
    <s v="Moderate Wind"/>
  </r>
  <r>
    <s v="AQ100162"/>
    <d v="2025-12-14T00:00:00"/>
    <x v="10"/>
    <x v="3"/>
    <s v="Station-11"/>
    <n v="31.2"/>
    <n v="108.1"/>
    <n v="33.700000000000003"/>
    <n v="4.8"/>
    <n v="0.36"/>
    <n v="39.200000000000003"/>
    <n v="25.9"/>
    <n v="79.3"/>
    <n v="1.5"/>
    <n v="177"/>
    <x v="2"/>
    <s v="Unhealthy"/>
    <s v="Normal"/>
    <s v="High Humidity"/>
    <s v="Low Wind"/>
  </r>
  <r>
    <s v="AQ100163"/>
    <d v="2025-05-01T00:00:00"/>
    <x v="6"/>
    <x v="1"/>
    <s v="Station-12"/>
    <n v="43.1"/>
    <n v="106.9"/>
    <n v="22.4"/>
    <n v="26.4"/>
    <n v="0.25"/>
    <n v="24.8"/>
    <n v="32.5"/>
    <n v="73.900000000000006"/>
    <n v="3.8"/>
    <n v="192"/>
    <x v="2"/>
    <s v="Unhealthy"/>
    <s v="Hot"/>
    <s v="High Humidity"/>
    <s v="Moderate Wind"/>
  </r>
  <r>
    <s v="AQ100164"/>
    <d v="2025-06-14T00:00:00"/>
    <x v="3"/>
    <x v="2"/>
    <s v="Station-10"/>
    <n v="79.7"/>
    <n v="69.7"/>
    <n v="18.7"/>
    <n v="9.4"/>
    <n v="1.63"/>
    <n v="32.4"/>
    <n v="28"/>
    <n v="67.099999999999994"/>
    <n v="2.6"/>
    <n v="250"/>
    <x v="1"/>
    <s v="Moderate"/>
    <s v="Normal"/>
    <s v="High Humidity"/>
    <s v="Moderate Wind"/>
  </r>
  <r>
    <s v="AQ100165"/>
    <d v="2025-12-28T00:00:00"/>
    <x v="2"/>
    <x v="1"/>
    <s v="Station-14"/>
    <n v="29.6"/>
    <n v="150"/>
    <n v="8.1999999999999993"/>
    <n v="9.4"/>
    <n v="0.35"/>
    <n v="23.2"/>
    <n v="17.399999999999999"/>
    <n v="68.3"/>
    <n v="2.5"/>
    <n v="177"/>
    <x v="2"/>
    <s v="Unhealthy"/>
    <s v="Cool"/>
    <s v="High Humidity"/>
    <s v="Moderate Wind"/>
  </r>
  <r>
    <s v="AQ100166"/>
    <d v="2025-05-26T00:00:00"/>
    <x v="5"/>
    <x v="4"/>
    <s v="Station-11"/>
    <n v="27.8"/>
    <n v="131.5"/>
    <n v="46"/>
    <n v="26.2"/>
    <n v="0.27"/>
    <n v="32.1"/>
    <n v="19.7"/>
    <n v="58.4"/>
    <n v="2.1"/>
    <n v="206"/>
    <x v="1"/>
    <s v="Unhealthy"/>
    <s v="Cool"/>
    <s v="Normal Humidity"/>
    <s v="Moderate Wind"/>
  </r>
  <r>
    <s v="AQ100167"/>
    <d v="2025-10-15T00:00:00"/>
    <x v="6"/>
    <x v="1"/>
    <s v="Station-14"/>
    <n v="18.2"/>
    <n v="77.5"/>
    <n v="34.799999999999997"/>
    <n v="4.5"/>
    <n v="0.91"/>
    <n v="45.1"/>
    <n v="23.3"/>
    <n v="61.8"/>
    <n v="3.7"/>
    <n v="154"/>
    <x v="2"/>
    <s v="Moderate"/>
    <s v="Normal"/>
    <s v="High Humidity"/>
    <s v="Moderate Wind"/>
  </r>
  <r>
    <s v="AQ100168"/>
    <d v="2025-03-16T00:00:00"/>
    <x v="6"/>
    <x v="1"/>
    <s v="Station-14"/>
    <n v="77.400000000000006"/>
    <n v="185"/>
    <n v="8.9"/>
    <n v="10.3"/>
    <n v="0.87"/>
    <n v="37"/>
    <n v="31.6"/>
    <n v="85.8"/>
    <n v="2"/>
    <n v="297"/>
    <x v="1"/>
    <s v="VeryUnhealthy"/>
    <s v="Hot"/>
    <s v="High Humidity"/>
    <s v="Moderate Wind"/>
  </r>
  <r>
    <s v="AQ100169"/>
    <d v="2025-05-26T00:00:00"/>
    <x v="4"/>
    <x v="3"/>
    <s v="Station-11"/>
    <n v="57.5"/>
    <n v="125.7"/>
    <n v="57.8"/>
    <n v="4.2"/>
    <n v="0.06"/>
    <n v="69.2"/>
    <n v="15.7"/>
    <n v="76.5"/>
    <n v="4.0999999999999996"/>
    <n v="256"/>
    <x v="1"/>
    <s v="Unhealthy"/>
    <s v="Cool"/>
    <s v="High Humidity"/>
    <s v="Moderate Wind"/>
  </r>
  <r>
    <s v="AQ100170"/>
    <d v="2025-01-21T00:00:00"/>
    <x v="2"/>
    <x v="1"/>
    <s v="Station-15"/>
    <n v="31.3"/>
    <n v="160"/>
    <n v="43"/>
    <n v="3.9"/>
    <n v="0.48"/>
    <n v="25.7"/>
    <n v="18.5"/>
    <n v="50"/>
    <n v="3.5"/>
    <n v="215"/>
    <x v="1"/>
    <s v="VeryUnhealthy"/>
    <s v="Cool"/>
    <s v="Normal Humidity"/>
    <s v="Moderate Wind"/>
  </r>
  <r>
    <s v="AQ100171"/>
    <d v="2025-11-04T00:00:00"/>
    <x v="0"/>
    <x v="0"/>
    <s v="Station-01"/>
    <n v="19.3"/>
    <n v="38.4"/>
    <n v="8.6"/>
    <n v="6.9"/>
    <n v="0.63"/>
    <n v="57.8"/>
    <n v="29.3"/>
    <n v="47.8"/>
    <n v="1.6"/>
    <n v="109"/>
    <x v="2"/>
    <s v="Good"/>
    <s v="Normal"/>
    <s v="Normal Humidity"/>
    <s v="Low Wind"/>
  </r>
  <r>
    <s v="AQ100172"/>
    <d v="2025-01-23T00:00:00"/>
    <x v="12"/>
    <x v="4"/>
    <s v="Station-02"/>
    <n v="76.599999999999994"/>
    <n v="61.4"/>
    <n v="17.8"/>
    <n v="14.1"/>
    <n v="0.43"/>
    <n v="109.2"/>
    <n v="34.700000000000003"/>
    <n v="51.7"/>
    <n v="1.1000000000000001"/>
    <n v="246"/>
    <x v="1"/>
    <s v="Moderate"/>
    <s v="Hot"/>
    <s v="Normal Humidity"/>
    <s v="Low Wind"/>
  </r>
  <r>
    <s v="AQ100173"/>
    <d v="2025-10-28T00:00:00"/>
    <x v="9"/>
    <x v="0"/>
    <s v="Station-11"/>
    <n v="89.4"/>
    <n v="74.8"/>
    <n v="21.2"/>
    <n v="3.5"/>
    <n v="1.33"/>
    <n v="13.3"/>
    <n v="21.8"/>
    <n v="81.7"/>
    <n v="1.7"/>
    <n v="250"/>
    <x v="1"/>
    <s v="Moderate"/>
    <s v="Normal"/>
    <s v="High Humidity"/>
    <s v="Low Wind"/>
  </r>
  <r>
    <s v="AQ100174"/>
    <d v="2025-11-07T00:00:00"/>
    <x v="5"/>
    <x v="4"/>
    <s v="Station-10"/>
    <n v="26.9"/>
    <n v="112.6"/>
    <n v="131.4"/>
    <n v="27.3"/>
    <n v="0.49"/>
    <n v="30"/>
    <n v="31.5"/>
    <n v="92.4"/>
    <n v="2.6"/>
    <n v="266"/>
    <x v="1"/>
    <s v="Unhealthy"/>
    <s v="Hot"/>
    <s v="High Humidity"/>
    <s v="Moderate Wind"/>
  </r>
  <r>
    <s v="AQ100175"/>
    <d v="2025-03-01T00:00:00"/>
    <x v="13"/>
    <x v="4"/>
    <s v="Station-02"/>
    <n v="28"/>
    <n v="12.1"/>
    <n v="10.9"/>
    <n v="7.3"/>
    <n v="1.72"/>
    <n v="4.5999999999999996"/>
    <n v="15.8"/>
    <n v="47.4"/>
    <n v="0.1"/>
    <n v="112"/>
    <x v="2"/>
    <s v="Good"/>
    <s v="Cool"/>
    <s v="Normal Humidity"/>
    <s v="Low Wind"/>
  </r>
  <r>
    <s v="AQ100176"/>
    <d v="2025-01-03T00:00:00"/>
    <x v="12"/>
    <x v="4"/>
    <s v="Station-06"/>
    <n v="86.5"/>
    <n v="58.9"/>
    <n v="42.5"/>
    <n v="21.2"/>
    <n v="0.44"/>
    <n v="27.4"/>
    <n v="29.5"/>
    <n v="73.7"/>
    <n v="2.9"/>
    <n v="249"/>
    <x v="1"/>
    <s v="Moderate"/>
    <s v="Normal"/>
    <s v="High Humidity"/>
    <s v="Moderate Wind"/>
  </r>
  <r>
    <s v="AQ100177"/>
    <d v="2025-12-18T00:00:00"/>
    <x v="5"/>
    <x v="4"/>
    <s v="Station-10"/>
    <n v="24.1"/>
    <n v="30.1"/>
    <n v="62.9"/>
    <n v="6.2"/>
    <n v="0.42"/>
    <n v="30.8"/>
    <n v="28.1"/>
    <n v="45.6"/>
    <n v="2.6"/>
    <n v="137"/>
    <x v="2"/>
    <s v="Good"/>
    <s v="Normal"/>
    <s v="Normal Humidity"/>
    <s v="Moderate Wind"/>
  </r>
  <r>
    <s v="AQ100178"/>
    <d v="2025-08-25T00:00:00"/>
    <x v="12"/>
    <x v="4"/>
    <s v="Station-05"/>
    <n v="31.3"/>
    <n v="87.6"/>
    <n v="20.100000000000001"/>
    <n v="3.1"/>
    <n v="1.7"/>
    <n v="28.3"/>
    <n v="25.9"/>
    <n v="50.4"/>
    <n v="3.4"/>
    <n v="181"/>
    <x v="2"/>
    <s v="Moderate"/>
    <s v="Normal"/>
    <s v="Normal Humidity"/>
    <s v="Moderate Wind"/>
  </r>
  <r>
    <s v="AQ100179"/>
    <d v="2025-08-01T00:00:00"/>
    <x v="12"/>
    <x v="4"/>
    <s v="Station-14"/>
    <n v="17.600000000000001"/>
    <n v="74.400000000000006"/>
    <n v="14.4"/>
    <n v="5.2"/>
    <n v="1.1100000000000001"/>
    <n v="20.100000000000001"/>
    <n v="24.6"/>
    <n v="49"/>
    <n v="1.8"/>
    <n v="128"/>
    <x v="2"/>
    <s v="Moderate"/>
    <s v="Normal"/>
    <s v="Normal Humidity"/>
    <s v="Low Wind"/>
  </r>
  <r>
    <s v="AQ100180"/>
    <d v="2025-08-11T00:00:00"/>
    <x v="9"/>
    <x v="0"/>
    <s v="Station-13"/>
    <n v="40.799999999999997"/>
    <n v="59.2"/>
    <n v="51.6"/>
    <n v="5.2"/>
    <n v="0.35"/>
    <n v="36"/>
    <n v="26.1"/>
    <n v="98"/>
    <n v="1.9"/>
    <n v="174"/>
    <x v="2"/>
    <s v="Moderate"/>
    <s v="Normal"/>
    <s v="High Humidity"/>
    <s v="Low Wind"/>
  </r>
  <r>
    <s v="AQ100181"/>
    <d v="2025-10-03T00:00:00"/>
    <x v="10"/>
    <x v="3"/>
    <s v="Station-04"/>
    <n v="85.4"/>
    <n v="55.1"/>
    <n v="13.3"/>
    <n v="16.5"/>
    <n v="0.44"/>
    <n v="36.299999999999997"/>
    <n v="29.5"/>
    <n v="93.4"/>
    <n v="2"/>
    <n v="222"/>
    <x v="1"/>
    <s v="Moderate"/>
    <s v="Normal"/>
    <s v="High Humidity"/>
    <s v="Moderate Wind"/>
  </r>
  <r>
    <s v="AQ100182"/>
    <d v="2025-08-03T00:00:00"/>
    <x v="9"/>
    <x v="0"/>
    <s v="Station-08"/>
    <n v="100.1"/>
    <n v="89.6"/>
    <n v="29.1"/>
    <n v="21"/>
    <n v="0.24"/>
    <n v="17.2"/>
    <n v="24.4"/>
    <n v="60.9"/>
    <n v="3.1"/>
    <n v="270"/>
    <x v="1"/>
    <s v="Moderate"/>
    <s v="Normal"/>
    <s v="High Humidity"/>
    <s v="Moderate Wind"/>
  </r>
  <r>
    <s v="AQ100183"/>
    <d v="2025-10-05T00:00:00"/>
    <x v="1"/>
    <x v="1"/>
    <s v="Station-08"/>
    <n v="86.8"/>
    <n v="130.6"/>
    <n v="37.5"/>
    <n v="9.1"/>
    <n v="2"/>
    <n v="57.7"/>
    <n v="27.6"/>
    <n v="56"/>
    <n v="1.9"/>
    <n v="336"/>
    <x v="0"/>
    <s v="Unhealthy"/>
    <s v="Normal"/>
    <s v="Normal Humidity"/>
    <s v="Low Wind"/>
  </r>
  <r>
    <s v="AQ100184"/>
    <d v="2025-06-17T00:00:00"/>
    <x v="14"/>
    <x v="3"/>
    <s v="Station-07"/>
    <n v="63.6"/>
    <n v="27.4"/>
    <n v="10.4"/>
    <n v="3.1"/>
    <n v="1.85"/>
    <n v="12.4"/>
    <n v="27.7"/>
    <n v="51.9"/>
    <n v="1.2"/>
    <n v="182"/>
    <x v="2"/>
    <s v="Good"/>
    <s v="Normal"/>
    <s v="Normal Humidity"/>
    <s v="Low Wind"/>
  </r>
  <r>
    <s v="AQ100185"/>
    <d v="2025-01-09T00:00:00"/>
    <x v="10"/>
    <x v="3"/>
    <s v="Station-10"/>
    <n v="90.1"/>
    <n v="61.3"/>
    <n v="53.6"/>
    <n v="6.9"/>
    <n v="0.33"/>
    <n v="25.3"/>
    <n v="29.1"/>
    <n v="65.5"/>
    <n v="0.6"/>
    <n v="251"/>
    <x v="1"/>
    <s v="Moderate"/>
    <s v="Normal"/>
    <s v="High Humidity"/>
    <s v="Low Wind"/>
  </r>
  <r>
    <s v="AQ100186"/>
    <d v="2025-01-24T00:00:00"/>
    <x v="11"/>
    <x v="0"/>
    <s v="Station-03"/>
    <n v="30.2"/>
    <n v="190.8"/>
    <n v="27.9"/>
    <n v="8"/>
    <n v="0.18"/>
    <n v="18.3"/>
    <n v="21.7"/>
    <n v="68.599999999999994"/>
    <n v="2.2999999999999998"/>
    <n v="213"/>
    <x v="1"/>
    <s v="VeryUnhealthy"/>
    <s v="Normal"/>
    <s v="High Humidity"/>
    <s v="Moderate Wind"/>
  </r>
  <r>
    <s v="AQ100187"/>
    <d v="2025-10-03T00:00:00"/>
    <x v="14"/>
    <x v="3"/>
    <s v="Station-07"/>
    <n v="90.7"/>
    <n v="83.7"/>
    <n v="32.700000000000003"/>
    <n v="12.2"/>
    <n v="0.87"/>
    <n v="14.2"/>
    <n v="33.1"/>
    <n v="81.7"/>
    <n v="1.7"/>
    <n v="262"/>
    <x v="1"/>
    <s v="Moderate"/>
    <s v="Hot"/>
    <s v="High Humidity"/>
    <s v="Low Wind"/>
  </r>
  <r>
    <s v="AQ100188"/>
    <d v="2025-03-12T00:00:00"/>
    <x v="7"/>
    <x v="2"/>
    <s v="Station-12"/>
    <n v="21"/>
    <n v="95.9"/>
    <n v="31"/>
    <n v="6.8"/>
    <n v="0.17"/>
    <n v="21.8"/>
    <n v="34.9"/>
    <n v="67.7"/>
    <n v="1.1000000000000001"/>
    <n v="140"/>
    <x v="2"/>
    <s v="Moderate"/>
    <s v="Hot"/>
    <s v="High Humidity"/>
    <s v="Low Wind"/>
  </r>
  <r>
    <s v="AQ100189"/>
    <d v="2025-02-07T00:00:00"/>
    <x v="12"/>
    <x v="4"/>
    <s v="Station-04"/>
    <n v="43.8"/>
    <n v="57.3"/>
    <n v="35.9"/>
    <n v="13.3"/>
    <n v="0.48"/>
    <n v="39.299999999999997"/>
    <n v="28.7"/>
    <n v="59.1"/>
    <n v="4"/>
    <n v="175"/>
    <x v="2"/>
    <s v="Moderate"/>
    <s v="Normal"/>
    <s v="Normal Humidity"/>
    <s v="Moderate Wind"/>
  </r>
  <r>
    <s v="AQ100190"/>
    <d v="2025-09-11T00:00:00"/>
    <x v="3"/>
    <x v="2"/>
    <s v="Station-14"/>
    <n v="60.6"/>
    <n v="103.4"/>
    <n v="15.1"/>
    <n v="6"/>
    <n v="0.33"/>
    <n v="42.9"/>
    <n v="32.299999999999997"/>
    <n v="76.2"/>
    <n v="2.9"/>
    <n v="208"/>
    <x v="1"/>
    <s v="Unhealthy"/>
    <s v="Hot"/>
    <s v="High Humidity"/>
    <s v="Moderate Wind"/>
  </r>
  <r>
    <s v="AQ100191"/>
    <d v="2025-02-28T00:00:00"/>
    <x v="6"/>
    <x v="1"/>
    <s v="Station-01"/>
    <n v="62.5"/>
    <n v="192.8"/>
    <n v="15.6"/>
    <n v="12.6"/>
    <n v="0.16"/>
    <n v="72.400000000000006"/>
    <n v="30.2"/>
    <n v="62.5"/>
    <n v="1"/>
    <n v="283"/>
    <x v="1"/>
    <s v="VeryUnhealthy"/>
    <s v="Hot"/>
    <s v="High Humidity"/>
    <s v="Low Wind"/>
  </r>
  <r>
    <s v="AQ100192"/>
    <d v="2025-11-22T00:00:00"/>
    <x v="3"/>
    <x v="2"/>
    <s v="Station-11"/>
    <n v="30.2"/>
    <n v="57.6"/>
    <n v="38"/>
    <n v="20.8"/>
    <n v="1.0900000000000001"/>
    <n v="39.700000000000003"/>
    <n v="35"/>
    <n v="56.4"/>
    <n v="1"/>
    <n v="176"/>
    <x v="2"/>
    <s v="Moderate"/>
    <s v="Hot"/>
    <s v="Normal Humidity"/>
    <s v="Low Wind"/>
  </r>
  <r>
    <s v="AQ100193"/>
    <d v="2025-04-24T00:00:00"/>
    <x v="6"/>
    <x v="1"/>
    <s v="Station-11"/>
    <n v="52.6"/>
    <n v="85.3"/>
    <n v="56.6"/>
    <n v="3"/>
    <n v="0.43"/>
    <n v="30.2"/>
    <n v="24.4"/>
    <n v="57.6"/>
    <n v="3.6"/>
    <n v="211"/>
    <x v="1"/>
    <s v="Moderate"/>
    <s v="Normal"/>
    <s v="Normal Humidity"/>
    <s v="Moderate Wind"/>
  </r>
  <r>
    <s v="AQ100194"/>
    <d v="2025-06-26T00:00:00"/>
    <x v="13"/>
    <x v="4"/>
    <s v="Station-11"/>
    <n v="94.2"/>
    <n v="104.7"/>
    <n v="43.9"/>
    <n v="24.7"/>
    <n v="0.57999999999999996"/>
    <n v="45.5"/>
    <n v="28.4"/>
    <n v="94.9"/>
    <n v="3.9"/>
    <n v="306"/>
    <x v="0"/>
    <s v="Unhealthy"/>
    <s v="Normal"/>
    <s v="High Humidity"/>
    <s v="Moderate Wind"/>
  </r>
  <r>
    <s v="AQ100195"/>
    <d v="2025-06-08T00:00:00"/>
    <x v="7"/>
    <x v="2"/>
    <s v="Station-10"/>
    <n v="63.9"/>
    <n v="53.7"/>
    <n v="38.200000000000003"/>
    <n v="19.2"/>
    <n v="0.21"/>
    <n v="41.1"/>
    <n v="23.6"/>
    <n v="66.900000000000006"/>
    <n v="2"/>
    <n v="205"/>
    <x v="1"/>
    <s v="Moderate"/>
    <s v="Normal"/>
    <s v="High Humidity"/>
    <s v="Moderate Wind"/>
  </r>
  <r>
    <s v="AQ100196"/>
    <d v="2025-05-23T00:00:00"/>
    <x v="9"/>
    <x v="0"/>
    <s v="Station-02"/>
    <n v="90.4"/>
    <n v="132.80000000000001"/>
    <n v="48.4"/>
    <n v="15.7"/>
    <n v="1.71"/>
    <n v="31.5"/>
    <n v="35.4"/>
    <n v="66.5"/>
    <n v="3"/>
    <n v="338"/>
    <x v="0"/>
    <s v="Unhealthy"/>
    <s v="Hot"/>
    <s v="High Humidity"/>
    <s v="Moderate Wind"/>
  </r>
  <r>
    <s v="AQ100197"/>
    <d v="2025-08-13T00:00:00"/>
    <x v="11"/>
    <x v="0"/>
    <s v="Station-05"/>
    <n v="16.899999999999999"/>
    <n v="80.7"/>
    <n v="21.6"/>
    <n v="17.5"/>
    <n v="0.95"/>
    <n v="23.3"/>
    <n v="34"/>
    <n v="41"/>
    <n v="1.5"/>
    <n v="143"/>
    <x v="2"/>
    <s v="Moderate"/>
    <s v="Hot"/>
    <s v="Normal Humidity"/>
    <s v="Low Wind"/>
  </r>
  <r>
    <s v="AQ100198"/>
    <d v="2025-11-01T00:00:00"/>
    <x v="14"/>
    <x v="3"/>
    <s v="Station-05"/>
    <n v="12.8"/>
    <n v="42.3"/>
    <n v="18"/>
    <n v="4.8"/>
    <n v="0.66"/>
    <n v="53.7"/>
    <n v="33.5"/>
    <n v="73.5"/>
    <n v="2.8"/>
    <n v="106"/>
    <x v="2"/>
    <s v="Good"/>
    <s v="Hot"/>
    <s v="High Humidity"/>
    <s v="Moderate Wind"/>
  </r>
  <r>
    <s v="AQ100199"/>
    <d v="2025-03-30T00:00:00"/>
    <x v="7"/>
    <x v="2"/>
    <s v="Station-04"/>
    <n v="19.5"/>
    <n v="65.099999999999994"/>
    <n v="28.4"/>
    <n v="22.5"/>
    <n v="0.56000000000000005"/>
    <n v="24.6"/>
    <n v="36.200000000000003"/>
    <n v="73.099999999999994"/>
    <n v="1.5"/>
    <n v="137"/>
    <x v="2"/>
    <s v="Moderate"/>
    <s v="Hot"/>
    <s v="High Humidity"/>
    <s v="Low Wind"/>
  </r>
  <r>
    <s v="AQ100200"/>
    <d v="2025-01-15T00:00:00"/>
    <x v="12"/>
    <x v="4"/>
    <s v="Station-08"/>
    <n v="26.9"/>
    <n v="106.5"/>
    <n v="30.6"/>
    <n v="15.1"/>
    <n v="1.66"/>
    <n v="6.2"/>
    <n v="22.6"/>
    <n v="54.5"/>
    <n v="1.9"/>
    <n v="192"/>
    <x v="2"/>
    <s v="Unhealthy"/>
    <s v="Normal"/>
    <s v="Normal Humidity"/>
    <s v="Low Wind"/>
  </r>
  <r>
    <s v="AQ100201"/>
    <d v="2025-09-23T00:00:00"/>
    <x v="8"/>
    <x v="2"/>
    <s v="Station-06"/>
    <n v="64.8"/>
    <n v="69.7"/>
    <n v="9.4"/>
    <n v="44.9"/>
    <n v="0.83"/>
    <n v="48.6"/>
    <n v="20.3"/>
    <n v="96.2"/>
    <n v="1.4"/>
    <n v="231"/>
    <x v="1"/>
    <s v="Moderate"/>
    <s v="Normal"/>
    <s v="High Humidity"/>
    <s v="Low Wind"/>
  </r>
  <r>
    <s v="AQ100202"/>
    <d v="2025-08-07T00:00:00"/>
    <x v="0"/>
    <x v="0"/>
    <s v="Station-12"/>
    <n v="58.8"/>
    <n v="56.5"/>
    <n v="52.2"/>
    <n v="15.8"/>
    <n v="0.08"/>
    <n v="54.3"/>
    <n v="25.5"/>
    <n v="80.3"/>
    <n v="1.7"/>
    <n v="210"/>
    <x v="1"/>
    <s v="Moderate"/>
    <s v="Normal"/>
    <s v="High Humidity"/>
    <s v="Low Wind"/>
  </r>
  <r>
    <s v="AQ100203"/>
    <d v="2025-06-13T00:00:00"/>
    <x v="5"/>
    <x v="4"/>
    <s v="Station-03"/>
    <n v="6.1"/>
    <n v="87.4"/>
    <n v="15.6"/>
    <n v="7.5"/>
    <n v="0.35"/>
    <n v="16.399999999999999"/>
    <n v="33.5"/>
    <n v="33.9"/>
    <n v="2"/>
    <n v="100"/>
    <x v="3"/>
    <s v="Moderate"/>
    <s v="Hot"/>
    <s v="Normal Humidity"/>
    <s v="Moderate Wind"/>
  </r>
  <r>
    <s v="AQ100204"/>
    <d v="2025-12-21T00:00:00"/>
    <x v="1"/>
    <x v="1"/>
    <s v="Station-02"/>
    <n v="57.9"/>
    <n v="85.9"/>
    <n v="18.8"/>
    <n v="7.8"/>
    <n v="0.09"/>
    <n v="15"/>
    <n v="35"/>
    <n v="40.799999999999997"/>
    <n v="1.5"/>
    <n v="178"/>
    <x v="2"/>
    <s v="Moderate"/>
    <s v="Hot"/>
    <s v="Normal Humidity"/>
    <s v="Low Wind"/>
  </r>
  <r>
    <s v="AQ100205"/>
    <d v="2025-05-03T00:00:00"/>
    <x v="7"/>
    <x v="2"/>
    <s v="Station-07"/>
    <n v="64.5"/>
    <n v="165.2"/>
    <n v="22.7"/>
    <n v="26.2"/>
    <n v="0.71"/>
    <n v="9.6999999999999993"/>
    <n v="24.3"/>
    <n v="50.5"/>
    <n v="2.2999999999999998"/>
    <n v="269"/>
    <x v="1"/>
    <s v="VeryUnhealthy"/>
    <s v="Normal"/>
    <s v="Normal Humidity"/>
    <s v="Moderate Wind"/>
  </r>
  <r>
    <s v="AQ100206"/>
    <d v="2025-06-06T00:00:00"/>
    <x v="12"/>
    <x v="4"/>
    <s v="Station-04"/>
    <n v="48"/>
    <n v="144.19999999999999"/>
    <n v="70"/>
    <n v="17.899999999999999"/>
    <n v="0.69"/>
    <n v="34.5"/>
    <n v="26"/>
    <n v="62.7"/>
    <n v="2.9"/>
    <n v="272"/>
    <x v="1"/>
    <s v="Unhealthy"/>
    <s v="Normal"/>
    <s v="High Humidity"/>
    <s v="Moderate Wind"/>
  </r>
  <r>
    <s v="AQ100207"/>
    <d v="2025-11-10T00:00:00"/>
    <x v="1"/>
    <x v="1"/>
    <s v="Station-15"/>
    <n v="42.2"/>
    <n v="97.7"/>
    <n v="58"/>
    <n v="7.5"/>
    <n v="0.54"/>
    <n v="44.2"/>
    <n v="27.4"/>
    <n v="70.7"/>
    <n v="3.1"/>
    <n v="216"/>
    <x v="1"/>
    <s v="Moderate"/>
    <s v="Normal"/>
    <s v="High Humidity"/>
    <s v="Moderate Wind"/>
  </r>
  <r>
    <s v="AQ100208"/>
    <d v="2025-04-21T00:00:00"/>
    <x v="15"/>
    <x v="3"/>
    <s v="Station-15"/>
    <n v="18.600000000000001"/>
    <n v="61.2"/>
    <n v="14"/>
    <n v="14.5"/>
    <n v="0.43"/>
    <n v="28.4"/>
    <n v="25.7"/>
    <n v="78.599999999999994"/>
    <n v="1.4"/>
    <n v="114"/>
    <x v="2"/>
    <s v="Moderate"/>
    <s v="Normal"/>
    <s v="High Humidity"/>
    <s v="Low Wind"/>
  </r>
  <r>
    <s v="AQ100209"/>
    <d v="2025-12-28T00:00:00"/>
    <x v="1"/>
    <x v="1"/>
    <s v="Station-09"/>
    <n v="54.3"/>
    <n v="90"/>
    <n v="42.2"/>
    <n v="14.3"/>
    <n v="0.88"/>
    <n v="46.9"/>
    <n v="14.1"/>
    <n v="67.3"/>
    <n v="3.3"/>
    <n v="232"/>
    <x v="1"/>
    <s v="Moderate"/>
    <s v="Cool"/>
    <s v="High Humidity"/>
    <s v="Moderate Wind"/>
  </r>
  <r>
    <s v="AQ100210"/>
    <d v="2025-05-16T00:00:00"/>
    <x v="7"/>
    <x v="2"/>
    <s v="Station-03"/>
    <n v="27.4"/>
    <n v="114.7"/>
    <n v="20.9"/>
    <n v="6.9"/>
    <n v="0.3"/>
    <n v="19"/>
    <n v="28.8"/>
    <n v="68.599999999999994"/>
    <n v="2.2999999999999998"/>
    <n v="156"/>
    <x v="2"/>
    <s v="Unhealthy"/>
    <s v="Normal"/>
    <s v="High Humidity"/>
    <s v="Moderate Wind"/>
  </r>
  <r>
    <s v="AQ100211"/>
    <d v="2025-09-25T00:00:00"/>
    <x v="4"/>
    <x v="3"/>
    <s v="Station-13"/>
    <n v="85.9"/>
    <n v="74"/>
    <n v="14.1"/>
    <n v="10.7"/>
    <n v="0.73"/>
    <n v="37.5"/>
    <n v="26"/>
    <n v="76.8"/>
    <n v="2.2000000000000002"/>
    <n v="239"/>
    <x v="1"/>
    <s v="Moderate"/>
    <s v="Normal"/>
    <s v="High Humidity"/>
    <s v="Moderate Wind"/>
  </r>
  <r>
    <s v="AQ100212"/>
    <d v="2025-07-29T00:00:00"/>
    <x v="6"/>
    <x v="1"/>
    <s v="Station-11"/>
    <n v="36.200000000000003"/>
    <n v="74.3"/>
    <n v="27.2"/>
    <n v="8.1"/>
    <n v="0.73"/>
    <n v="9.8000000000000007"/>
    <n v="27.4"/>
    <n v="78.099999999999994"/>
    <n v="1.1000000000000001"/>
    <n v="156"/>
    <x v="2"/>
    <s v="Moderate"/>
    <s v="Normal"/>
    <s v="High Humidity"/>
    <s v="Low Wind"/>
  </r>
  <r>
    <s v="AQ100213"/>
    <d v="2025-10-11T00:00:00"/>
    <x v="10"/>
    <x v="3"/>
    <s v="Station-10"/>
    <n v="51.4"/>
    <n v="78"/>
    <n v="41.5"/>
    <n v="5.7"/>
    <n v="0.43"/>
    <n v="29.9"/>
    <n v="34.200000000000003"/>
    <n v="66.5"/>
    <n v="2.4"/>
    <n v="194"/>
    <x v="2"/>
    <s v="Moderate"/>
    <s v="Hot"/>
    <s v="High Humidity"/>
    <s v="Moderate Wind"/>
  </r>
  <r>
    <s v="AQ100214"/>
    <d v="2025-11-18T00:00:00"/>
    <x v="12"/>
    <x v="4"/>
    <s v="Station-07"/>
    <n v="43.9"/>
    <n v="119"/>
    <n v="27.3"/>
    <n v="8.1999999999999993"/>
    <n v="1.07"/>
    <n v="33.9"/>
    <n v="24.4"/>
    <n v="82.8"/>
    <n v="2.8"/>
    <n v="217"/>
    <x v="1"/>
    <s v="Unhealthy"/>
    <s v="Normal"/>
    <s v="High Humidity"/>
    <s v="Moderate Wind"/>
  </r>
  <r>
    <s v="AQ100215"/>
    <d v="2025-02-26T00:00:00"/>
    <x v="12"/>
    <x v="4"/>
    <s v="Station-11"/>
    <n v="37.5"/>
    <n v="71.3"/>
    <n v="16.3"/>
    <n v="6.9"/>
    <n v="0.85"/>
    <n v="37.299999999999997"/>
    <n v="26.3"/>
    <n v="74.7"/>
    <n v="1.5"/>
    <n v="162"/>
    <x v="2"/>
    <s v="Moderate"/>
    <s v="Normal"/>
    <s v="High Humidity"/>
    <s v="Low Wind"/>
  </r>
  <r>
    <s v="AQ100216"/>
    <d v="2025-09-24T00:00:00"/>
    <x v="0"/>
    <x v="0"/>
    <s v="Station-14"/>
    <n v="60.3"/>
    <n v="77.8"/>
    <n v="49.3"/>
    <n v="8"/>
    <n v="0.61"/>
    <n v="53.9"/>
    <n v="18"/>
    <n v="61.6"/>
    <n v="1.8"/>
    <n v="232"/>
    <x v="1"/>
    <s v="Moderate"/>
    <s v="Cool"/>
    <s v="High Humidity"/>
    <s v="Low Wind"/>
  </r>
  <r>
    <s v="AQ100217"/>
    <d v="2025-06-02T00:00:00"/>
    <x v="4"/>
    <x v="3"/>
    <s v="Station-03"/>
    <n v="81.900000000000006"/>
    <n v="67.900000000000006"/>
    <n v="15.2"/>
    <n v="1.2"/>
    <n v="0.89"/>
    <n v="63.7"/>
    <n v="27.5"/>
    <n v="57.7"/>
    <n v="1.6"/>
    <n v="239"/>
    <x v="1"/>
    <s v="Moderate"/>
    <s v="Normal"/>
    <s v="Normal Humidity"/>
    <s v="Low Wind"/>
  </r>
  <r>
    <s v="AQ100218"/>
    <d v="2025-05-05T00:00:00"/>
    <x v="3"/>
    <x v="2"/>
    <s v="Station-02"/>
    <n v="18.5"/>
    <n v="43"/>
    <n v="25.1"/>
    <n v="28.5"/>
    <n v="0.23"/>
    <n v="29.2"/>
    <n v="19.8"/>
    <n v="75.900000000000006"/>
    <n v="2"/>
    <n v="116"/>
    <x v="2"/>
    <s v="Good"/>
    <s v="Cool"/>
    <s v="High Humidity"/>
    <s v="Moderate Wind"/>
  </r>
  <r>
    <s v="AQ100219"/>
    <d v="2025-10-07T00:00:00"/>
    <x v="11"/>
    <x v="0"/>
    <s v="Station-06"/>
    <n v="57.2"/>
    <n v="56.1"/>
    <n v="50.7"/>
    <n v="1.3"/>
    <n v="0.68"/>
    <n v="23.4"/>
    <n v="34.4"/>
    <n v="51.1"/>
    <n v="1.7"/>
    <n v="197"/>
    <x v="2"/>
    <s v="Moderate"/>
    <s v="Hot"/>
    <s v="Normal Humidity"/>
    <s v="Low Wind"/>
  </r>
  <r>
    <s v="AQ100220"/>
    <d v="2025-05-20T00:00:00"/>
    <x v="4"/>
    <x v="3"/>
    <s v="Station-12"/>
    <n v="97.8"/>
    <n v="124.8"/>
    <n v="61.8"/>
    <n v="15.3"/>
    <n v="0.32"/>
    <n v="36.6"/>
    <n v="24.2"/>
    <n v="68.099999999999994"/>
    <n v="2.1"/>
    <n v="322"/>
    <x v="0"/>
    <s v="Unhealthy"/>
    <s v="Normal"/>
    <s v="High Humidity"/>
    <s v="Moderate Wind"/>
  </r>
  <r>
    <s v="AQ100221"/>
    <d v="2025-03-02T00:00:00"/>
    <x v="2"/>
    <x v="1"/>
    <s v="Station-08"/>
    <n v="33.200000000000003"/>
    <n v="50.8"/>
    <n v="15.8"/>
    <n v="8.4"/>
    <n v="0.42"/>
    <n v="13.9"/>
    <n v="30.5"/>
    <n v="61.4"/>
    <n v="1.4"/>
    <n v="121"/>
    <x v="2"/>
    <s v="Moderate"/>
    <s v="Hot"/>
    <s v="High Humidity"/>
    <s v="Low Wind"/>
  </r>
  <r>
    <s v="AQ100222"/>
    <d v="2025-08-20T00:00:00"/>
    <x v="3"/>
    <x v="2"/>
    <s v="Station-15"/>
    <n v="35.299999999999997"/>
    <n v="167"/>
    <n v="6.1"/>
    <n v="5.9"/>
    <n v="0.34"/>
    <n v="35.200000000000003"/>
    <n v="31.6"/>
    <n v="82.2"/>
    <n v="2.2000000000000002"/>
    <n v="198"/>
    <x v="2"/>
    <s v="VeryUnhealthy"/>
    <s v="Hot"/>
    <s v="High Humidity"/>
    <s v="Moderate Wind"/>
  </r>
  <r>
    <s v="AQ100223"/>
    <d v="2025-12-12T00:00:00"/>
    <x v="12"/>
    <x v="4"/>
    <s v="Station-07"/>
    <n v="45"/>
    <n v="88.2"/>
    <n v="4.7"/>
    <n v="5.5"/>
    <n v="1.29"/>
    <n v="28.2"/>
    <n v="23.8"/>
    <n v="68.599999999999994"/>
    <n v="1.7"/>
    <n v="182"/>
    <x v="2"/>
    <s v="Moderate"/>
    <s v="Normal"/>
    <s v="High Humidity"/>
    <s v="Low Wind"/>
  </r>
  <r>
    <s v="AQ100224"/>
    <d v="2025-08-18T00:00:00"/>
    <x v="4"/>
    <x v="3"/>
    <s v="Station-11"/>
    <n v="29.7"/>
    <n v="39"/>
    <n v="50"/>
    <n v="5.5"/>
    <n v="1.88"/>
    <n v="27.3"/>
    <n v="24.8"/>
    <n v="62.2"/>
    <n v="2.8"/>
    <n v="176"/>
    <x v="2"/>
    <s v="Good"/>
    <s v="Normal"/>
    <s v="High Humidity"/>
    <s v="Moderate Wind"/>
  </r>
  <r>
    <s v="AQ100225"/>
    <d v="2025-04-25T00:00:00"/>
    <x v="12"/>
    <x v="4"/>
    <s v="Station-11"/>
    <n v="34.799999999999997"/>
    <n v="122"/>
    <n v="3"/>
    <n v="5.3"/>
    <n v="0.87"/>
    <n v="31.6"/>
    <n v="29"/>
    <n v="50"/>
    <n v="2.2000000000000002"/>
    <n v="177"/>
    <x v="2"/>
    <s v="Unhealthy"/>
    <s v="Normal"/>
    <s v="Normal Humidity"/>
    <s v="Moderate Wind"/>
  </r>
  <r>
    <s v="AQ100226"/>
    <d v="2025-02-11T00:00:00"/>
    <x v="3"/>
    <x v="2"/>
    <s v="Station-06"/>
    <n v="30.3"/>
    <n v="72.7"/>
    <n v="39.6"/>
    <n v="10.1"/>
    <n v="0.85"/>
    <n v="28"/>
    <n v="20.9"/>
    <n v="57.8"/>
    <n v="3.3"/>
    <n v="168"/>
    <x v="2"/>
    <s v="Moderate"/>
    <s v="Normal"/>
    <s v="Normal Humidity"/>
    <s v="Moderate Wind"/>
  </r>
  <r>
    <s v="AQ100227"/>
    <d v="2025-04-06T00:00:00"/>
    <x v="0"/>
    <x v="0"/>
    <s v="Station-11"/>
    <n v="91.7"/>
    <n v="126.1"/>
    <n v="39.9"/>
    <n v="14.1"/>
    <n v="0.36"/>
    <n v="38.1"/>
    <n v="30.9"/>
    <n v="88.2"/>
    <n v="4.3"/>
    <n v="297"/>
    <x v="1"/>
    <s v="Unhealthy"/>
    <s v="Hot"/>
    <s v="High Humidity"/>
    <s v="Moderate Wind"/>
  </r>
  <r>
    <s v="AQ100228"/>
    <d v="2025-07-30T00:00:00"/>
    <x v="1"/>
    <x v="1"/>
    <s v="Station-15"/>
    <n v="73.599999999999994"/>
    <n v="206.5"/>
    <n v="8.6"/>
    <n v="9.6999999999999993"/>
    <n v="0.9"/>
    <n v="21.4"/>
    <n v="24.8"/>
    <n v="54.4"/>
    <n v="1"/>
    <n v="298"/>
    <x v="1"/>
    <s v="VeryUnhealthy"/>
    <s v="Normal"/>
    <s v="Normal Humidity"/>
    <s v="Low Wind"/>
  </r>
  <r>
    <s v="AQ100229"/>
    <d v="2025-04-09T00:00:00"/>
    <x v="5"/>
    <x v="4"/>
    <s v="Station-13"/>
    <n v="45.6"/>
    <n v="160.1"/>
    <n v="16.8"/>
    <n v="4.7"/>
    <n v="3.19"/>
    <n v="43.3"/>
    <n v="25.4"/>
    <n v="64.8"/>
    <n v="1.6"/>
    <n v="293"/>
    <x v="1"/>
    <s v="VeryUnhealthy"/>
    <s v="Normal"/>
    <s v="High Humidity"/>
    <s v="Low Wind"/>
  </r>
  <r>
    <s v="AQ100230"/>
    <d v="2025-09-30T00:00:00"/>
    <x v="10"/>
    <x v="3"/>
    <s v="Station-13"/>
    <n v="49.7"/>
    <n v="71.400000000000006"/>
    <n v="31.1"/>
    <n v="7.8"/>
    <n v="1.33"/>
    <n v="19.2"/>
    <n v="42"/>
    <n v="55.5"/>
    <n v="2.8"/>
    <n v="198"/>
    <x v="2"/>
    <s v="Moderate"/>
    <s v="Hot"/>
    <s v="Normal Humidity"/>
    <s v="Moderate Wind"/>
  </r>
  <r>
    <s v="AQ100231"/>
    <d v="2025-05-17T00:00:00"/>
    <x v="4"/>
    <x v="3"/>
    <s v="Station-09"/>
    <n v="31"/>
    <n v="85.5"/>
    <n v="18.600000000000001"/>
    <n v="38.799999999999997"/>
    <n v="0.86"/>
    <n v="59.4"/>
    <n v="28.7"/>
    <n v="62.2"/>
    <n v="2.9"/>
    <n v="195"/>
    <x v="2"/>
    <s v="Moderate"/>
    <s v="Normal"/>
    <s v="High Humidity"/>
    <s v="Moderate Wind"/>
  </r>
  <r>
    <s v="AQ100232"/>
    <d v="2025-02-16T00:00:00"/>
    <x v="2"/>
    <x v="1"/>
    <s v="Station-11"/>
    <n v="76.5"/>
    <n v="92"/>
    <n v="17.8"/>
    <n v="5.4"/>
    <n v="0.39"/>
    <n v="22"/>
    <n v="32"/>
    <n v="90.9"/>
    <n v="3"/>
    <n v="220"/>
    <x v="1"/>
    <s v="Moderate"/>
    <s v="Hot"/>
    <s v="High Humidity"/>
    <s v="Moderate Wind"/>
  </r>
  <r>
    <s v="AQ100233"/>
    <d v="2025-08-25T00:00:00"/>
    <x v="15"/>
    <x v="3"/>
    <s v="Station-11"/>
    <n v="27"/>
    <n v="85.8"/>
    <n v="27.7"/>
    <n v="38.4"/>
    <n v="0.22"/>
    <n v="22.9"/>
    <n v="19.2"/>
    <n v="43.6"/>
    <n v="3.4"/>
    <n v="164"/>
    <x v="2"/>
    <s v="Moderate"/>
    <s v="Cool"/>
    <s v="Normal Humidity"/>
    <s v="Moderate Wind"/>
  </r>
  <r>
    <s v="AQ100234"/>
    <d v="2025-10-11T00:00:00"/>
    <x v="6"/>
    <x v="1"/>
    <s v="Station-05"/>
    <n v="61"/>
    <n v="95.6"/>
    <n v="20.9"/>
    <n v="25.8"/>
    <n v="0.32"/>
    <n v="39.700000000000003"/>
    <n v="26.2"/>
    <n v="52.8"/>
    <n v="2.5"/>
    <n v="220"/>
    <x v="1"/>
    <s v="Moderate"/>
    <s v="Normal"/>
    <s v="Normal Humidity"/>
    <s v="Moderate Wind"/>
  </r>
  <r>
    <s v="AQ100235"/>
    <d v="2025-11-21T00:00:00"/>
    <x v="9"/>
    <x v="0"/>
    <s v="Station-14"/>
    <n v="62.4"/>
    <n v="63.9"/>
    <n v="13"/>
    <n v="18.7"/>
    <n v="0.73"/>
    <n v="27.3"/>
    <n v="31.8"/>
    <n v="47"/>
    <n v="1.1000000000000001"/>
    <n v="195"/>
    <x v="2"/>
    <s v="Moderate"/>
    <s v="Hot"/>
    <s v="Normal Humidity"/>
    <s v="Low Wind"/>
  </r>
  <r>
    <s v="AQ100236"/>
    <d v="2025-02-24T00:00:00"/>
    <x v="13"/>
    <x v="4"/>
    <s v="Station-12"/>
    <n v="64.7"/>
    <n v="205.2"/>
    <n v="6.3"/>
    <n v="32.700000000000003"/>
    <n v="1.08"/>
    <n v="57.6"/>
    <n v="27.9"/>
    <n v="65.099999999999994"/>
    <n v="3.7"/>
    <n v="318"/>
    <x v="0"/>
    <s v="VeryUnhealthy"/>
    <s v="Normal"/>
    <s v="High Humidity"/>
    <s v="Moderate Wind"/>
  </r>
  <r>
    <s v="AQ100237"/>
    <d v="2025-10-22T00:00:00"/>
    <x v="15"/>
    <x v="3"/>
    <s v="Station-08"/>
    <n v="25.7"/>
    <n v="94.1"/>
    <n v="13.9"/>
    <n v="5.6"/>
    <n v="0.09"/>
    <n v="26.8"/>
    <n v="30.3"/>
    <n v="70"/>
    <n v="2.5"/>
    <n v="132"/>
    <x v="2"/>
    <s v="Moderate"/>
    <s v="Hot"/>
    <s v="High Humidity"/>
    <s v="Moderate Wind"/>
  </r>
  <r>
    <s v="AQ100238"/>
    <d v="2025-02-01T00:00:00"/>
    <x v="14"/>
    <x v="3"/>
    <s v="Station-14"/>
    <n v="52.6"/>
    <n v="177.4"/>
    <n v="42.7"/>
    <n v="12.1"/>
    <n v="0.95"/>
    <n v="21.9"/>
    <n v="27.4"/>
    <n v="46.3"/>
    <n v="2.2999999999999998"/>
    <n v="276"/>
    <x v="1"/>
    <s v="VeryUnhealthy"/>
    <s v="Normal"/>
    <s v="Normal Humidity"/>
    <s v="Moderate Wind"/>
  </r>
  <r>
    <s v="AQ100239"/>
    <d v="2025-12-07T00:00:00"/>
    <x v="11"/>
    <x v="0"/>
    <s v="Station-09"/>
    <n v="16.899999999999999"/>
    <n v="45.9"/>
    <n v="13.1"/>
    <n v="12.9"/>
    <n v="0.66"/>
    <n v="18.3"/>
    <n v="35.9"/>
    <n v="48.8"/>
    <n v="1.2"/>
    <n v="101"/>
    <x v="2"/>
    <s v="Good"/>
    <s v="Hot"/>
    <s v="Normal Humidity"/>
    <s v="Low Wind"/>
  </r>
  <r>
    <s v="AQ100240"/>
    <d v="2025-07-23T00:00:00"/>
    <x v="13"/>
    <x v="4"/>
    <s v="Station-10"/>
    <n v="58.3"/>
    <n v="126.6"/>
    <n v="27.7"/>
    <n v="10.6"/>
    <n v="1.08"/>
    <n v="14.7"/>
    <n v="21.1"/>
    <n v="62"/>
    <n v="2.8"/>
    <n v="239"/>
    <x v="1"/>
    <s v="Unhealthy"/>
    <s v="Normal"/>
    <s v="High Humidity"/>
    <s v="Moderate Wind"/>
  </r>
  <r>
    <s v="AQ100241"/>
    <d v="2025-03-01T00:00:00"/>
    <x v="11"/>
    <x v="0"/>
    <s v="Station-05"/>
    <n v="44.4"/>
    <n v="69.3"/>
    <n v="8.1999999999999993"/>
    <n v="5.0999999999999996"/>
    <n v="0.37"/>
    <n v="34"/>
    <n v="28.7"/>
    <n v="70.599999999999994"/>
    <n v="2.7"/>
    <n v="151"/>
    <x v="2"/>
    <s v="Moderate"/>
    <s v="Normal"/>
    <s v="High Humidity"/>
    <s v="Moderate Wind"/>
  </r>
  <r>
    <s v="AQ100242"/>
    <d v="2025-10-13T00:00:00"/>
    <x v="3"/>
    <x v="2"/>
    <s v="Station-06"/>
    <n v="16.8"/>
    <n v="52.9"/>
    <n v="50.2"/>
    <n v="20"/>
    <n v="0.35"/>
    <n v="23"/>
    <n v="29.6"/>
    <n v="48.1"/>
    <n v="2.5"/>
    <n v="135"/>
    <x v="2"/>
    <s v="Moderate"/>
    <s v="Normal"/>
    <s v="Normal Humidity"/>
    <s v="Moderate Wind"/>
  </r>
  <r>
    <s v="AQ100243"/>
    <d v="2025-10-23T00:00:00"/>
    <x v="11"/>
    <x v="0"/>
    <s v="Station-14"/>
    <n v="64.7"/>
    <n v="96"/>
    <n v="26.5"/>
    <n v="18.2"/>
    <n v="0.5"/>
    <n v="45.1"/>
    <n v="30.1"/>
    <n v="54.6"/>
    <n v="1.3"/>
    <n v="233"/>
    <x v="1"/>
    <s v="Moderate"/>
    <s v="Hot"/>
    <s v="Normal Humidity"/>
    <s v="Low Wind"/>
  </r>
  <r>
    <s v="AQ100244"/>
    <d v="2025-08-13T00:00:00"/>
    <x v="9"/>
    <x v="0"/>
    <s v="Station-15"/>
    <n v="39.4"/>
    <n v="91.2"/>
    <n v="32.299999999999997"/>
    <n v="7.4"/>
    <n v="0.24"/>
    <n v="23"/>
    <n v="31.7"/>
    <n v="48.3"/>
    <n v="3.6"/>
    <n v="170"/>
    <x v="2"/>
    <s v="Moderate"/>
    <s v="Hot"/>
    <s v="Normal Humidity"/>
    <s v="Moderate Wind"/>
  </r>
  <r>
    <s v="AQ100245"/>
    <d v="2025-06-13T00:00:00"/>
    <x v="8"/>
    <x v="2"/>
    <s v="Station-07"/>
    <n v="55.2"/>
    <n v="101.7"/>
    <n v="41.6"/>
    <n v="3.4"/>
    <n v="1.1599999999999999"/>
    <n v="47.5"/>
    <n v="30.4"/>
    <n v="38.200000000000003"/>
    <n v="1.7"/>
    <n v="240"/>
    <x v="1"/>
    <s v="Unhealthy"/>
    <s v="Hot"/>
    <s v="Normal Humidity"/>
    <s v="Low Wind"/>
  </r>
  <r>
    <s v="AQ100246"/>
    <d v="2025-08-10T00:00:00"/>
    <x v="4"/>
    <x v="3"/>
    <s v="Station-01"/>
    <n v="40.200000000000003"/>
    <n v="110.5"/>
    <n v="63.1"/>
    <n v="3.2"/>
    <n v="1.71"/>
    <n v="61"/>
    <n v="28.9"/>
    <n v="56.8"/>
    <n v="2.7"/>
    <n v="259"/>
    <x v="1"/>
    <s v="Unhealthy"/>
    <s v="Normal"/>
    <s v="Normal Humidity"/>
    <s v="Moderate Wind"/>
  </r>
  <r>
    <s v="AQ100247"/>
    <d v="2025-10-06T00:00:00"/>
    <x v="7"/>
    <x v="2"/>
    <s v="Station-04"/>
    <n v="27.8"/>
    <n v="118.1"/>
    <n v="25"/>
    <n v="6.5"/>
    <n v="0.96"/>
    <n v="14.4"/>
    <n v="21.1"/>
    <n v="32.9"/>
    <n v="3.4"/>
    <n v="176"/>
    <x v="2"/>
    <s v="Unhealthy"/>
    <s v="Normal"/>
    <s v="Normal Humidity"/>
    <s v="Moderate Wind"/>
  </r>
  <r>
    <s v="AQ100248"/>
    <d v="2025-02-03T00:00:00"/>
    <x v="4"/>
    <x v="3"/>
    <s v="Station-05"/>
    <n v="55.6"/>
    <n v="28.1"/>
    <n v="11.6"/>
    <n v="8.1999999999999993"/>
    <n v="1.18"/>
    <n v="40.9"/>
    <n v="29"/>
    <n v="60.8"/>
    <n v="1.7"/>
    <n v="170"/>
    <x v="2"/>
    <s v="Good"/>
    <s v="Normal"/>
    <s v="High Humidity"/>
    <s v="Low Wind"/>
  </r>
  <r>
    <s v="AQ100249"/>
    <d v="2025-01-05T00:00:00"/>
    <x v="0"/>
    <x v="0"/>
    <s v="Station-10"/>
    <n v="17"/>
    <n v="35"/>
    <n v="34.200000000000003"/>
    <n v="17.899999999999999"/>
    <n v="0.77"/>
    <n v="13.7"/>
    <n v="18.399999999999999"/>
    <n v="59.2"/>
    <n v="1.9"/>
    <n v="115"/>
    <x v="2"/>
    <s v="Good"/>
    <s v="Cool"/>
    <s v="Normal Humidity"/>
    <s v="Low Wind"/>
  </r>
  <r>
    <s v="AQ100250"/>
    <d v="2025-07-31T00:00:00"/>
    <x v="4"/>
    <x v="3"/>
    <s v="Station-15"/>
    <n v="55"/>
    <n v="143.80000000000001"/>
    <n v="9.1"/>
    <n v="8.3000000000000007"/>
    <n v="0.6"/>
    <n v="27.3"/>
    <n v="25.4"/>
    <n v="70.3"/>
    <n v="2.8"/>
    <n v="222"/>
    <x v="1"/>
    <s v="Unhealthy"/>
    <s v="Normal"/>
    <s v="High Humidity"/>
    <s v="Moderate Wind"/>
  </r>
  <r>
    <s v="AQ100251"/>
    <d v="2025-11-02T00:00:00"/>
    <x v="6"/>
    <x v="1"/>
    <s v="Station-03"/>
    <n v="22.1"/>
    <n v="146.80000000000001"/>
    <n v="13.3"/>
    <n v="5"/>
    <n v="0.46"/>
    <n v="54.4"/>
    <n v="28"/>
    <n v="64.099999999999994"/>
    <n v="3.3"/>
    <n v="181"/>
    <x v="2"/>
    <s v="Unhealthy"/>
    <s v="Normal"/>
    <s v="High Humidity"/>
    <s v="Moderate Wind"/>
  </r>
  <r>
    <s v="AQ100252"/>
    <d v="2025-07-07T00:00:00"/>
    <x v="6"/>
    <x v="1"/>
    <s v="Station-10"/>
    <n v="55.9"/>
    <n v="50.4"/>
    <n v="19.399999999999999"/>
    <n v="4.9000000000000004"/>
    <n v="1.67"/>
    <n v="39.700000000000003"/>
    <n v="13.3"/>
    <n v="48.9"/>
    <n v="3.4"/>
    <n v="201"/>
    <x v="1"/>
    <s v="Moderate"/>
    <s v="Cool"/>
    <s v="Normal Humidity"/>
    <s v="Moderate Wind"/>
  </r>
  <r>
    <s v="AQ100253"/>
    <d v="2025-01-08T00:00:00"/>
    <x v="5"/>
    <x v="4"/>
    <s v="Station-08"/>
    <n v="26.8"/>
    <n v="19.2"/>
    <n v="11.9"/>
    <n v="7.4"/>
    <n v="0.56000000000000005"/>
    <n v="38.200000000000003"/>
    <n v="35.200000000000003"/>
    <n v="59"/>
    <n v="1"/>
    <n v="101"/>
    <x v="2"/>
    <s v="Good"/>
    <s v="Hot"/>
    <s v="Normal Humidity"/>
    <s v="Low Wind"/>
  </r>
  <r>
    <s v="AQ100254"/>
    <d v="2025-01-06T00:00:00"/>
    <x v="3"/>
    <x v="2"/>
    <s v="Station-02"/>
    <n v="56.1"/>
    <n v="102.9"/>
    <n v="29.8"/>
    <n v="4.8"/>
    <n v="0.67"/>
    <n v="81.2"/>
    <n v="19.3"/>
    <n v="52.1"/>
    <n v="3"/>
    <n v="237"/>
    <x v="1"/>
    <s v="Unhealthy"/>
    <s v="Cool"/>
    <s v="Normal Humidity"/>
    <s v="Moderate Wind"/>
  </r>
  <r>
    <s v="AQ100255"/>
    <d v="2025-08-10T00:00:00"/>
    <x v="10"/>
    <x v="3"/>
    <s v="Station-14"/>
    <n v="71.900000000000006"/>
    <n v="78.900000000000006"/>
    <n v="34"/>
    <n v="3.8"/>
    <n v="0.19"/>
    <n v="22"/>
    <n v="22.2"/>
    <n v="57.1"/>
    <n v="2.7"/>
    <n v="211"/>
    <x v="1"/>
    <s v="Moderate"/>
    <s v="Normal"/>
    <s v="Normal Humidity"/>
    <s v="Moderate Wind"/>
  </r>
  <r>
    <s v="AQ100256"/>
    <d v="2025-10-07T00:00:00"/>
    <x v="0"/>
    <x v="0"/>
    <s v="Station-09"/>
    <n v="18.2"/>
    <n v="94.9"/>
    <n v="30.1"/>
    <n v="7.5"/>
    <n v="1.17"/>
    <n v="36.9"/>
    <n v="29.4"/>
    <n v="50"/>
    <n v="0.6"/>
    <n v="166"/>
    <x v="2"/>
    <s v="Moderate"/>
    <s v="Normal"/>
    <s v="Normal Humidity"/>
    <s v="Low Wind"/>
  </r>
  <r>
    <s v="AQ100257"/>
    <d v="2025-07-15T00:00:00"/>
    <x v="10"/>
    <x v="3"/>
    <s v="Station-04"/>
    <n v="15.1"/>
    <n v="35.299999999999997"/>
    <n v="31.7"/>
    <n v="7.6"/>
    <n v="1.35"/>
    <n v="32.5"/>
    <n v="29.9"/>
    <n v="61.3"/>
    <n v="1.1000000000000001"/>
    <n v="126"/>
    <x v="2"/>
    <s v="Good"/>
    <s v="Normal"/>
    <s v="High Humidity"/>
    <s v="Low Wind"/>
  </r>
  <r>
    <s v="AQ100258"/>
    <d v="2025-03-22T00:00:00"/>
    <x v="5"/>
    <x v="4"/>
    <s v="Station-15"/>
    <n v="59.6"/>
    <n v="105.2"/>
    <n v="8.1"/>
    <n v="2.8"/>
    <n v="0.46"/>
    <n v="40.5"/>
    <n v="30.4"/>
    <n v="70.099999999999994"/>
    <n v="2.1"/>
    <n v="202"/>
    <x v="1"/>
    <s v="Unhealthy"/>
    <s v="Hot"/>
    <s v="High Humidity"/>
    <s v="Moderate Wind"/>
  </r>
  <r>
    <s v="AQ100259"/>
    <d v="2025-04-06T00:00:00"/>
    <x v="4"/>
    <x v="3"/>
    <s v="Station-01"/>
    <n v="42.3"/>
    <n v="149.5"/>
    <n v="21.6"/>
    <n v="23.8"/>
    <n v="0.79"/>
    <n v="17.8"/>
    <n v="25.6"/>
    <n v="63.2"/>
    <n v="2.6"/>
    <n v="227"/>
    <x v="1"/>
    <s v="Unhealthy"/>
    <s v="Normal"/>
    <s v="High Humidity"/>
    <s v="Moderate Wind"/>
  </r>
  <r>
    <s v="AQ100260"/>
    <d v="2025-06-19T00:00:00"/>
    <x v="13"/>
    <x v="4"/>
    <s v="Station-14"/>
    <n v="27.8"/>
    <n v="143.19999999999999"/>
    <n v="18.600000000000001"/>
    <n v="15.4"/>
    <n v="0.28999999999999998"/>
    <n v="28.7"/>
    <n v="20"/>
    <n v="53.1"/>
    <n v="4"/>
    <n v="183"/>
    <x v="2"/>
    <s v="Unhealthy"/>
    <s v="Normal"/>
    <s v="Normal Humidity"/>
    <s v="Moderate Wind"/>
  </r>
  <r>
    <s v="AQ100261"/>
    <d v="2025-02-20T00:00:00"/>
    <x v="14"/>
    <x v="3"/>
    <s v="Station-03"/>
    <n v="52.3"/>
    <n v="141.1"/>
    <n v="40.299999999999997"/>
    <n v="26.3"/>
    <n v="1.08"/>
    <n v="48.1"/>
    <n v="28"/>
    <n v="67.400000000000006"/>
    <n v="2.9"/>
    <n v="275"/>
    <x v="1"/>
    <s v="Unhealthy"/>
    <s v="Normal"/>
    <s v="High Humidity"/>
    <s v="Moderate Wind"/>
  </r>
  <r>
    <s v="AQ100262"/>
    <d v="2025-06-16T00:00:00"/>
    <x v="11"/>
    <x v="0"/>
    <s v="Station-05"/>
    <n v="29.2"/>
    <n v="63.7"/>
    <n v="19.8"/>
    <n v="7.2"/>
    <n v="0.17"/>
    <n v="50.5"/>
    <n v="24.5"/>
    <n v="46.3"/>
    <n v="3.1"/>
    <n v="136"/>
    <x v="2"/>
    <s v="Moderate"/>
    <s v="Normal"/>
    <s v="Normal Humidity"/>
    <s v="Moderate Wind"/>
  </r>
  <r>
    <s v="AQ100263"/>
    <d v="2025-02-27T00:00:00"/>
    <x v="9"/>
    <x v="0"/>
    <s v="Station-07"/>
    <n v="20.8"/>
    <n v="153.1"/>
    <n v="24.2"/>
    <n v="25.1"/>
    <n v="0.94"/>
    <n v="4.3"/>
    <n v="22.4"/>
    <n v="77"/>
    <n v="2.2000000000000002"/>
    <n v="195"/>
    <x v="2"/>
    <s v="VeryUnhealthy"/>
    <s v="Normal"/>
    <s v="High Humidity"/>
    <s v="Moderate Wind"/>
  </r>
  <r>
    <s v="AQ100264"/>
    <d v="2025-09-06T00:00:00"/>
    <x v="8"/>
    <x v="2"/>
    <s v="Station-04"/>
    <n v="10.3"/>
    <n v="43.2"/>
    <n v="19.3"/>
    <n v="10.3"/>
    <n v="0.3"/>
    <n v="74.400000000000006"/>
    <n v="28.2"/>
    <n v="73.2"/>
    <n v="2.7"/>
    <n v="108"/>
    <x v="2"/>
    <s v="Good"/>
    <s v="Normal"/>
    <s v="High Humidity"/>
    <s v="Moderate Wind"/>
  </r>
  <r>
    <s v="AQ100265"/>
    <d v="2025-09-24T00:00:00"/>
    <x v="13"/>
    <x v="4"/>
    <s v="Station-05"/>
    <n v="79.3"/>
    <n v="61.9"/>
    <n v="8.9"/>
    <n v="16.600000000000001"/>
    <n v="0.15"/>
    <n v="52.4"/>
    <n v="29.5"/>
    <n v="78.900000000000006"/>
    <n v="3.4"/>
    <n v="213"/>
    <x v="1"/>
    <s v="Moderate"/>
    <s v="Normal"/>
    <s v="High Humidity"/>
    <s v="Moderate Wind"/>
  </r>
  <r>
    <s v="AQ100266"/>
    <d v="2025-11-11T00:00:00"/>
    <x v="8"/>
    <x v="2"/>
    <s v="Station-05"/>
    <n v="86.3"/>
    <n v="39.5"/>
    <n v="11.7"/>
    <n v="2.8"/>
    <n v="2.4300000000000002"/>
    <n v="37.799999999999997"/>
    <n v="32.6"/>
    <n v="52.7"/>
    <n v="2"/>
    <n v="253"/>
    <x v="1"/>
    <s v="Good"/>
    <s v="Hot"/>
    <s v="Normal Humidity"/>
    <s v="Moderate Wind"/>
  </r>
  <r>
    <s v="AQ100267"/>
    <d v="2025-03-16T00:00:00"/>
    <x v="5"/>
    <x v="4"/>
    <s v="Station-03"/>
    <n v="80.099999999999994"/>
    <n v="47.2"/>
    <n v="12.8"/>
    <n v="7.2"/>
    <n v="0.49"/>
    <n v="65.400000000000006"/>
    <n v="19"/>
    <n v="56.5"/>
    <n v="1.6"/>
    <n v="216"/>
    <x v="1"/>
    <s v="Good"/>
    <s v="Cool"/>
    <s v="Normal Humidity"/>
    <s v="Low Wind"/>
  </r>
  <r>
    <s v="AQ100268"/>
    <d v="2025-10-12T00:00:00"/>
    <x v="9"/>
    <x v="0"/>
    <s v="Station-04"/>
    <n v="73.2"/>
    <n v="25.1"/>
    <n v="23.7"/>
    <n v="13.9"/>
    <n v="0.45"/>
    <n v="30.4"/>
    <n v="27.5"/>
    <n v="48.1"/>
    <n v="2.2000000000000002"/>
    <n v="187"/>
    <x v="2"/>
    <s v="Good"/>
    <s v="Normal"/>
    <s v="Normal Humidity"/>
    <s v="Moderate Wind"/>
  </r>
  <r>
    <s v="AQ100269"/>
    <d v="2025-10-28T00:00:00"/>
    <x v="6"/>
    <x v="1"/>
    <s v="Station-02"/>
    <n v="39.200000000000003"/>
    <n v="68.3"/>
    <n v="66.400000000000006"/>
    <n v="12.8"/>
    <n v="0.41"/>
    <n v="29.1"/>
    <n v="26.4"/>
    <n v="69.5"/>
    <n v="1.7"/>
    <n v="193"/>
    <x v="2"/>
    <s v="Moderate"/>
    <s v="Normal"/>
    <s v="High Humidity"/>
    <s v="Low Wind"/>
  </r>
  <r>
    <s v="AQ100270"/>
    <d v="2025-03-19T00:00:00"/>
    <x v="14"/>
    <x v="3"/>
    <s v="Station-03"/>
    <n v="114.3"/>
    <n v="61.9"/>
    <n v="22.2"/>
    <n v="16.3"/>
    <n v="0.63"/>
    <n v="31.7"/>
    <n v="30.3"/>
    <n v="64.3"/>
    <n v="0.8"/>
    <n v="282"/>
    <x v="1"/>
    <s v="Moderate"/>
    <s v="Hot"/>
    <s v="High Humidity"/>
    <s v="Low Wind"/>
  </r>
  <r>
    <s v="AQ100271"/>
    <d v="2025-11-20T00:00:00"/>
    <x v="5"/>
    <x v="4"/>
    <s v="Station-05"/>
    <n v="31.5"/>
    <n v="74"/>
    <n v="46.6"/>
    <n v="34.799999999999997"/>
    <n v="1.2"/>
    <n v="33.799999999999997"/>
    <n v="25.5"/>
    <n v="62.4"/>
    <n v="0.7"/>
    <n v="205"/>
    <x v="1"/>
    <s v="Moderate"/>
    <s v="Normal"/>
    <s v="High Humidity"/>
    <s v="Low Wind"/>
  </r>
  <r>
    <s v="AQ100272"/>
    <d v="2025-03-25T00:00:00"/>
    <x v="3"/>
    <x v="2"/>
    <s v="Station-05"/>
    <n v="74.2"/>
    <n v="64.900000000000006"/>
    <n v="36"/>
    <n v="17.399999999999999"/>
    <n v="0.35"/>
    <n v="35.799999999999997"/>
    <n v="13.1"/>
    <n v="63.6"/>
    <n v="3.4"/>
    <n v="227"/>
    <x v="1"/>
    <s v="Moderate"/>
    <s v="Cool"/>
    <s v="High Humidity"/>
    <s v="Moderate Wind"/>
  </r>
  <r>
    <s v="AQ100273"/>
    <d v="2025-04-15T00:00:00"/>
    <x v="8"/>
    <x v="2"/>
    <s v="Station-15"/>
    <n v="64.900000000000006"/>
    <n v="88.9"/>
    <n v="50.3"/>
    <n v="13.8"/>
    <n v="0.68"/>
    <n v="19.100000000000001"/>
    <n v="20.399999999999999"/>
    <n v="57.6"/>
    <n v="1"/>
    <n v="237"/>
    <x v="1"/>
    <s v="Moderate"/>
    <s v="Normal"/>
    <s v="Normal Humidity"/>
    <s v="Low Wind"/>
  </r>
  <r>
    <s v="AQ100274"/>
    <d v="2025-06-06T00:00:00"/>
    <x v="8"/>
    <x v="2"/>
    <s v="Station-12"/>
    <n v="40.1"/>
    <n v="241.9"/>
    <n v="23.5"/>
    <n v="19.899999999999999"/>
    <n v="1.41"/>
    <n v="14.4"/>
    <n v="24"/>
    <n v="54.2"/>
    <n v="1.6"/>
    <n v="296"/>
    <x v="1"/>
    <s v="VeryUnhealthy"/>
    <s v="Normal"/>
    <s v="Normal Humidity"/>
    <s v="Low Wind"/>
  </r>
  <r>
    <s v="AQ100275"/>
    <d v="2025-10-25T00:00:00"/>
    <x v="11"/>
    <x v="0"/>
    <s v="Station-11"/>
    <n v="106"/>
    <n v="48"/>
    <n v="27.1"/>
    <n v="20.2"/>
    <n v="1.1399999999999999"/>
    <n v="43.8"/>
    <n v="22.9"/>
    <n v="30.2"/>
    <n v="1.7"/>
    <n v="285"/>
    <x v="1"/>
    <s v="Good"/>
    <s v="Normal"/>
    <s v="Normal Humidity"/>
    <s v="Low Wind"/>
  </r>
  <r>
    <s v="AQ100276"/>
    <d v="2025-05-14T00:00:00"/>
    <x v="0"/>
    <x v="0"/>
    <s v="Station-08"/>
    <n v="87.8"/>
    <n v="123.4"/>
    <n v="14"/>
    <n v="6.7"/>
    <n v="0.7"/>
    <n v="34.6"/>
    <n v="23.3"/>
    <n v="64.8"/>
    <n v="1.4"/>
    <n v="270"/>
    <x v="1"/>
    <s v="Unhealthy"/>
    <s v="Normal"/>
    <s v="High Humidity"/>
    <s v="Low Wind"/>
  </r>
  <r>
    <s v="AQ100277"/>
    <d v="2025-10-22T00:00:00"/>
    <x v="9"/>
    <x v="0"/>
    <s v="Station-10"/>
    <n v="65.400000000000006"/>
    <n v="57.4"/>
    <n v="35.799999999999997"/>
    <n v="19.5"/>
    <n v="0.16"/>
    <n v="19.7"/>
    <n v="27.3"/>
    <n v="71"/>
    <n v="0.8"/>
    <n v="197"/>
    <x v="2"/>
    <s v="Moderate"/>
    <s v="Normal"/>
    <s v="High Humidity"/>
    <s v="Low Wind"/>
  </r>
  <r>
    <s v="AQ100278"/>
    <d v="2025-09-20T00:00:00"/>
    <x v="4"/>
    <x v="3"/>
    <s v="Station-04"/>
    <n v="48.1"/>
    <n v="36.299999999999997"/>
    <n v="33.1"/>
    <n v="4.5"/>
    <n v="0.42"/>
    <n v="44.5"/>
    <n v="28"/>
    <n v="45"/>
    <n v="2.8"/>
    <n v="161"/>
    <x v="2"/>
    <s v="Good"/>
    <s v="Normal"/>
    <s v="Normal Humidity"/>
    <s v="Moderate Wind"/>
  </r>
  <r>
    <s v="AQ100279"/>
    <d v="2025-08-01T00:00:00"/>
    <x v="8"/>
    <x v="2"/>
    <s v="Station-11"/>
    <n v="30.3"/>
    <n v="50.5"/>
    <n v="22.6"/>
    <n v="0.8"/>
    <n v="0.25"/>
    <n v="7.3"/>
    <n v="26.4"/>
    <n v="77.3"/>
    <n v="2.4"/>
    <n v="109"/>
    <x v="2"/>
    <s v="Moderate"/>
    <s v="Normal"/>
    <s v="High Humidity"/>
    <s v="Moderate Wind"/>
  </r>
  <r>
    <s v="AQ100280"/>
    <d v="2025-07-19T00:00:00"/>
    <x v="8"/>
    <x v="2"/>
    <s v="Station-13"/>
    <n v="34.1"/>
    <n v="36.4"/>
    <n v="47"/>
    <n v="17.899999999999999"/>
    <n v="0.3"/>
    <n v="12"/>
    <n v="28"/>
    <n v="47.2"/>
    <n v="2.7"/>
    <n v="141"/>
    <x v="2"/>
    <s v="Good"/>
    <s v="Normal"/>
    <s v="Normal Humidity"/>
    <s v="Moderate Wind"/>
  </r>
  <r>
    <s v="AQ100281"/>
    <d v="2025-06-30T00:00:00"/>
    <x v="12"/>
    <x v="4"/>
    <s v="Station-09"/>
    <n v="16"/>
    <n v="54.3"/>
    <n v="50"/>
    <n v="14.6"/>
    <n v="1.1299999999999999"/>
    <n v="38.200000000000003"/>
    <n v="27"/>
    <n v="53.5"/>
    <n v="3.1"/>
    <n v="157"/>
    <x v="2"/>
    <s v="Moderate"/>
    <s v="Normal"/>
    <s v="Normal Humidity"/>
    <s v="Moderate Wind"/>
  </r>
  <r>
    <s v="AQ100282"/>
    <d v="2025-06-14T00:00:00"/>
    <x v="12"/>
    <x v="4"/>
    <s v="Station-07"/>
    <n v="11.3"/>
    <n v="32.4"/>
    <n v="20"/>
    <n v="6.1"/>
    <n v="0.62"/>
    <n v="51.3"/>
    <n v="26.1"/>
    <n v="35.799999999999997"/>
    <n v="3"/>
    <n v="98"/>
    <x v="3"/>
    <s v="Good"/>
    <s v="Normal"/>
    <s v="Normal Humidity"/>
    <s v="Moderate Wind"/>
  </r>
  <r>
    <s v="AQ100283"/>
    <d v="2025-04-22T00:00:00"/>
    <x v="13"/>
    <x v="4"/>
    <s v="Station-14"/>
    <n v="25.4"/>
    <n v="102"/>
    <n v="32.1"/>
    <n v="18.8"/>
    <n v="1.59"/>
    <n v="39.799999999999997"/>
    <n v="18.3"/>
    <n v="58.3"/>
    <n v="1.5"/>
    <n v="203"/>
    <x v="1"/>
    <s v="Unhealthy"/>
    <s v="Cool"/>
    <s v="Normal Humidity"/>
    <s v="Low Wind"/>
  </r>
  <r>
    <s v="AQ100284"/>
    <d v="2025-08-09T00:00:00"/>
    <x v="15"/>
    <x v="3"/>
    <s v="Station-03"/>
    <n v="75.099999999999994"/>
    <n v="96.6"/>
    <n v="29.6"/>
    <n v="7"/>
    <n v="1.22"/>
    <n v="29"/>
    <n v="30.3"/>
    <n v="49.5"/>
    <n v="3"/>
    <n v="255"/>
    <x v="1"/>
    <s v="Moderate"/>
    <s v="Hot"/>
    <s v="Normal Humidity"/>
    <s v="Moderate Wind"/>
  </r>
  <r>
    <s v="AQ100285"/>
    <d v="2025-01-21T00:00:00"/>
    <x v="1"/>
    <x v="1"/>
    <s v="Station-10"/>
    <n v="28.2"/>
    <n v="101.4"/>
    <n v="18.8"/>
    <n v="25.8"/>
    <n v="0.41"/>
    <n v="33.700000000000003"/>
    <n v="28.1"/>
    <n v="71.900000000000006"/>
    <n v="1.8"/>
    <n v="170"/>
    <x v="2"/>
    <s v="Unhealthy"/>
    <s v="Normal"/>
    <s v="High Humidity"/>
    <s v="Low Wind"/>
  </r>
  <r>
    <s v="AQ100286"/>
    <d v="2025-05-20T00:00:00"/>
    <x v="6"/>
    <x v="1"/>
    <s v="Station-10"/>
    <n v="61.9"/>
    <n v="48.2"/>
    <n v="10.5"/>
    <n v="12.7"/>
    <n v="0.72"/>
    <n v="66.599999999999994"/>
    <n v="22.1"/>
    <n v="70.5"/>
    <n v="4"/>
    <n v="196"/>
    <x v="2"/>
    <s v="Good"/>
    <s v="Normal"/>
    <s v="High Humidity"/>
    <s v="Moderate Wind"/>
  </r>
  <r>
    <s v="AQ100287"/>
    <d v="2025-06-13T00:00:00"/>
    <x v="2"/>
    <x v="1"/>
    <s v="Station-08"/>
    <n v="20.3"/>
    <n v="193.1"/>
    <n v="26.8"/>
    <n v="7.5"/>
    <n v="0.18"/>
    <n v="50.2"/>
    <n v="25.1"/>
    <n v="66.400000000000006"/>
    <n v="1.4"/>
    <n v="212"/>
    <x v="1"/>
    <s v="VeryUnhealthy"/>
    <s v="Normal"/>
    <s v="High Humidity"/>
    <s v="Low Wind"/>
  </r>
  <r>
    <s v="AQ100288"/>
    <d v="2025-11-10T00:00:00"/>
    <x v="4"/>
    <x v="3"/>
    <s v="Station-01"/>
    <n v="47.3"/>
    <n v="27.2"/>
    <n v="15.5"/>
    <n v="11.4"/>
    <n v="0.56999999999999995"/>
    <n v="59.4"/>
    <n v="24.7"/>
    <n v="60"/>
    <n v="2.2000000000000002"/>
    <n v="155"/>
    <x v="2"/>
    <s v="Good"/>
    <s v="Normal"/>
    <s v="Normal Humidity"/>
    <s v="Moderate Wind"/>
  </r>
  <r>
    <s v="AQ100289"/>
    <d v="2025-11-22T00:00:00"/>
    <x v="4"/>
    <x v="3"/>
    <s v="Station-02"/>
    <n v="104.8"/>
    <n v="154.4"/>
    <n v="35.4"/>
    <n v="34.5"/>
    <n v="1.94"/>
    <n v="8.1999999999999993"/>
    <n v="24.1"/>
    <n v="63.6"/>
    <n v="0.9"/>
    <n v="373"/>
    <x v="0"/>
    <s v="VeryUnhealthy"/>
    <s v="Normal"/>
    <s v="High Humidity"/>
    <s v="Low Wind"/>
  </r>
  <r>
    <s v="AQ100290"/>
    <d v="2025-09-30T00:00:00"/>
    <x v="11"/>
    <x v="0"/>
    <s v="Station-01"/>
    <n v="29.4"/>
    <n v="54.4"/>
    <n v="60.7"/>
    <n v="4"/>
    <n v="0.76"/>
    <n v="46.1"/>
    <n v="27.5"/>
    <n v="73.099999999999994"/>
    <n v="2.2999999999999998"/>
    <n v="174"/>
    <x v="2"/>
    <s v="Moderate"/>
    <s v="Normal"/>
    <s v="High Humidity"/>
    <s v="Moderate Wind"/>
  </r>
  <r>
    <s v="AQ100291"/>
    <d v="2025-03-07T00:00:00"/>
    <x v="14"/>
    <x v="3"/>
    <s v="Station-08"/>
    <n v="18.5"/>
    <n v="130.80000000000001"/>
    <n v="28.2"/>
    <n v="15.4"/>
    <n v="0.42"/>
    <n v="15"/>
    <n v="32.799999999999997"/>
    <n v="49.8"/>
    <n v="3.3"/>
    <n v="165"/>
    <x v="2"/>
    <s v="Unhealthy"/>
    <s v="Hot"/>
    <s v="Normal Humidity"/>
    <s v="Moderate Wind"/>
  </r>
  <r>
    <s v="AQ100292"/>
    <d v="2025-10-18T00:00:00"/>
    <x v="14"/>
    <x v="3"/>
    <s v="Station-12"/>
    <n v="66.3"/>
    <n v="155.80000000000001"/>
    <n v="17.7"/>
    <n v="3.5"/>
    <n v="0.44"/>
    <n v="29.6"/>
    <n v="27.8"/>
    <n v="69.599999999999994"/>
    <n v="4.0999999999999996"/>
    <n v="248"/>
    <x v="1"/>
    <s v="VeryUnhealthy"/>
    <s v="Normal"/>
    <s v="High Humidity"/>
    <s v="Moderate Wind"/>
  </r>
  <r>
    <s v="AQ100293"/>
    <d v="2025-10-15T00:00:00"/>
    <x v="2"/>
    <x v="1"/>
    <s v="Station-09"/>
    <n v="64.3"/>
    <n v="102.6"/>
    <n v="19.7"/>
    <n v="14.3"/>
    <n v="0.74"/>
    <n v="22.8"/>
    <n v="15.3"/>
    <n v="58.9"/>
    <n v="0.9"/>
    <n v="224"/>
    <x v="1"/>
    <s v="Unhealthy"/>
    <s v="Cool"/>
    <s v="Normal Humidity"/>
    <s v="Low Wind"/>
  </r>
  <r>
    <s v="AQ100294"/>
    <d v="2025-12-28T00:00:00"/>
    <x v="6"/>
    <x v="1"/>
    <s v="Station-05"/>
    <n v="103.9"/>
    <n v="81.900000000000006"/>
    <n v="43.2"/>
    <n v="22.7"/>
    <n v="0.99"/>
    <n v="38.700000000000003"/>
    <n v="23.2"/>
    <n v="45.6"/>
    <n v="2.5"/>
    <n v="312"/>
    <x v="0"/>
    <s v="Moderate"/>
    <s v="Normal"/>
    <s v="Normal Humidity"/>
    <s v="Moderate Wind"/>
  </r>
  <r>
    <s v="AQ100295"/>
    <d v="2025-08-10T00:00:00"/>
    <x v="3"/>
    <x v="2"/>
    <s v="Station-10"/>
    <n v="62.8"/>
    <n v="25.3"/>
    <n v="10.9"/>
    <n v="12.4"/>
    <n v="0.57999999999999996"/>
    <n v="44.8"/>
    <n v="28.3"/>
    <n v="59.4"/>
    <n v="2.6"/>
    <n v="169"/>
    <x v="2"/>
    <s v="Good"/>
    <s v="Normal"/>
    <s v="Normal Humidity"/>
    <s v="Moderate Wind"/>
  </r>
  <r>
    <s v="AQ100296"/>
    <d v="2025-09-08T00:00:00"/>
    <x v="4"/>
    <x v="3"/>
    <s v="Station-10"/>
    <n v="43.2"/>
    <n v="102.2"/>
    <n v="17.399999999999999"/>
    <n v="16.399999999999999"/>
    <n v="0.21"/>
    <n v="9.5"/>
    <n v="27.5"/>
    <n v="60.7"/>
    <n v="2.2000000000000002"/>
    <n v="170"/>
    <x v="2"/>
    <s v="Unhealthy"/>
    <s v="Normal"/>
    <s v="High Humidity"/>
    <s v="Moderate Wind"/>
  </r>
  <r>
    <s v="AQ100297"/>
    <d v="2025-04-26T00:00:00"/>
    <x v="12"/>
    <x v="4"/>
    <s v="Station-08"/>
    <n v="30.3"/>
    <n v="54.7"/>
    <n v="33.700000000000003"/>
    <n v="3.4"/>
    <n v="0.56000000000000005"/>
    <n v="17"/>
    <n v="23.6"/>
    <n v="87.4"/>
    <n v="2.9"/>
    <n v="135"/>
    <x v="2"/>
    <s v="Moderate"/>
    <s v="Normal"/>
    <s v="High Humidity"/>
    <s v="Moderate Wind"/>
  </r>
  <r>
    <s v="AQ100298"/>
    <d v="2025-08-27T00:00:00"/>
    <x v="6"/>
    <x v="1"/>
    <s v="Station-07"/>
    <n v="81.7"/>
    <n v="87.9"/>
    <n v="32.4"/>
    <n v="4.8"/>
    <n v="0.22"/>
    <n v="35.6"/>
    <n v="25.8"/>
    <n v="60"/>
    <n v="1.7"/>
    <n v="239"/>
    <x v="1"/>
    <s v="Moderate"/>
    <s v="Normal"/>
    <s v="Normal Humidity"/>
    <s v="Low Wind"/>
  </r>
  <r>
    <s v="AQ100299"/>
    <d v="2025-07-02T00:00:00"/>
    <x v="7"/>
    <x v="2"/>
    <s v="Station-11"/>
    <n v="3.4"/>
    <n v="39.1"/>
    <n v="23.2"/>
    <n v="15.7"/>
    <n v="0.68"/>
    <n v="61"/>
    <n v="25"/>
    <n v="78.2"/>
    <n v="0.9"/>
    <n v="105"/>
    <x v="2"/>
    <s v="Good"/>
    <s v="Normal"/>
    <s v="High Humidity"/>
    <s v="Low Wind"/>
  </r>
  <r>
    <s v="AQ100300"/>
    <d v="2025-10-07T00:00:00"/>
    <x v="10"/>
    <x v="3"/>
    <s v="Station-15"/>
    <n v="8.9"/>
    <n v="44.8"/>
    <n v="43"/>
    <n v="22.4"/>
    <n v="0.99"/>
    <n v="59.6"/>
    <n v="19"/>
    <n v="88"/>
    <n v="1.6"/>
    <n v="145"/>
    <x v="2"/>
    <s v="Good"/>
    <s v="Cool"/>
    <s v="High Humidity"/>
    <s v="Low Wind"/>
  </r>
  <r>
    <s v="AQ100301"/>
    <d v="2025-01-22T00:00:00"/>
    <x v="2"/>
    <x v="1"/>
    <s v="Station-05"/>
    <n v="51.8"/>
    <n v="81"/>
    <n v="31.8"/>
    <n v="22.6"/>
    <n v="0.54"/>
    <n v="13.1"/>
    <n v="21.2"/>
    <n v="68.900000000000006"/>
    <n v="3.4"/>
    <n v="196"/>
    <x v="2"/>
    <s v="Moderate"/>
    <s v="Normal"/>
    <s v="High Humidity"/>
    <s v="Moderate Wind"/>
  </r>
  <r>
    <s v="AQ100302"/>
    <d v="2025-08-19T00:00:00"/>
    <x v="9"/>
    <x v="0"/>
    <s v="Station-02"/>
    <n v="78.5"/>
    <n v="68.5"/>
    <n v="50.9"/>
    <n v="4.0999999999999996"/>
    <n v="0.65"/>
    <n v="17.8"/>
    <n v="20.9"/>
    <n v="70.3"/>
    <n v="1.8"/>
    <n v="238"/>
    <x v="1"/>
    <s v="Moderate"/>
    <s v="Normal"/>
    <s v="High Humidity"/>
    <s v="Low Wind"/>
  </r>
  <r>
    <s v="AQ100303"/>
    <d v="2025-08-04T00:00:00"/>
    <x v="4"/>
    <x v="3"/>
    <s v="Station-14"/>
    <n v="39"/>
    <n v="75.099999999999994"/>
    <n v="54.5"/>
    <n v="20.399999999999999"/>
    <n v="0.67"/>
    <n v="36.299999999999997"/>
    <n v="28.1"/>
    <n v="64.3"/>
    <n v="3.3"/>
    <n v="202"/>
    <x v="1"/>
    <s v="Moderate"/>
    <s v="Normal"/>
    <s v="High Humidity"/>
    <s v="Moderate Wind"/>
  </r>
  <r>
    <s v="AQ100304"/>
    <d v="2025-12-15T00:00:00"/>
    <x v="4"/>
    <x v="3"/>
    <s v="Station-15"/>
    <n v="49.2"/>
    <n v="70.5"/>
    <n v="49.3"/>
    <n v="4.7"/>
    <n v="1.65"/>
    <n v="29.6"/>
    <n v="31.2"/>
    <n v="50.5"/>
    <n v="2.9"/>
    <n v="222"/>
    <x v="1"/>
    <s v="Moderate"/>
    <s v="Hot"/>
    <s v="Normal Humidity"/>
    <s v="Moderate Wind"/>
  </r>
  <r>
    <s v="AQ100305"/>
    <d v="2025-12-28T00:00:00"/>
    <x v="2"/>
    <x v="1"/>
    <s v="Station-14"/>
    <n v="52.1"/>
    <n v="166.3"/>
    <n v="49.6"/>
    <n v="24.8"/>
    <n v="0.33"/>
    <n v="22"/>
    <n v="30.2"/>
    <n v="74.599999999999994"/>
    <n v="0.1"/>
    <n v="267"/>
    <x v="1"/>
    <s v="VeryUnhealthy"/>
    <s v="Hot"/>
    <s v="High Humidity"/>
    <s v="Low Wind"/>
  </r>
  <r>
    <s v="AQ100306"/>
    <d v="2025-05-29T00:00:00"/>
    <x v="12"/>
    <x v="4"/>
    <s v="Station-11"/>
    <n v="88.3"/>
    <n v="14.8"/>
    <n v="18.899999999999999"/>
    <n v="11.6"/>
    <n v="0.32"/>
    <n v="32.5"/>
    <n v="27.7"/>
    <n v="82.3"/>
    <n v="1.3"/>
    <n v="197"/>
    <x v="2"/>
    <s v="Good"/>
    <s v="Normal"/>
    <s v="High Humidity"/>
    <s v="Low Wind"/>
  </r>
  <r>
    <s v="AQ100307"/>
    <d v="2025-07-11T00:00:00"/>
    <x v="10"/>
    <x v="3"/>
    <s v="Station-09"/>
    <n v="70.8"/>
    <n v="79.2"/>
    <n v="38.5"/>
    <n v="7.3"/>
    <n v="0.7"/>
    <n v="36.1"/>
    <n v="39.799999999999997"/>
    <n v="41.8"/>
    <n v="2.6"/>
    <n v="234"/>
    <x v="1"/>
    <s v="Moderate"/>
    <s v="Hot"/>
    <s v="Normal Humidity"/>
    <s v="Moderate Wind"/>
  </r>
  <r>
    <s v="AQ100308"/>
    <d v="2025-05-15T00:00:00"/>
    <x v="14"/>
    <x v="3"/>
    <s v="Station-15"/>
    <n v="59.7"/>
    <n v="70.3"/>
    <n v="22.1"/>
    <n v="10.1"/>
    <n v="0.62"/>
    <n v="23.2"/>
    <n v="25.7"/>
    <n v="36.6"/>
    <n v="2.6"/>
    <n v="192"/>
    <x v="2"/>
    <s v="Moderate"/>
    <s v="Normal"/>
    <s v="Normal Humidity"/>
    <s v="Moderate Wind"/>
  </r>
  <r>
    <s v="AQ100309"/>
    <d v="2025-01-18T00:00:00"/>
    <x v="3"/>
    <x v="2"/>
    <s v="Station-08"/>
    <n v="25.4"/>
    <n v="87.3"/>
    <n v="31.3"/>
    <n v="28.1"/>
    <n v="1.41"/>
    <n v="58.1"/>
    <n v="19.5"/>
    <n v="77.5"/>
    <n v="3.6"/>
    <n v="203"/>
    <x v="1"/>
    <s v="Moderate"/>
    <s v="Cool"/>
    <s v="High Humidity"/>
    <s v="Moderate Wind"/>
  </r>
  <r>
    <s v="AQ100310"/>
    <d v="2025-02-01T00:00:00"/>
    <x v="3"/>
    <x v="2"/>
    <s v="Station-03"/>
    <n v="73"/>
    <n v="51.2"/>
    <n v="51.5"/>
    <n v="11"/>
    <n v="0.74"/>
    <n v="16.600000000000001"/>
    <n v="16.3"/>
    <n v="51.7"/>
    <n v="2.6"/>
    <n v="225"/>
    <x v="1"/>
    <s v="Moderate"/>
    <s v="Cool"/>
    <s v="Normal Humidity"/>
    <s v="Moderate Wind"/>
  </r>
  <r>
    <s v="AQ100311"/>
    <d v="2025-02-04T00:00:00"/>
    <x v="1"/>
    <x v="1"/>
    <s v="Station-08"/>
    <n v="70"/>
    <n v="67.400000000000006"/>
    <n v="14.6"/>
    <n v="18.100000000000001"/>
    <n v="0.39"/>
    <n v="21.5"/>
    <n v="36.4"/>
    <n v="66"/>
    <n v="3.8"/>
    <n v="200"/>
    <x v="2"/>
    <s v="Moderate"/>
    <s v="Hot"/>
    <s v="High Humidity"/>
    <s v="Moderate Wind"/>
  </r>
  <r>
    <s v="AQ100312"/>
    <d v="2025-12-11T00:00:00"/>
    <x v="1"/>
    <x v="1"/>
    <s v="Station-05"/>
    <n v="46.1"/>
    <n v="28.4"/>
    <n v="20.5"/>
    <n v="9.3000000000000007"/>
    <n v="0.66"/>
    <n v="87.4"/>
    <n v="26.5"/>
    <n v="68.7"/>
    <n v="1.7"/>
    <n v="171"/>
    <x v="2"/>
    <s v="Good"/>
    <s v="Normal"/>
    <s v="High Humidity"/>
    <s v="Low Wind"/>
  </r>
  <r>
    <s v="AQ100313"/>
    <d v="2025-05-31T00:00:00"/>
    <x v="14"/>
    <x v="3"/>
    <s v="Station-02"/>
    <n v="71.8"/>
    <n v="90.5"/>
    <n v="26.6"/>
    <n v="12.5"/>
    <n v="0.45"/>
    <n v="20"/>
    <n v="26"/>
    <n v="40.299999999999997"/>
    <n v="2.2999999999999998"/>
    <n v="224"/>
    <x v="1"/>
    <s v="Moderate"/>
    <s v="Normal"/>
    <s v="Normal Humidity"/>
    <s v="Moderate Wind"/>
  </r>
  <r>
    <s v="AQ100314"/>
    <d v="2025-01-30T00:00:00"/>
    <x v="7"/>
    <x v="2"/>
    <s v="Station-02"/>
    <n v="20.5"/>
    <n v="43.9"/>
    <n v="18.5"/>
    <n v="8.6"/>
    <n v="0.51"/>
    <n v="10.3"/>
    <n v="25.8"/>
    <n v="46.4"/>
    <n v="2.9"/>
    <n v="100"/>
    <x v="3"/>
    <s v="Good"/>
    <s v="Normal"/>
    <s v="Normal Humidity"/>
    <s v="Moderate Wind"/>
  </r>
  <r>
    <s v="AQ100315"/>
    <d v="2025-04-11T00:00:00"/>
    <x v="10"/>
    <x v="3"/>
    <s v="Station-02"/>
    <n v="53.3"/>
    <n v="103.1"/>
    <n v="22.3"/>
    <n v="3"/>
    <n v="1.69"/>
    <n v="13.6"/>
    <n v="31.7"/>
    <n v="64.3"/>
    <n v="2.4"/>
    <n v="221"/>
    <x v="1"/>
    <s v="Unhealthy"/>
    <s v="Hot"/>
    <s v="High Humidity"/>
    <s v="Moderate Wind"/>
  </r>
  <r>
    <s v="AQ100316"/>
    <d v="2025-11-29T00:00:00"/>
    <x v="15"/>
    <x v="3"/>
    <s v="Station-15"/>
    <n v="72.900000000000006"/>
    <n v="130.1"/>
    <n v="20.8"/>
    <n v="10.199999999999999"/>
    <n v="0.94"/>
    <n v="31.9"/>
    <n v="30.3"/>
    <n v="66.7"/>
    <n v="2.8"/>
    <n v="263"/>
    <x v="1"/>
    <s v="Unhealthy"/>
    <s v="Hot"/>
    <s v="High Humidity"/>
    <s v="Moderate Wind"/>
  </r>
  <r>
    <s v="AQ100317"/>
    <d v="2025-09-30T00:00:00"/>
    <x v="1"/>
    <x v="1"/>
    <s v="Station-13"/>
    <n v="54.3"/>
    <n v="115.4"/>
    <n v="33.700000000000003"/>
    <n v="4.0999999999999996"/>
    <n v="2.44"/>
    <n v="29"/>
    <n v="27.2"/>
    <n v="70.900000000000006"/>
    <n v="1.2"/>
    <n v="266"/>
    <x v="1"/>
    <s v="Unhealthy"/>
    <s v="Normal"/>
    <s v="High Humidity"/>
    <s v="Low Wind"/>
  </r>
  <r>
    <s v="AQ100318"/>
    <d v="2025-05-10T00:00:00"/>
    <x v="1"/>
    <x v="1"/>
    <s v="Station-05"/>
    <n v="96.5"/>
    <n v="89.7"/>
    <n v="77.599999999999994"/>
    <n v="11.8"/>
    <n v="0.36"/>
    <n v="43"/>
    <n v="21.6"/>
    <n v="39"/>
    <n v="2.4"/>
    <n v="311"/>
    <x v="0"/>
    <s v="Moderate"/>
    <s v="Normal"/>
    <s v="Normal Humidity"/>
    <s v="Moderate Wind"/>
  </r>
  <r>
    <s v="AQ100319"/>
    <d v="2025-05-08T00:00:00"/>
    <x v="3"/>
    <x v="2"/>
    <s v="Station-04"/>
    <n v="25"/>
    <n v="92"/>
    <n v="7.5"/>
    <n v="3.7"/>
    <n v="1.36"/>
    <n v="32.200000000000003"/>
    <n v="31.3"/>
    <n v="64.7"/>
    <n v="2.2999999999999998"/>
    <n v="157"/>
    <x v="2"/>
    <s v="Moderate"/>
    <s v="Hot"/>
    <s v="High Humidity"/>
    <s v="Moderate Wind"/>
  </r>
  <r>
    <s v="AQ100320"/>
    <d v="2025-12-28T00:00:00"/>
    <x v="7"/>
    <x v="2"/>
    <s v="Station-04"/>
    <n v="39.5"/>
    <n v="76.8"/>
    <n v="17.399999999999999"/>
    <n v="49.1"/>
    <n v="0.75"/>
    <n v="51.1"/>
    <n v="16.3"/>
    <n v="62.5"/>
    <n v="2.6"/>
    <n v="203"/>
    <x v="1"/>
    <s v="Moderate"/>
    <s v="Cool"/>
    <s v="High Humidity"/>
    <s v="Moderate Wind"/>
  </r>
  <r>
    <s v="AQ100321"/>
    <d v="2025-06-02T00:00:00"/>
    <x v="0"/>
    <x v="0"/>
    <s v="Station-05"/>
    <n v="83.2"/>
    <n v="36.299999999999997"/>
    <n v="21.4"/>
    <n v="6.2"/>
    <n v="0.4"/>
    <n v="54.8"/>
    <n v="24"/>
    <n v="68.2"/>
    <n v="1.4"/>
    <n v="213"/>
    <x v="1"/>
    <s v="Good"/>
    <s v="Normal"/>
    <s v="High Humidity"/>
    <s v="Low Wind"/>
  </r>
  <r>
    <s v="AQ100322"/>
    <d v="2025-02-17T00:00:00"/>
    <x v="13"/>
    <x v="4"/>
    <s v="Station-09"/>
    <n v="61.6"/>
    <n v="68.8"/>
    <n v="25.4"/>
    <n v="15.2"/>
    <n v="0.63"/>
    <n v="47.7"/>
    <n v="32"/>
    <n v="68.099999999999994"/>
    <n v="3.5"/>
    <n v="211"/>
    <x v="1"/>
    <s v="Moderate"/>
    <s v="Hot"/>
    <s v="High Humidity"/>
    <s v="Moderate Wind"/>
  </r>
  <r>
    <s v="AQ100323"/>
    <d v="2025-09-03T00:00:00"/>
    <x v="10"/>
    <x v="3"/>
    <s v="Station-10"/>
    <n v="24.3"/>
    <n v="61"/>
    <n v="10.9"/>
    <n v="6.6"/>
    <n v="1.01"/>
    <n v="8.1999999999999993"/>
    <n v="36.5"/>
    <n v="63.9"/>
    <n v="2.7"/>
    <n v="121"/>
    <x v="2"/>
    <s v="Moderate"/>
    <s v="Hot"/>
    <s v="High Humidity"/>
    <s v="Moderate Wind"/>
  </r>
  <r>
    <s v="AQ100324"/>
    <d v="2025-03-30T00:00:00"/>
    <x v="5"/>
    <x v="4"/>
    <s v="Station-14"/>
    <n v="31.8"/>
    <n v="83.5"/>
    <n v="5.0999999999999996"/>
    <n v="6.1"/>
    <n v="0.17"/>
    <n v="35.299999999999997"/>
    <n v="34.9"/>
    <n v="80.099999999999994"/>
    <n v="1.3"/>
    <n v="134"/>
    <x v="2"/>
    <s v="Moderate"/>
    <s v="Hot"/>
    <s v="High Humidity"/>
    <s v="Low Wind"/>
  </r>
  <r>
    <s v="AQ100325"/>
    <d v="2025-08-21T00:00:00"/>
    <x v="1"/>
    <x v="1"/>
    <s v="Station-13"/>
    <n v="5.3"/>
    <n v="63.2"/>
    <n v="32.4"/>
    <n v="18"/>
    <n v="0.18"/>
    <n v="46.9"/>
    <n v="32.700000000000003"/>
    <n v="71.7"/>
    <n v="3.1"/>
    <n v="114"/>
    <x v="2"/>
    <s v="Moderate"/>
    <s v="Hot"/>
    <s v="High Humidity"/>
    <s v="Moderate Wind"/>
  </r>
  <r>
    <s v="AQ100326"/>
    <d v="2025-10-16T00:00:00"/>
    <x v="14"/>
    <x v="3"/>
    <s v="Station-09"/>
    <n v="38.700000000000003"/>
    <n v="54.6"/>
    <n v="22.5"/>
    <n v="36.9"/>
    <n v="1.5"/>
    <n v="13.7"/>
    <n v="33.6"/>
    <n v="96.4"/>
    <n v="2.2999999999999998"/>
    <n v="185"/>
    <x v="2"/>
    <s v="Moderate"/>
    <s v="Hot"/>
    <s v="High Humidity"/>
    <s v="Moderate Wind"/>
  </r>
  <r>
    <s v="AQ100327"/>
    <d v="2025-07-27T00:00:00"/>
    <x v="5"/>
    <x v="4"/>
    <s v="Station-04"/>
    <n v="98.3"/>
    <n v="32.6"/>
    <n v="13.2"/>
    <n v="10.9"/>
    <n v="0.27"/>
    <n v="72.400000000000006"/>
    <n v="20"/>
    <n v="62.3"/>
    <n v="3"/>
    <n v="236"/>
    <x v="1"/>
    <s v="Good"/>
    <s v="Normal"/>
    <s v="High Humidity"/>
    <s v="Moderate Wind"/>
  </r>
  <r>
    <s v="AQ100328"/>
    <d v="2025-05-23T00:00:00"/>
    <x v="7"/>
    <x v="2"/>
    <s v="Station-01"/>
    <n v="73.900000000000006"/>
    <n v="99.8"/>
    <n v="11.2"/>
    <n v="11.2"/>
    <n v="7.0000000000000007E-2"/>
    <n v="11.2"/>
    <n v="17"/>
    <n v="48.9"/>
    <n v="3.1"/>
    <n v="207"/>
    <x v="1"/>
    <s v="Moderate"/>
    <s v="Cool"/>
    <s v="Normal Humidity"/>
    <s v="Moderate Wind"/>
  </r>
  <r>
    <s v="AQ100329"/>
    <d v="2025-08-11T00:00:00"/>
    <x v="10"/>
    <x v="3"/>
    <s v="Station-04"/>
    <n v="10.199999999999999"/>
    <n v="39.1"/>
    <n v="21.6"/>
    <n v="22.1"/>
    <n v="0.48"/>
    <n v="23.9"/>
    <n v="17.8"/>
    <n v="74.099999999999994"/>
    <n v="1.4"/>
    <n v="97"/>
    <x v="3"/>
    <s v="Good"/>
    <s v="Cool"/>
    <s v="High Humidity"/>
    <s v="Low Wind"/>
  </r>
  <r>
    <s v="AQ100330"/>
    <d v="2025-06-10T00:00:00"/>
    <x v="4"/>
    <x v="3"/>
    <s v="Station-05"/>
    <n v="36.299999999999997"/>
    <n v="104.7"/>
    <n v="12.8"/>
    <n v="10.3"/>
    <n v="0.11"/>
    <n v="31.2"/>
    <n v="23"/>
    <n v="63.9"/>
    <n v="1.9"/>
    <n v="160"/>
    <x v="2"/>
    <s v="Unhealthy"/>
    <s v="Normal"/>
    <s v="High Humidity"/>
    <s v="Low Wind"/>
  </r>
  <r>
    <s v="AQ100331"/>
    <d v="2025-08-09T00:00:00"/>
    <x v="2"/>
    <x v="1"/>
    <s v="Station-04"/>
    <n v="18.899999999999999"/>
    <n v="46.7"/>
    <n v="26.3"/>
    <n v="14.3"/>
    <n v="0.64"/>
    <n v="15.3"/>
    <n v="20.3"/>
    <n v="62.5"/>
    <n v="1.5"/>
    <n v="115"/>
    <x v="2"/>
    <s v="Good"/>
    <s v="Normal"/>
    <s v="High Humidity"/>
    <s v="Low Wind"/>
  </r>
  <r>
    <s v="AQ100332"/>
    <d v="2025-03-15T00:00:00"/>
    <x v="2"/>
    <x v="1"/>
    <s v="Station-10"/>
    <n v="85.8"/>
    <n v="135"/>
    <n v="26"/>
    <n v="25.3"/>
    <n v="1.03"/>
    <n v="37.6"/>
    <n v="26.6"/>
    <n v="92.3"/>
    <n v="3.5"/>
    <n v="306"/>
    <x v="0"/>
    <s v="Unhealthy"/>
    <s v="Normal"/>
    <s v="High Humidity"/>
    <s v="Moderate Wind"/>
  </r>
  <r>
    <s v="AQ100333"/>
    <d v="2025-10-05T00:00:00"/>
    <x v="13"/>
    <x v="4"/>
    <s v="Station-10"/>
    <n v="24.6"/>
    <n v="93.1"/>
    <n v="19.100000000000001"/>
    <n v="10.1"/>
    <n v="0.28999999999999998"/>
    <n v="32"/>
    <n v="38.9"/>
    <n v="69"/>
    <n v="2.5"/>
    <n v="144"/>
    <x v="2"/>
    <s v="Moderate"/>
    <s v="Hot"/>
    <s v="High Humidity"/>
    <s v="Moderate Wind"/>
  </r>
  <r>
    <s v="AQ100334"/>
    <d v="2025-02-27T00:00:00"/>
    <x v="11"/>
    <x v="0"/>
    <s v="Station-08"/>
    <n v="149"/>
    <n v="158.19999999999999"/>
    <n v="30.1"/>
    <n v="3.8"/>
    <n v="1.3"/>
    <n v="12.4"/>
    <n v="25.8"/>
    <n v="57.1"/>
    <n v="2.8"/>
    <n v="406"/>
    <x v="0"/>
    <s v="VeryUnhealthy"/>
    <s v="Normal"/>
    <s v="Normal Humidity"/>
    <s v="Moderate Wind"/>
  </r>
  <r>
    <s v="AQ100335"/>
    <d v="2025-04-15T00:00:00"/>
    <x v="12"/>
    <x v="4"/>
    <s v="Station-09"/>
    <n v="16.399999999999999"/>
    <n v="98.2"/>
    <n v="37.799999999999997"/>
    <n v="20.2"/>
    <n v="0.39"/>
    <n v="18.399999999999999"/>
    <n v="35.9"/>
    <n v="59.5"/>
    <n v="2.8"/>
    <n v="152"/>
    <x v="2"/>
    <s v="Moderate"/>
    <s v="Hot"/>
    <s v="Normal Humidity"/>
    <s v="Moderate Wind"/>
  </r>
  <r>
    <s v="AQ100336"/>
    <d v="2025-11-10T00:00:00"/>
    <x v="2"/>
    <x v="1"/>
    <s v="Station-04"/>
    <n v="22.4"/>
    <n v="134.30000000000001"/>
    <n v="11.6"/>
    <n v="4"/>
    <n v="2.5"/>
    <n v="22.3"/>
    <n v="22"/>
    <n v="64.599999999999994"/>
    <n v="1.8"/>
    <n v="208"/>
    <x v="1"/>
    <s v="Unhealthy"/>
    <s v="Normal"/>
    <s v="High Humidity"/>
    <s v="Low Wind"/>
  </r>
  <r>
    <s v="AQ100337"/>
    <d v="2025-07-13T00:00:00"/>
    <x v="12"/>
    <x v="4"/>
    <s v="Station-05"/>
    <n v="23.1"/>
    <n v="96.8"/>
    <n v="19.399999999999999"/>
    <n v="57.9"/>
    <n v="0.97"/>
    <n v="24.7"/>
    <n v="28"/>
    <n v="65.7"/>
    <n v="2.1"/>
    <n v="191"/>
    <x v="2"/>
    <s v="Moderate"/>
    <s v="Normal"/>
    <s v="High Humidity"/>
    <s v="Moderate Wind"/>
  </r>
  <r>
    <s v="AQ100338"/>
    <d v="2025-08-05T00:00:00"/>
    <x v="6"/>
    <x v="1"/>
    <s v="Station-06"/>
    <n v="60"/>
    <n v="40.200000000000003"/>
    <n v="45.7"/>
    <n v="9.6"/>
    <n v="1.93"/>
    <n v="61.6"/>
    <n v="25.4"/>
    <n v="48.7"/>
    <n v="2.4"/>
    <n v="241"/>
    <x v="1"/>
    <s v="Good"/>
    <s v="Normal"/>
    <s v="Normal Humidity"/>
    <s v="Moderate Wind"/>
  </r>
  <r>
    <s v="AQ100339"/>
    <d v="2025-09-09T00:00:00"/>
    <x v="8"/>
    <x v="2"/>
    <s v="Station-07"/>
    <n v="65.8"/>
    <n v="85.2"/>
    <n v="39.799999999999997"/>
    <n v="13.6"/>
    <n v="0.79"/>
    <n v="14.8"/>
    <n v="20.9"/>
    <n v="47"/>
    <n v="1.9"/>
    <n v="228"/>
    <x v="1"/>
    <s v="Moderate"/>
    <s v="Normal"/>
    <s v="Normal Humidity"/>
    <s v="Low Wind"/>
  </r>
  <r>
    <s v="AQ100340"/>
    <d v="2025-10-14T00:00:00"/>
    <x v="5"/>
    <x v="4"/>
    <s v="Station-07"/>
    <n v="17.100000000000001"/>
    <n v="50.7"/>
    <n v="12.5"/>
    <n v="3.3"/>
    <n v="0.86"/>
    <n v="37.700000000000003"/>
    <n v="29.3"/>
    <n v="59.8"/>
    <n v="1.7"/>
    <n v="111"/>
    <x v="2"/>
    <s v="Moderate"/>
    <s v="Normal"/>
    <s v="Normal Humidity"/>
    <s v="Low Wind"/>
  </r>
  <r>
    <s v="AQ100341"/>
    <d v="2025-01-30T00:00:00"/>
    <x v="4"/>
    <x v="3"/>
    <s v="Station-15"/>
    <n v="89"/>
    <n v="88.7"/>
    <n v="58"/>
    <n v="26.7"/>
    <n v="1.08"/>
    <n v="25.3"/>
    <n v="25.7"/>
    <n v="63.6"/>
    <n v="1.7"/>
    <n v="304"/>
    <x v="0"/>
    <s v="Moderate"/>
    <s v="Normal"/>
    <s v="High Humidity"/>
    <s v="Low Wind"/>
  </r>
  <r>
    <s v="AQ100342"/>
    <d v="2025-05-14T00:00:00"/>
    <x v="14"/>
    <x v="3"/>
    <s v="Station-01"/>
    <n v="46.3"/>
    <n v="199.6"/>
    <n v="62.5"/>
    <n v="12.9"/>
    <n v="0.19"/>
    <n v="42.7"/>
    <n v="24.7"/>
    <n v="62.9"/>
    <n v="1.1000000000000001"/>
    <n v="287"/>
    <x v="1"/>
    <s v="VeryUnhealthy"/>
    <s v="Normal"/>
    <s v="High Humidity"/>
    <s v="Low Wind"/>
  </r>
  <r>
    <s v="AQ100343"/>
    <d v="2025-09-26T00:00:00"/>
    <x v="1"/>
    <x v="1"/>
    <s v="Station-07"/>
    <n v="52.7"/>
    <n v="52.7"/>
    <n v="70.900000000000006"/>
    <n v="15"/>
    <n v="1.8"/>
    <n v="36.6"/>
    <n v="26.9"/>
    <n v="54.5"/>
    <n v="1.4"/>
    <n v="247"/>
    <x v="1"/>
    <s v="Moderate"/>
    <s v="Normal"/>
    <s v="Normal Humidity"/>
    <s v="Low Wind"/>
  </r>
  <r>
    <s v="AQ100344"/>
    <d v="2025-06-27T00:00:00"/>
    <x v="4"/>
    <x v="3"/>
    <s v="Station-10"/>
    <n v="48"/>
    <n v="45.6"/>
    <n v="34.299999999999997"/>
    <n v="23.7"/>
    <n v="1.1200000000000001"/>
    <n v="24.7"/>
    <n v="28"/>
    <n v="41.5"/>
    <n v="2.1"/>
    <n v="190"/>
    <x v="2"/>
    <s v="Good"/>
    <s v="Normal"/>
    <s v="Normal Humidity"/>
    <s v="Moderate Wind"/>
  </r>
  <r>
    <s v="AQ100345"/>
    <d v="2025-06-17T00:00:00"/>
    <x v="5"/>
    <x v="4"/>
    <s v="Station-01"/>
    <n v="12.2"/>
    <n v="95.6"/>
    <n v="6.9"/>
    <n v="3.8"/>
    <n v="0.76"/>
    <n v="80.599999999999994"/>
    <n v="25.5"/>
    <n v="65.099999999999994"/>
    <n v="0.7"/>
    <n v="145"/>
    <x v="2"/>
    <s v="Moderate"/>
    <s v="Normal"/>
    <s v="High Humidity"/>
    <s v="Low Wind"/>
  </r>
  <r>
    <s v="AQ100346"/>
    <d v="2025-12-01T00:00:00"/>
    <x v="12"/>
    <x v="4"/>
    <s v="Station-13"/>
    <n v="39.4"/>
    <n v="61.7"/>
    <n v="82"/>
    <n v="14.5"/>
    <n v="0.51"/>
    <n v="38.200000000000003"/>
    <n v="25.2"/>
    <n v="74"/>
    <n v="2.6"/>
    <n v="209"/>
    <x v="1"/>
    <s v="Moderate"/>
    <s v="Normal"/>
    <s v="High Humidity"/>
    <s v="Moderate Wind"/>
  </r>
  <r>
    <s v="AQ100347"/>
    <d v="2025-12-19T00:00:00"/>
    <x v="8"/>
    <x v="2"/>
    <s v="Station-07"/>
    <n v="6.7"/>
    <n v="139.5"/>
    <n v="16.100000000000001"/>
    <n v="17.5"/>
    <n v="0.75"/>
    <n v="43"/>
    <n v="14.6"/>
    <n v="68"/>
    <n v="2.9"/>
    <n v="165"/>
    <x v="2"/>
    <s v="Unhealthy"/>
    <s v="Cool"/>
    <s v="High Humidity"/>
    <s v="Moderate Wind"/>
  </r>
  <r>
    <s v="AQ100348"/>
    <d v="2025-11-27T00:00:00"/>
    <x v="11"/>
    <x v="0"/>
    <s v="Station-03"/>
    <n v="51.6"/>
    <n v="127.8"/>
    <n v="27.1"/>
    <n v="13.5"/>
    <n v="1.39"/>
    <n v="21.8"/>
    <n v="25.6"/>
    <n v="61.8"/>
    <n v="1.2"/>
    <n v="241"/>
    <x v="1"/>
    <s v="Unhealthy"/>
    <s v="Normal"/>
    <s v="High Humidity"/>
    <s v="Low Wind"/>
  </r>
  <r>
    <s v="AQ100349"/>
    <d v="2025-01-20T00:00:00"/>
    <x v="2"/>
    <x v="1"/>
    <s v="Station-14"/>
    <n v="48.2"/>
    <n v="147.5"/>
    <n v="38.299999999999997"/>
    <n v="13.6"/>
    <n v="1.46"/>
    <n v="33.5"/>
    <n v="24.7"/>
    <n v="63.9"/>
    <n v="2.1"/>
    <n v="265"/>
    <x v="1"/>
    <s v="Unhealthy"/>
    <s v="Normal"/>
    <s v="High Humidity"/>
    <s v="Moderate Wind"/>
  </r>
  <r>
    <s v="AQ100350"/>
    <d v="2025-08-06T00:00:00"/>
    <x v="9"/>
    <x v="0"/>
    <s v="Station-12"/>
    <n v="62.2"/>
    <n v="24.9"/>
    <n v="54.5"/>
    <n v="10.6"/>
    <n v="1.95"/>
    <n v="51.6"/>
    <n v="26.5"/>
    <n v="69.3"/>
    <n v="2.7"/>
    <n v="239"/>
    <x v="1"/>
    <s v="Good"/>
    <s v="Normal"/>
    <s v="High Humidity"/>
    <s v="Moderate Wind"/>
  </r>
  <r>
    <s v="AQ100351"/>
    <d v="2025-02-18T00:00:00"/>
    <x v="13"/>
    <x v="4"/>
    <s v="Station-06"/>
    <n v="51.5"/>
    <n v="165.2"/>
    <n v="45.4"/>
    <n v="9"/>
    <n v="0.8"/>
    <n v="51.9"/>
    <n v="34.4"/>
    <n v="44.9"/>
    <n v="1"/>
    <n v="276"/>
    <x v="1"/>
    <s v="VeryUnhealthy"/>
    <s v="Hot"/>
    <s v="Normal Humidity"/>
    <s v="Low Wind"/>
  </r>
  <r>
    <s v="AQ100352"/>
    <d v="2025-09-06T00:00:00"/>
    <x v="6"/>
    <x v="1"/>
    <s v="Station-06"/>
    <n v="105.5"/>
    <n v="142"/>
    <n v="28.9"/>
    <n v="4.4000000000000004"/>
    <n v="1.4"/>
    <n v="11.9"/>
    <n v="28.9"/>
    <n v="61.6"/>
    <n v="4.8"/>
    <n v="328"/>
    <x v="0"/>
    <s v="Unhealthy"/>
    <s v="Normal"/>
    <s v="High Humidity"/>
    <s v="Moderate Wind"/>
  </r>
  <r>
    <s v="AQ100353"/>
    <d v="2025-04-01T00:00:00"/>
    <x v="0"/>
    <x v="0"/>
    <s v="Station-01"/>
    <n v="40.1"/>
    <n v="41.6"/>
    <n v="24.8"/>
    <n v="26.9"/>
    <n v="0.75"/>
    <n v="17.100000000000001"/>
    <n v="31.5"/>
    <n v="98"/>
    <n v="2.7"/>
    <n v="156"/>
    <x v="2"/>
    <s v="Good"/>
    <s v="Hot"/>
    <s v="High Humidity"/>
    <s v="Moderate Wind"/>
  </r>
  <r>
    <s v="AQ100354"/>
    <d v="2025-01-28T00:00:00"/>
    <x v="0"/>
    <x v="0"/>
    <s v="Station-04"/>
    <n v="47.6"/>
    <n v="43.6"/>
    <n v="52.4"/>
    <n v="34.4"/>
    <n v="1.8"/>
    <n v="53.3"/>
    <n v="23"/>
    <n v="37.9"/>
    <n v="2.8"/>
    <n v="239"/>
    <x v="1"/>
    <s v="Good"/>
    <s v="Normal"/>
    <s v="Normal Humidity"/>
    <s v="Moderate Wind"/>
  </r>
  <r>
    <s v="AQ100355"/>
    <d v="2025-08-26T00:00:00"/>
    <x v="10"/>
    <x v="3"/>
    <s v="Station-01"/>
    <n v="105.9"/>
    <n v="69.7"/>
    <n v="53"/>
    <n v="12.1"/>
    <n v="0.68"/>
    <n v="29.2"/>
    <n v="26.5"/>
    <n v="80.5"/>
    <n v="3.8"/>
    <n v="296"/>
    <x v="1"/>
    <s v="Moderate"/>
    <s v="Normal"/>
    <s v="High Humidity"/>
    <s v="Moderate Wind"/>
  </r>
  <r>
    <s v="AQ100356"/>
    <d v="2025-05-06T00:00:00"/>
    <x v="1"/>
    <x v="1"/>
    <s v="Station-09"/>
    <n v="57.2"/>
    <n v="107.9"/>
    <n v="30.1"/>
    <n v="37.5"/>
    <n v="0.59"/>
    <n v="71.8"/>
    <n v="23.6"/>
    <n v="59"/>
    <n v="3.3"/>
    <n v="259"/>
    <x v="1"/>
    <s v="Unhealthy"/>
    <s v="Normal"/>
    <s v="Normal Humidity"/>
    <s v="Moderate Wind"/>
  </r>
  <r>
    <s v="AQ100357"/>
    <d v="2025-12-06T00:00:00"/>
    <x v="10"/>
    <x v="3"/>
    <s v="Station-04"/>
    <n v="51.1"/>
    <n v="67.400000000000006"/>
    <n v="24.9"/>
    <n v="14.8"/>
    <n v="0.56000000000000005"/>
    <n v="55"/>
    <n v="16.7"/>
    <n v="82.4"/>
    <n v="2.9"/>
    <n v="195"/>
    <x v="2"/>
    <s v="Moderate"/>
    <s v="Cool"/>
    <s v="High Humidity"/>
    <s v="Moderate Wind"/>
  </r>
  <r>
    <s v="AQ100358"/>
    <d v="2025-07-27T00:00:00"/>
    <x v="7"/>
    <x v="2"/>
    <s v="Station-03"/>
    <n v="77.2"/>
    <n v="76.7"/>
    <n v="11.2"/>
    <n v="0.6"/>
    <n v="0.59"/>
    <n v="16.7"/>
    <n v="20.7"/>
    <n v="75.8"/>
    <n v="3"/>
    <n v="205"/>
    <x v="1"/>
    <s v="Moderate"/>
    <s v="Normal"/>
    <s v="High Humidity"/>
    <s v="Moderate Wind"/>
  </r>
  <r>
    <s v="AQ100359"/>
    <d v="2025-02-06T00:00:00"/>
    <x v="9"/>
    <x v="0"/>
    <s v="Station-06"/>
    <n v="25.9"/>
    <n v="39.299999999999997"/>
    <n v="16.600000000000001"/>
    <n v="5.9"/>
    <n v="0.77"/>
    <n v="27.2"/>
    <n v="23.5"/>
    <n v="83.1"/>
    <n v="3.1"/>
    <n v="116"/>
    <x v="2"/>
    <s v="Good"/>
    <s v="Normal"/>
    <s v="High Humidity"/>
    <s v="Moderate Wind"/>
  </r>
  <r>
    <s v="AQ100360"/>
    <d v="2025-06-11T00:00:00"/>
    <x v="10"/>
    <x v="3"/>
    <s v="Station-05"/>
    <n v="31.4"/>
    <n v="42.1"/>
    <n v="29.6"/>
    <n v="33.5"/>
    <n v="0.79"/>
    <n v="43.1"/>
    <n v="27.4"/>
    <n v="54.9"/>
    <n v="1.7"/>
    <n v="164"/>
    <x v="2"/>
    <s v="Good"/>
    <s v="Normal"/>
    <s v="Normal Humidity"/>
    <s v="Low Wind"/>
  </r>
  <r>
    <s v="AQ100361"/>
    <d v="2025-11-01T00:00:00"/>
    <x v="5"/>
    <x v="4"/>
    <s v="Station-13"/>
    <n v="39"/>
    <n v="25.5"/>
    <n v="19.2"/>
    <n v="8.4"/>
    <n v="0.49"/>
    <n v="21.6"/>
    <n v="34.1"/>
    <n v="43"/>
    <n v="2.2999999999999998"/>
    <n v="122"/>
    <x v="2"/>
    <s v="Good"/>
    <s v="Hot"/>
    <s v="Normal Humidity"/>
    <s v="Moderate Wind"/>
  </r>
  <r>
    <s v="AQ100362"/>
    <d v="2025-04-23T00:00:00"/>
    <x v="8"/>
    <x v="2"/>
    <s v="Station-13"/>
    <n v="54.6"/>
    <n v="75.3"/>
    <n v="77.8"/>
    <n v="7.6"/>
    <n v="0.09"/>
    <n v="33.299999999999997"/>
    <n v="21.1"/>
    <n v="49.8"/>
    <n v="1.7"/>
    <n v="221"/>
    <x v="1"/>
    <s v="Moderate"/>
    <s v="Normal"/>
    <s v="Normal Humidity"/>
    <s v="Low Wind"/>
  </r>
  <r>
    <s v="AQ100363"/>
    <d v="2025-09-02T00:00:00"/>
    <x v="1"/>
    <x v="1"/>
    <s v="Station-12"/>
    <n v="61.4"/>
    <n v="63.1"/>
    <n v="27.6"/>
    <n v="5.0999999999999996"/>
    <n v="0.4"/>
    <n v="25.4"/>
    <n v="28.5"/>
    <n v="63.1"/>
    <n v="1.9"/>
    <n v="186"/>
    <x v="2"/>
    <s v="Moderate"/>
    <s v="Normal"/>
    <s v="High Humidity"/>
    <s v="Low Wind"/>
  </r>
  <r>
    <s v="AQ100364"/>
    <d v="2025-09-14T00:00:00"/>
    <x v="8"/>
    <x v="2"/>
    <s v="Station-07"/>
    <n v="37.200000000000003"/>
    <n v="63.1"/>
    <n v="48.3"/>
    <n v="7.3"/>
    <n v="0.28000000000000003"/>
    <n v="22.3"/>
    <n v="27.8"/>
    <n v="56.8"/>
    <n v="2.6"/>
    <n v="161"/>
    <x v="2"/>
    <s v="Moderate"/>
    <s v="Normal"/>
    <s v="Normal Humidity"/>
    <s v="Moderate Wind"/>
  </r>
  <r>
    <s v="AQ100365"/>
    <d v="2025-04-18T00:00:00"/>
    <x v="14"/>
    <x v="3"/>
    <s v="Station-11"/>
    <n v="97.3"/>
    <n v="101.3"/>
    <n v="21.1"/>
    <n v="17.5"/>
    <n v="0.66"/>
    <n v="23"/>
    <n v="17.7"/>
    <n v="75.7"/>
    <n v="0.6"/>
    <n v="278"/>
    <x v="1"/>
    <s v="Unhealthy"/>
    <s v="Cool"/>
    <s v="High Humidity"/>
    <s v="Low Wind"/>
  </r>
  <r>
    <s v="AQ100366"/>
    <d v="2025-03-28T00:00:00"/>
    <x v="0"/>
    <x v="0"/>
    <s v="Station-15"/>
    <n v="19.8"/>
    <n v="47"/>
    <n v="30.9"/>
    <n v="25.9"/>
    <n v="0.39"/>
    <n v="45"/>
    <n v="32.5"/>
    <n v="71.3"/>
    <n v="2.4"/>
    <n v="135"/>
    <x v="2"/>
    <s v="Good"/>
    <s v="Hot"/>
    <s v="High Humidity"/>
    <s v="Moderate Wind"/>
  </r>
  <r>
    <s v="AQ100367"/>
    <d v="2025-09-29T00:00:00"/>
    <x v="1"/>
    <x v="1"/>
    <s v="Station-06"/>
    <n v="42.8"/>
    <n v="62"/>
    <n v="4.4000000000000004"/>
    <n v="34"/>
    <n v="0.84"/>
    <n v="44.7"/>
    <n v="38"/>
    <n v="51.1"/>
    <n v="2.7"/>
    <n v="177"/>
    <x v="2"/>
    <s v="Moderate"/>
    <s v="Hot"/>
    <s v="Normal Humidity"/>
    <s v="Moderate Wind"/>
  </r>
  <r>
    <s v="AQ100368"/>
    <d v="2025-11-29T00:00:00"/>
    <x v="11"/>
    <x v="0"/>
    <s v="Station-05"/>
    <n v="13.5"/>
    <n v="111.7"/>
    <n v="29.5"/>
    <n v="9"/>
    <n v="1.25"/>
    <n v="17.899999999999999"/>
    <n v="24.6"/>
    <n v="57.5"/>
    <n v="2.4"/>
    <n v="163"/>
    <x v="2"/>
    <s v="Unhealthy"/>
    <s v="Normal"/>
    <s v="Normal Humidity"/>
    <s v="Moderate Wind"/>
  </r>
  <r>
    <s v="AQ100369"/>
    <d v="2025-05-27T00:00:00"/>
    <x v="8"/>
    <x v="2"/>
    <s v="Station-04"/>
    <n v="21.1"/>
    <n v="230.5"/>
    <n v="16.5"/>
    <n v="8"/>
    <n v="0.48"/>
    <n v="32.700000000000003"/>
    <n v="32.700000000000003"/>
    <n v="32.700000000000003"/>
    <n v="0.8"/>
    <n v="229"/>
    <x v="1"/>
    <s v="VeryUnhealthy"/>
    <s v="Hot"/>
    <s v="Normal Humidity"/>
    <s v="Low Wind"/>
  </r>
  <r>
    <s v="AQ100370"/>
    <d v="2025-03-17T00:00:00"/>
    <x v="10"/>
    <x v="3"/>
    <s v="Station-04"/>
    <n v="18.3"/>
    <n v="35.200000000000003"/>
    <n v="14.4"/>
    <n v="16.8"/>
    <n v="2.06"/>
    <n v="16.7"/>
    <n v="18"/>
    <n v="66.2"/>
    <n v="2.2999999999999998"/>
    <n v="134"/>
    <x v="2"/>
    <s v="Good"/>
    <s v="Cool"/>
    <s v="High Humidity"/>
    <s v="Moderate Wind"/>
  </r>
  <r>
    <s v="AQ100371"/>
    <d v="2025-07-09T00:00:00"/>
    <x v="7"/>
    <x v="2"/>
    <s v="Station-02"/>
    <n v="48.8"/>
    <n v="21.9"/>
    <n v="60"/>
    <n v="5.5"/>
    <n v="0.11"/>
    <n v="19.8"/>
    <n v="30.2"/>
    <n v="65.7"/>
    <n v="3.4"/>
    <n v="156"/>
    <x v="2"/>
    <s v="Good"/>
    <s v="Hot"/>
    <s v="High Humidity"/>
    <s v="Moderate Wind"/>
  </r>
  <r>
    <s v="AQ100372"/>
    <d v="2025-09-20T00:00:00"/>
    <x v="3"/>
    <x v="2"/>
    <s v="Station-09"/>
    <n v="65.5"/>
    <n v="192.5"/>
    <n v="49.9"/>
    <n v="20.2"/>
    <n v="0.93"/>
    <n v="82.1"/>
    <n v="19.2"/>
    <n v="65.900000000000006"/>
    <n v="3.4"/>
    <n v="344"/>
    <x v="0"/>
    <s v="VeryUnhealthy"/>
    <s v="Cool"/>
    <s v="High Humidity"/>
    <s v="Moderate Wind"/>
  </r>
  <r>
    <s v="AQ100373"/>
    <d v="2025-08-06T00:00:00"/>
    <x v="5"/>
    <x v="4"/>
    <s v="Station-04"/>
    <n v="59"/>
    <n v="69"/>
    <n v="75.7"/>
    <n v="6.5"/>
    <n v="0.54"/>
    <n v="23.9"/>
    <n v="31.9"/>
    <n v="41.3"/>
    <n v="2.2999999999999998"/>
    <n v="229"/>
    <x v="1"/>
    <s v="Moderate"/>
    <s v="Hot"/>
    <s v="Normal Humidity"/>
    <s v="Moderate Wind"/>
  </r>
  <r>
    <s v="AQ100374"/>
    <d v="2025-06-30T00:00:00"/>
    <x v="8"/>
    <x v="2"/>
    <s v="Station-13"/>
    <n v="67.5"/>
    <n v="119"/>
    <n v="10.8"/>
    <n v="13.1"/>
    <n v="1.31"/>
    <n v="11.9"/>
    <n v="36.4"/>
    <n v="45.1"/>
    <n v="0.9"/>
    <n v="241"/>
    <x v="1"/>
    <s v="Unhealthy"/>
    <s v="Hot"/>
    <s v="Normal Humidity"/>
    <s v="Low Wind"/>
  </r>
  <r>
    <s v="AQ100375"/>
    <d v="2025-03-14T00:00:00"/>
    <x v="8"/>
    <x v="2"/>
    <s v="Station-11"/>
    <n v="63.9"/>
    <n v="58.1"/>
    <n v="46.1"/>
    <n v="22.7"/>
    <n v="1.05"/>
    <n v="24.4"/>
    <n v="20"/>
    <n v="83.1"/>
    <n v="2.2000000000000002"/>
    <n v="230"/>
    <x v="1"/>
    <s v="Moderate"/>
    <s v="Normal"/>
    <s v="High Humidity"/>
    <s v="Moderate Wind"/>
  </r>
  <r>
    <s v="AQ100376"/>
    <d v="2025-09-25T00:00:00"/>
    <x v="6"/>
    <x v="1"/>
    <s v="Station-12"/>
    <n v="61.4"/>
    <n v="138.69999999999999"/>
    <n v="12.3"/>
    <n v="25.6"/>
    <n v="0.68"/>
    <n v="12.1"/>
    <n v="19.8"/>
    <n v="61.4"/>
    <n v="0.8"/>
    <n v="239"/>
    <x v="1"/>
    <s v="Unhealthy"/>
    <s v="Cool"/>
    <s v="High Humidity"/>
    <s v="Low Wind"/>
  </r>
  <r>
    <s v="AQ100377"/>
    <d v="2025-07-25T00:00:00"/>
    <x v="14"/>
    <x v="3"/>
    <s v="Station-05"/>
    <n v="22.5"/>
    <n v="159.6"/>
    <n v="23.5"/>
    <n v="21.5"/>
    <n v="0.54"/>
    <n v="4.4000000000000004"/>
    <n v="37.1"/>
    <n v="68.8"/>
    <n v="2.4"/>
    <n v="189"/>
    <x v="2"/>
    <s v="VeryUnhealthy"/>
    <s v="Hot"/>
    <s v="High Humidity"/>
    <s v="Moderate Wind"/>
  </r>
  <r>
    <s v="AQ100378"/>
    <d v="2025-05-29T00:00:00"/>
    <x v="3"/>
    <x v="2"/>
    <s v="Station-04"/>
    <n v="67.900000000000006"/>
    <n v="55.1"/>
    <n v="22.8"/>
    <n v="7.3"/>
    <n v="2.06"/>
    <n v="58.4"/>
    <n v="35.299999999999997"/>
    <n v="85.2"/>
    <n v="1.5"/>
    <n v="246"/>
    <x v="1"/>
    <s v="Moderate"/>
    <s v="Hot"/>
    <s v="High Humidity"/>
    <s v="Low Wind"/>
  </r>
  <r>
    <s v="AQ100379"/>
    <d v="2025-08-30T00:00:00"/>
    <x v="15"/>
    <x v="3"/>
    <s v="Station-10"/>
    <n v="11"/>
    <n v="201.4"/>
    <n v="51.5"/>
    <n v="32.200000000000003"/>
    <n v="0.23"/>
    <n v="51.1"/>
    <n v="39.5"/>
    <n v="69.7"/>
    <n v="2.4"/>
    <n v="241"/>
    <x v="1"/>
    <s v="VeryUnhealthy"/>
    <s v="Hot"/>
    <s v="High Humidity"/>
    <s v="Moderate Wind"/>
  </r>
  <r>
    <s v="AQ100380"/>
    <d v="2025-05-10T00:00:00"/>
    <x v="4"/>
    <x v="3"/>
    <s v="Station-03"/>
    <n v="92.4"/>
    <n v="93.5"/>
    <n v="48.4"/>
    <n v="11"/>
    <n v="0.72"/>
    <n v="8.1999999999999993"/>
    <n v="29.2"/>
    <n v="52.1"/>
    <n v="1.2"/>
    <n v="277"/>
    <x v="1"/>
    <s v="Moderate"/>
    <s v="Normal"/>
    <s v="Normal Humidity"/>
    <s v="Low Wind"/>
  </r>
  <r>
    <s v="AQ100381"/>
    <d v="2025-03-03T00:00:00"/>
    <x v="13"/>
    <x v="4"/>
    <s v="Station-02"/>
    <n v="162.30000000000001"/>
    <n v="136.69999999999999"/>
    <n v="18.399999999999999"/>
    <n v="16.3"/>
    <n v="2.11"/>
    <n v="23.4"/>
    <n v="34.9"/>
    <n v="54.1"/>
    <n v="2.6"/>
    <n v="438"/>
    <x v="0"/>
    <s v="Unhealthy"/>
    <s v="Hot"/>
    <s v="Normal Humidity"/>
    <s v="Moderate Wind"/>
  </r>
  <r>
    <s v="AQ100382"/>
    <d v="2025-08-24T00:00:00"/>
    <x v="1"/>
    <x v="1"/>
    <s v="Station-05"/>
    <n v="19.399999999999999"/>
    <n v="13.8"/>
    <n v="33.9"/>
    <n v="3.5"/>
    <n v="0.88"/>
    <n v="22.6"/>
    <n v="22.6"/>
    <n v="47.4"/>
    <n v="2.2000000000000002"/>
    <n v="102"/>
    <x v="2"/>
    <s v="Good"/>
    <s v="Normal"/>
    <s v="Normal Humidity"/>
    <s v="Moderate Wind"/>
  </r>
  <r>
    <s v="AQ100383"/>
    <d v="2025-04-09T00:00:00"/>
    <x v="11"/>
    <x v="0"/>
    <s v="Station-07"/>
    <n v="103"/>
    <n v="36.9"/>
    <n v="55.8"/>
    <n v="4.2"/>
    <n v="1.54"/>
    <n v="31.8"/>
    <n v="32.200000000000003"/>
    <n v="61.6"/>
    <n v="1.2"/>
    <n v="289"/>
    <x v="1"/>
    <s v="Good"/>
    <s v="Hot"/>
    <s v="High Humidity"/>
    <s v="Low Wind"/>
  </r>
  <r>
    <s v="AQ100384"/>
    <d v="2025-12-18T00:00:00"/>
    <x v="13"/>
    <x v="4"/>
    <s v="Station-07"/>
    <n v="47.2"/>
    <n v="93.3"/>
    <n v="9"/>
    <n v="44"/>
    <n v="0.62"/>
    <n v="40.4"/>
    <n v="33.799999999999997"/>
    <n v="66.8"/>
    <n v="3.4"/>
    <n v="208"/>
    <x v="1"/>
    <s v="Moderate"/>
    <s v="Hot"/>
    <s v="High Humidity"/>
    <s v="Moderate Wind"/>
  </r>
  <r>
    <s v="AQ100385"/>
    <d v="2025-04-29T00:00:00"/>
    <x v="2"/>
    <x v="1"/>
    <s v="Station-15"/>
    <n v="58.8"/>
    <n v="55.3"/>
    <n v="38.200000000000003"/>
    <n v="8.6"/>
    <n v="0.18"/>
    <n v="28.8"/>
    <n v="35.4"/>
    <n v="98"/>
    <n v="1.3"/>
    <n v="184"/>
    <x v="2"/>
    <s v="Moderate"/>
    <s v="Hot"/>
    <s v="High Humidity"/>
    <s v="Low Wind"/>
  </r>
  <r>
    <s v="AQ100386"/>
    <d v="2025-09-09T00:00:00"/>
    <x v="5"/>
    <x v="4"/>
    <s v="Station-03"/>
    <n v="37.6"/>
    <n v="74.3"/>
    <n v="15.5"/>
    <n v="24.6"/>
    <n v="0.57999999999999996"/>
    <n v="19.2"/>
    <n v="26.8"/>
    <n v="55.7"/>
    <n v="3.1"/>
    <n v="161"/>
    <x v="2"/>
    <s v="Moderate"/>
    <s v="Normal"/>
    <s v="Normal Humidity"/>
    <s v="Moderate Wind"/>
  </r>
  <r>
    <s v="AQ100387"/>
    <d v="2025-03-13T00:00:00"/>
    <x v="8"/>
    <x v="2"/>
    <s v="Station-15"/>
    <n v="71.5"/>
    <n v="64.400000000000006"/>
    <n v="39.5"/>
    <n v="9.9"/>
    <n v="1.08"/>
    <n v="26.3"/>
    <n v="28.9"/>
    <n v="53.8"/>
    <n v="1"/>
    <n v="234"/>
    <x v="1"/>
    <s v="Moderate"/>
    <s v="Normal"/>
    <s v="Normal Humidity"/>
    <s v="Low Wind"/>
  </r>
  <r>
    <s v="AQ100388"/>
    <d v="2025-01-06T00:00:00"/>
    <x v="12"/>
    <x v="4"/>
    <s v="Station-03"/>
    <n v="49.5"/>
    <n v="110"/>
    <n v="52.1"/>
    <n v="12.2"/>
    <n v="0.5"/>
    <n v="49.6"/>
    <n v="34.1"/>
    <n v="42.2"/>
    <n v="0.6"/>
    <n v="236"/>
    <x v="1"/>
    <s v="Unhealthy"/>
    <s v="Hot"/>
    <s v="Normal Humidity"/>
    <s v="Low Wind"/>
  </r>
  <r>
    <s v="AQ100389"/>
    <d v="2025-12-26T00:00:00"/>
    <x v="13"/>
    <x v="4"/>
    <s v="Station-13"/>
    <n v="94.6"/>
    <n v="119.9"/>
    <n v="21.1"/>
    <n v="15.1"/>
    <n v="0.21"/>
    <n v="39.299999999999997"/>
    <n v="34.6"/>
    <n v="58.1"/>
    <n v="1.8"/>
    <n v="280"/>
    <x v="1"/>
    <s v="Unhealthy"/>
    <s v="Hot"/>
    <s v="Normal Humidity"/>
    <s v="Low Wind"/>
  </r>
  <r>
    <s v="AQ100390"/>
    <d v="2025-01-12T00:00:00"/>
    <x v="3"/>
    <x v="2"/>
    <s v="Station-12"/>
    <n v="33.5"/>
    <n v="127.8"/>
    <n v="16.3"/>
    <n v="15"/>
    <n v="1.36"/>
    <n v="31.6"/>
    <n v="22.7"/>
    <n v="50.8"/>
    <n v="3"/>
    <n v="208"/>
    <x v="1"/>
    <s v="Unhealthy"/>
    <s v="Normal"/>
    <s v="Normal Humidity"/>
    <s v="Moderate Wind"/>
  </r>
  <r>
    <s v="AQ100391"/>
    <d v="2025-01-03T00:00:00"/>
    <x v="2"/>
    <x v="1"/>
    <s v="Station-14"/>
    <n v="79.5"/>
    <n v="31.6"/>
    <n v="11.5"/>
    <n v="7.9"/>
    <n v="1"/>
    <n v="49.7"/>
    <n v="25.2"/>
    <n v="70.400000000000006"/>
    <n v="1.6"/>
    <n v="210"/>
    <x v="1"/>
    <s v="Good"/>
    <s v="Normal"/>
    <s v="High Humidity"/>
    <s v="Low Wind"/>
  </r>
  <r>
    <s v="AQ100392"/>
    <d v="2025-03-19T00:00:00"/>
    <x v="5"/>
    <x v="4"/>
    <s v="Station-05"/>
    <n v="47.5"/>
    <n v="14.8"/>
    <n v="30.5"/>
    <n v="5.9"/>
    <n v="0.96"/>
    <n v="22"/>
    <n v="31.5"/>
    <n v="69.2"/>
    <n v="2.7"/>
    <n v="148"/>
    <x v="2"/>
    <s v="Good"/>
    <s v="Hot"/>
    <s v="High Humidity"/>
    <s v="Moderate Wind"/>
  </r>
  <r>
    <s v="AQ100393"/>
    <d v="2025-01-29T00:00:00"/>
    <x v="15"/>
    <x v="3"/>
    <s v="Station-10"/>
    <n v="92.9"/>
    <n v="41.3"/>
    <n v="19.8"/>
    <n v="7"/>
    <n v="0.54"/>
    <n v="7.8"/>
    <n v="25.4"/>
    <n v="46.2"/>
    <n v="1.4"/>
    <n v="213"/>
    <x v="1"/>
    <s v="Good"/>
    <s v="Normal"/>
    <s v="Normal Humidity"/>
    <s v="Low Wind"/>
  </r>
  <r>
    <s v="AQ100394"/>
    <d v="2025-05-09T00:00:00"/>
    <x v="9"/>
    <x v="0"/>
    <s v="Station-14"/>
    <n v="16.5"/>
    <n v="104.3"/>
    <n v="39.1"/>
    <n v="17.399999999999999"/>
    <n v="0.61"/>
    <n v="55.7"/>
    <n v="27.4"/>
    <n v="49.4"/>
    <n v="2.8"/>
    <n v="178"/>
    <x v="2"/>
    <s v="Unhealthy"/>
    <s v="Normal"/>
    <s v="Normal Humidity"/>
    <s v="Moderate Wind"/>
  </r>
  <r>
    <s v="AQ100395"/>
    <d v="2025-10-04T00:00:00"/>
    <x v="12"/>
    <x v="4"/>
    <s v="Station-06"/>
    <n v="56.7"/>
    <n v="115.3"/>
    <n v="12.8"/>
    <n v="14.9"/>
    <n v="2.2200000000000002"/>
    <n v="41.4"/>
    <n v="20.2"/>
    <n v="62.2"/>
    <n v="3.4"/>
    <n v="260"/>
    <x v="1"/>
    <s v="Unhealthy"/>
    <s v="Normal"/>
    <s v="High Humidity"/>
    <s v="Moderate Wind"/>
  </r>
  <r>
    <s v="AQ100396"/>
    <d v="2025-02-28T00:00:00"/>
    <x v="1"/>
    <x v="1"/>
    <s v="Station-09"/>
    <n v="54"/>
    <n v="87.8"/>
    <n v="19.399999999999999"/>
    <n v="11.7"/>
    <n v="0.9"/>
    <n v="43.4"/>
    <n v="27.6"/>
    <n v="78.400000000000006"/>
    <n v="2.7"/>
    <n v="209"/>
    <x v="1"/>
    <s v="Moderate"/>
    <s v="Normal"/>
    <s v="High Humidity"/>
    <s v="Moderate Wind"/>
  </r>
  <r>
    <s v="AQ100397"/>
    <d v="2025-12-31T00:00:00"/>
    <x v="0"/>
    <x v="0"/>
    <s v="Station-14"/>
    <n v="104.3"/>
    <n v="68.2"/>
    <n v="38.9"/>
    <n v="13"/>
    <n v="1.96"/>
    <n v="16.399999999999999"/>
    <n v="32.1"/>
    <n v="30.6"/>
    <n v="1.1000000000000001"/>
    <n v="308"/>
    <x v="0"/>
    <s v="Moderate"/>
    <s v="Hot"/>
    <s v="Normal Humidity"/>
    <s v="Low Wind"/>
  </r>
  <r>
    <s v="AQ100398"/>
    <d v="2025-12-15T00:00:00"/>
    <x v="10"/>
    <x v="3"/>
    <s v="Station-01"/>
    <n v="51.1"/>
    <n v="31.9"/>
    <n v="13.7"/>
    <n v="10.4"/>
    <n v="0.16"/>
    <n v="42.6"/>
    <n v="30.9"/>
    <n v="73.400000000000006"/>
    <n v="1.9"/>
    <n v="144"/>
    <x v="2"/>
    <s v="Good"/>
    <s v="Hot"/>
    <s v="High Humidity"/>
    <s v="Low Wind"/>
  </r>
  <r>
    <s v="AQ100399"/>
    <d v="2025-05-25T00:00:00"/>
    <x v="11"/>
    <x v="0"/>
    <s v="Station-10"/>
    <n v="74.900000000000006"/>
    <n v="105.7"/>
    <n v="24.3"/>
    <n v="27.6"/>
    <n v="0.53"/>
    <n v="46.5"/>
    <n v="26.8"/>
    <n v="42.5"/>
    <n v="2.2000000000000002"/>
    <n v="261"/>
    <x v="1"/>
    <s v="Unhealthy"/>
    <s v="Normal"/>
    <s v="Normal Humidity"/>
    <s v="Moderate Wind"/>
  </r>
  <r>
    <s v="AQ100400"/>
    <d v="2025-04-08T00:00:00"/>
    <x v="4"/>
    <x v="3"/>
    <s v="Station-11"/>
    <n v="18.2"/>
    <n v="153.30000000000001"/>
    <n v="11.3"/>
    <n v="16"/>
    <n v="0.56999999999999995"/>
    <n v="12.4"/>
    <n v="25.4"/>
    <n v="54.9"/>
    <n v="1.1000000000000001"/>
    <n v="169"/>
    <x v="2"/>
    <s v="VeryUnhealthy"/>
    <s v="Normal"/>
    <s v="Normal Humidity"/>
    <s v="Low Wind"/>
  </r>
  <r>
    <s v="AQ100401"/>
    <d v="2025-02-06T00:00:00"/>
    <x v="0"/>
    <x v="0"/>
    <s v="Station-01"/>
    <n v="45.4"/>
    <n v="56.3"/>
    <n v="9.5"/>
    <n v="15.1"/>
    <n v="0.61"/>
    <n v="22.8"/>
    <n v="27"/>
    <n v="37.200000000000003"/>
    <n v="0.3"/>
    <n v="153"/>
    <x v="2"/>
    <s v="Moderate"/>
    <s v="Normal"/>
    <s v="Normal Humidity"/>
    <s v="Low Wind"/>
  </r>
  <r>
    <s v="AQ100402"/>
    <d v="2025-06-17T00:00:00"/>
    <x v="7"/>
    <x v="2"/>
    <s v="Station-03"/>
    <n v="29.2"/>
    <n v="89.4"/>
    <n v="30"/>
    <n v="16.399999999999999"/>
    <n v="0.79"/>
    <n v="50.9"/>
    <n v="34.700000000000003"/>
    <n v="78.8"/>
    <n v="2"/>
    <n v="183"/>
    <x v="2"/>
    <s v="Moderate"/>
    <s v="Hot"/>
    <s v="High Humidity"/>
    <s v="Moderate Wind"/>
  </r>
  <r>
    <s v="AQ100403"/>
    <d v="2025-07-25T00:00:00"/>
    <x v="8"/>
    <x v="2"/>
    <s v="Station-14"/>
    <n v="44.1"/>
    <n v="93.3"/>
    <n v="25.4"/>
    <n v="11.9"/>
    <n v="0.21"/>
    <n v="77.599999999999994"/>
    <n v="20.9"/>
    <n v="83.1"/>
    <n v="1.9"/>
    <n v="200"/>
    <x v="2"/>
    <s v="Moderate"/>
    <s v="Normal"/>
    <s v="High Humidity"/>
    <s v="Low Wind"/>
  </r>
  <r>
    <s v="AQ100404"/>
    <d v="2025-02-21T00:00:00"/>
    <x v="3"/>
    <x v="2"/>
    <s v="Station-07"/>
    <n v="20.100000000000001"/>
    <n v="171.5"/>
    <n v="29.3"/>
    <n v="10.7"/>
    <n v="0.49"/>
    <n v="127.4"/>
    <n v="20.3"/>
    <n v="60.5"/>
    <n v="1.9"/>
    <n v="244"/>
    <x v="1"/>
    <s v="VeryUnhealthy"/>
    <s v="Normal"/>
    <s v="High Humidity"/>
    <s v="Low Wind"/>
  </r>
  <r>
    <s v="AQ100405"/>
    <d v="2025-12-20T00:00:00"/>
    <x v="2"/>
    <x v="1"/>
    <s v="Station-08"/>
    <n v="59.7"/>
    <n v="25.1"/>
    <n v="56.7"/>
    <n v="22.2"/>
    <n v="0.65"/>
    <n v="7.6"/>
    <n v="23.7"/>
    <n v="91.2"/>
    <n v="3.4"/>
    <n v="192"/>
    <x v="2"/>
    <s v="Good"/>
    <s v="Normal"/>
    <s v="High Humidity"/>
    <s v="Moderate Wind"/>
  </r>
  <r>
    <s v="AQ100406"/>
    <d v="2025-04-22T00:00:00"/>
    <x v="14"/>
    <x v="3"/>
    <s v="Station-07"/>
    <n v="67.3"/>
    <n v="72.400000000000006"/>
    <n v="57.6"/>
    <n v="7.1"/>
    <n v="0.98"/>
    <n v="14"/>
    <n v="29.4"/>
    <n v="67.3"/>
    <n v="3.2"/>
    <n v="237"/>
    <x v="1"/>
    <s v="Moderate"/>
    <s v="Normal"/>
    <s v="High Humidity"/>
    <s v="Moderate Wind"/>
  </r>
  <r>
    <s v="AQ100407"/>
    <d v="2025-08-09T00:00:00"/>
    <x v="0"/>
    <x v="0"/>
    <s v="Station-04"/>
    <n v="44.4"/>
    <n v="35"/>
    <n v="22.4"/>
    <n v="14.6"/>
    <n v="1.47"/>
    <n v="25.8"/>
    <n v="19.899999999999999"/>
    <n v="66.5"/>
    <n v="3.6"/>
    <n v="170"/>
    <x v="2"/>
    <s v="Good"/>
    <s v="Cool"/>
    <s v="High Humidity"/>
    <s v="Moderate Wind"/>
  </r>
  <r>
    <s v="AQ100408"/>
    <d v="2025-07-19T00:00:00"/>
    <x v="8"/>
    <x v="2"/>
    <s v="Station-01"/>
    <n v="37"/>
    <n v="52.4"/>
    <n v="22"/>
    <n v="3.3"/>
    <n v="0.68"/>
    <n v="6.8"/>
    <n v="30.8"/>
    <n v="51.3"/>
    <n v="3"/>
    <n v="133"/>
    <x v="2"/>
    <s v="Moderate"/>
    <s v="Hot"/>
    <s v="Normal Humidity"/>
    <s v="Moderate Wind"/>
  </r>
  <r>
    <s v="AQ100409"/>
    <d v="2025-09-09T00:00:00"/>
    <x v="5"/>
    <x v="4"/>
    <s v="Station-06"/>
    <n v="46.2"/>
    <n v="42.7"/>
    <n v="16"/>
    <n v="5.2"/>
    <n v="0.79"/>
    <n v="22.8"/>
    <n v="20.2"/>
    <n v="54.9"/>
    <n v="1"/>
    <n v="148"/>
    <x v="2"/>
    <s v="Good"/>
    <s v="Normal"/>
    <s v="Normal Humidity"/>
    <s v="Low Wind"/>
  </r>
  <r>
    <s v="AQ100410"/>
    <d v="2025-06-02T00:00:00"/>
    <x v="7"/>
    <x v="2"/>
    <s v="Station-14"/>
    <n v="68.8"/>
    <n v="103.1"/>
    <n v="24.7"/>
    <n v="1.7"/>
    <n v="0.38"/>
    <n v="3.9"/>
    <n v="21.5"/>
    <n v="53.6"/>
    <n v="0.1"/>
    <n v="209"/>
    <x v="1"/>
    <s v="Unhealthy"/>
    <s v="Normal"/>
    <s v="Normal Humidity"/>
    <s v="Low Wind"/>
  </r>
  <r>
    <s v="AQ100411"/>
    <d v="2025-11-10T00:00:00"/>
    <x v="3"/>
    <x v="2"/>
    <s v="Station-12"/>
    <n v="56.4"/>
    <n v="87"/>
    <n v="30.7"/>
    <n v="23.6"/>
    <n v="0.61"/>
    <n v="2"/>
    <n v="23.8"/>
    <n v="63.9"/>
    <n v="2.1"/>
    <n v="204"/>
    <x v="1"/>
    <s v="Moderate"/>
    <s v="Normal"/>
    <s v="High Humidity"/>
    <s v="Moderate Wind"/>
  </r>
  <r>
    <s v="AQ100412"/>
    <d v="2025-02-02T00:00:00"/>
    <x v="7"/>
    <x v="2"/>
    <s v="Station-05"/>
    <n v="48.1"/>
    <n v="50.2"/>
    <n v="22.8"/>
    <n v="2"/>
    <n v="0.38"/>
    <n v="26.2"/>
    <n v="30"/>
    <n v="77.900000000000006"/>
    <n v="3.3"/>
    <n v="151"/>
    <x v="2"/>
    <s v="Moderate"/>
    <s v="Normal"/>
    <s v="High Humidity"/>
    <s v="Moderate Wind"/>
  </r>
  <r>
    <s v="AQ100413"/>
    <d v="2025-08-25T00:00:00"/>
    <x v="13"/>
    <x v="4"/>
    <s v="Station-02"/>
    <n v="21"/>
    <n v="119.3"/>
    <n v="32"/>
    <n v="13.7"/>
    <n v="0.06"/>
    <n v="41.1"/>
    <n v="30.3"/>
    <n v="64"/>
    <n v="2.9"/>
    <n v="166"/>
    <x v="2"/>
    <s v="Unhealthy"/>
    <s v="Hot"/>
    <s v="High Humidity"/>
    <s v="Moderate Wind"/>
  </r>
  <r>
    <s v="AQ100414"/>
    <d v="2025-09-30T00:00:00"/>
    <x v="6"/>
    <x v="1"/>
    <s v="Station-10"/>
    <n v="75.900000000000006"/>
    <n v="220.1"/>
    <n v="39"/>
    <n v="19.8"/>
    <n v="0.51"/>
    <n v="45.6"/>
    <n v="23"/>
    <n v="50.4"/>
    <n v="2"/>
    <n v="343"/>
    <x v="0"/>
    <s v="VeryUnhealthy"/>
    <s v="Normal"/>
    <s v="Normal Humidity"/>
    <s v="Moderate Wind"/>
  </r>
  <r>
    <s v="AQ100415"/>
    <d v="2025-10-12T00:00:00"/>
    <x v="15"/>
    <x v="3"/>
    <s v="Station-11"/>
    <n v="64.7"/>
    <n v="57.4"/>
    <n v="8.6"/>
    <n v="9.1999999999999993"/>
    <n v="0.66"/>
    <n v="24.4"/>
    <n v="44.8"/>
    <n v="80.2"/>
    <n v="2.7"/>
    <n v="182"/>
    <x v="2"/>
    <s v="Moderate"/>
    <s v="Hot"/>
    <s v="High Humidity"/>
    <s v="Moderate Wind"/>
  </r>
  <r>
    <s v="AQ100416"/>
    <d v="2025-12-20T00:00:00"/>
    <x v="14"/>
    <x v="3"/>
    <s v="Station-04"/>
    <n v="38.1"/>
    <n v="65"/>
    <n v="30.9"/>
    <n v="12.7"/>
    <n v="0.09"/>
    <n v="42.5"/>
    <n v="31.4"/>
    <n v="71.599999999999994"/>
    <n v="1.4"/>
    <n v="158"/>
    <x v="2"/>
    <s v="Moderate"/>
    <s v="Hot"/>
    <s v="High Humidity"/>
    <s v="Low Wind"/>
  </r>
  <r>
    <s v="AQ100417"/>
    <d v="2025-12-02T00:00:00"/>
    <x v="0"/>
    <x v="0"/>
    <s v="Station-09"/>
    <n v="66.7"/>
    <n v="44.8"/>
    <n v="40.1"/>
    <n v="8.8000000000000007"/>
    <n v="1.27"/>
    <n v="59.9"/>
    <n v="30.8"/>
    <n v="94.1"/>
    <n v="2.7"/>
    <n v="233"/>
    <x v="1"/>
    <s v="Good"/>
    <s v="Hot"/>
    <s v="High Humidity"/>
    <s v="Moderate Wind"/>
  </r>
  <r>
    <s v="AQ100418"/>
    <d v="2025-03-27T00:00:00"/>
    <x v="9"/>
    <x v="0"/>
    <s v="Station-09"/>
    <n v="19.2"/>
    <n v="115.6"/>
    <n v="15.9"/>
    <n v="24.8"/>
    <n v="0.89"/>
    <n v="40.799999999999997"/>
    <n v="32.6"/>
    <n v="54.4"/>
    <n v="3.5"/>
    <n v="177"/>
    <x v="2"/>
    <s v="Unhealthy"/>
    <s v="Hot"/>
    <s v="Normal Humidity"/>
    <s v="Moderate Wind"/>
  </r>
  <r>
    <s v="AQ100419"/>
    <d v="2025-05-17T00:00:00"/>
    <x v="14"/>
    <x v="3"/>
    <s v="Station-06"/>
    <n v="26.3"/>
    <n v="75"/>
    <n v="28.5"/>
    <n v="7.5"/>
    <n v="0.99"/>
    <n v="20.8"/>
    <n v="21.8"/>
    <n v="76.599999999999994"/>
    <n v="2.8"/>
    <n v="153"/>
    <x v="2"/>
    <s v="Moderate"/>
    <s v="Normal"/>
    <s v="High Humidity"/>
    <s v="Moderate Wind"/>
  </r>
  <r>
    <s v="AQ100420"/>
    <d v="2025-03-22T00:00:00"/>
    <x v="9"/>
    <x v="0"/>
    <s v="Station-13"/>
    <n v="108.1"/>
    <n v="151.30000000000001"/>
    <n v="17.7"/>
    <n v="17.3"/>
    <n v="0.65"/>
    <n v="75.7"/>
    <n v="25.5"/>
    <n v="85.4"/>
    <n v="2.9"/>
    <n v="348"/>
    <x v="0"/>
    <s v="VeryUnhealthy"/>
    <s v="Normal"/>
    <s v="High Humidity"/>
    <s v="Moderate Wind"/>
  </r>
  <r>
    <s v="AQ100421"/>
    <d v="2025-02-07T00:00:00"/>
    <x v="4"/>
    <x v="3"/>
    <s v="Station-13"/>
    <n v="78.7"/>
    <n v="153.6"/>
    <n v="20.9"/>
    <n v="17.899999999999999"/>
    <n v="0.3"/>
    <n v="59.1"/>
    <n v="30.1"/>
    <n v="61"/>
    <n v="1.6"/>
    <n v="289"/>
    <x v="1"/>
    <s v="VeryUnhealthy"/>
    <s v="Hot"/>
    <s v="High Humidity"/>
    <s v="Low Wind"/>
  </r>
  <r>
    <s v="AQ100422"/>
    <d v="2025-10-03T00:00:00"/>
    <x v="14"/>
    <x v="3"/>
    <s v="Station-03"/>
    <n v="28.5"/>
    <n v="27.3"/>
    <n v="57.8"/>
    <n v="14.3"/>
    <n v="0.28999999999999998"/>
    <n v="8.5"/>
    <n v="24.3"/>
    <n v="60"/>
    <n v="2.5"/>
    <n v="131"/>
    <x v="2"/>
    <s v="Good"/>
    <s v="Normal"/>
    <s v="Normal Humidity"/>
    <s v="Moderate Wind"/>
  </r>
  <r>
    <s v="AQ100423"/>
    <d v="2025-12-03T00:00:00"/>
    <x v="10"/>
    <x v="3"/>
    <s v="Station-02"/>
    <n v="85.6"/>
    <n v="327.3"/>
    <n v="54.4"/>
    <n v="2.2000000000000002"/>
    <n v="0.76"/>
    <n v="13.4"/>
    <n v="28.3"/>
    <n v="68.099999999999994"/>
    <n v="2"/>
    <n v="420"/>
    <x v="0"/>
    <s v="VeryUnhealthy"/>
    <s v="Normal"/>
    <s v="High Humidity"/>
    <s v="Moderate Wind"/>
  </r>
  <r>
    <s v="AQ100424"/>
    <d v="2025-06-15T00:00:00"/>
    <x v="13"/>
    <x v="4"/>
    <s v="Station-07"/>
    <n v="43.7"/>
    <n v="134.9"/>
    <n v="24.5"/>
    <n v="18.899999999999999"/>
    <n v="1.3"/>
    <n v="66"/>
    <n v="30"/>
    <n v="60.7"/>
    <n v="2.1"/>
    <n v="253"/>
    <x v="1"/>
    <s v="Unhealthy"/>
    <s v="Normal"/>
    <s v="High Humidity"/>
    <s v="Moderate Wind"/>
  </r>
  <r>
    <s v="AQ100425"/>
    <d v="2025-11-25T00:00:00"/>
    <x v="14"/>
    <x v="3"/>
    <s v="Station-09"/>
    <n v="30.9"/>
    <n v="63.5"/>
    <n v="51.9"/>
    <n v="16.3"/>
    <n v="0.47"/>
    <n v="51.5"/>
    <n v="29.2"/>
    <n v="77"/>
    <n v="2"/>
    <n v="179"/>
    <x v="2"/>
    <s v="Moderate"/>
    <s v="Normal"/>
    <s v="High Humidity"/>
    <s v="Moderate Wind"/>
  </r>
  <r>
    <s v="AQ100426"/>
    <d v="2025-01-15T00:00:00"/>
    <x v="10"/>
    <x v="3"/>
    <s v="Station-08"/>
    <n v="134.69999999999999"/>
    <n v="149.9"/>
    <n v="63.3"/>
    <n v="12.8"/>
    <n v="0.34"/>
    <n v="53.8"/>
    <n v="20.6"/>
    <n v="77.5"/>
    <n v="2.2999999999999998"/>
    <n v="405"/>
    <x v="0"/>
    <s v="Unhealthy"/>
    <s v="Normal"/>
    <s v="High Humidity"/>
    <s v="Moderate Wind"/>
  </r>
  <r>
    <s v="AQ100427"/>
    <d v="2025-10-05T00:00:00"/>
    <x v="8"/>
    <x v="2"/>
    <s v="Station-07"/>
    <n v="22.9"/>
    <n v="43.1"/>
    <n v="5.9"/>
    <n v="7.4"/>
    <n v="0.71"/>
    <n v="27.3"/>
    <n v="21.1"/>
    <n v="74.5"/>
    <n v="2.2000000000000002"/>
    <n v="105"/>
    <x v="2"/>
    <s v="Good"/>
    <s v="Normal"/>
    <s v="High Humidity"/>
    <s v="Moderate Wind"/>
  </r>
  <r>
    <s v="AQ100428"/>
    <d v="2025-01-18T00:00:00"/>
    <x v="15"/>
    <x v="3"/>
    <s v="Station-02"/>
    <n v="62.5"/>
    <n v="31.7"/>
    <n v="3.5"/>
    <n v="15.3"/>
    <n v="0.46"/>
    <n v="24"/>
    <n v="18.5"/>
    <n v="59.9"/>
    <n v="1.5"/>
    <n v="156"/>
    <x v="2"/>
    <s v="Good"/>
    <s v="Cool"/>
    <s v="Normal Humidity"/>
    <s v="Low Wind"/>
  </r>
  <r>
    <s v="AQ100429"/>
    <d v="2025-08-20T00:00:00"/>
    <x v="8"/>
    <x v="2"/>
    <s v="Station-07"/>
    <n v="20"/>
    <n v="63.4"/>
    <n v="59.2"/>
    <n v="20.5"/>
    <n v="0.47"/>
    <n v="36.200000000000003"/>
    <n v="36.299999999999997"/>
    <n v="65.8"/>
    <n v="1.6"/>
    <n v="163"/>
    <x v="2"/>
    <s v="Moderate"/>
    <s v="Hot"/>
    <s v="High Humidity"/>
    <s v="Low Wind"/>
  </r>
  <r>
    <s v="AQ100430"/>
    <d v="2025-12-25T00:00:00"/>
    <x v="2"/>
    <x v="1"/>
    <s v="Station-09"/>
    <n v="26.3"/>
    <n v="23.7"/>
    <n v="9.6"/>
    <n v="5.9"/>
    <n v="0.93"/>
    <n v="36.1"/>
    <n v="28.1"/>
    <n v="68.599999999999994"/>
    <n v="2.5"/>
    <n v="109"/>
    <x v="2"/>
    <s v="Good"/>
    <s v="Normal"/>
    <s v="High Humidity"/>
    <s v="Moderate Wind"/>
  </r>
  <r>
    <s v="AQ100431"/>
    <d v="2025-05-24T00:00:00"/>
    <x v="6"/>
    <x v="1"/>
    <s v="Station-13"/>
    <n v="70.400000000000006"/>
    <n v="89.2"/>
    <n v="45.2"/>
    <n v="16.100000000000001"/>
    <n v="1.3"/>
    <n v="51.4"/>
    <n v="33.5"/>
    <n v="65.900000000000006"/>
    <n v="3"/>
    <n v="274"/>
    <x v="1"/>
    <s v="Moderate"/>
    <s v="Hot"/>
    <s v="High Humidity"/>
    <s v="Moderate Wind"/>
  </r>
  <r>
    <s v="AQ100432"/>
    <d v="2025-09-22T00:00:00"/>
    <x v="10"/>
    <x v="3"/>
    <s v="Station-15"/>
    <n v="19.899999999999999"/>
    <n v="63.4"/>
    <n v="10.3"/>
    <n v="33"/>
    <n v="0.22"/>
    <n v="59.6"/>
    <n v="25.2"/>
    <n v="71.599999999999994"/>
    <n v="3.1"/>
    <n v="137"/>
    <x v="2"/>
    <s v="Moderate"/>
    <s v="Normal"/>
    <s v="High Humidity"/>
    <s v="Moderate Wind"/>
  </r>
  <r>
    <s v="AQ100433"/>
    <d v="2025-10-12T00:00:00"/>
    <x v="4"/>
    <x v="3"/>
    <s v="Station-05"/>
    <n v="42.1"/>
    <n v="42.2"/>
    <n v="40.700000000000003"/>
    <n v="12.6"/>
    <n v="0.67"/>
    <n v="18.2"/>
    <n v="28.3"/>
    <n v="56.6"/>
    <n v="3.9"/>
    <n v="161"/>
    <x v="2"/>
    <s v="Good"/>
    <s v="Normal"/>
    <s v="Normal Humidity"/>
    <s v="Moderate Wind"/>
  </r>
  <r>
    <s v="AQ100434"/>
    <d v="2025-07-08T00:00:00"/>
    <x v="10"/>
    <x v="3"/>
    <s v="Station-13"/>
    <n v="10.7"/>
    <n v="83.5"/>
    <n v="47.7"/>
    <n v="30.8"/>
    <n v="0.18"/>
    <n v="23.5"/>
    <n v="28.5"/>
    <n v="64.5"/>
    <n v="0.8"/>
    <n v="146"/>
    <x v="2"/>
    <s v="Moderate"/>
    <s v="Normal"/>
    <s v="High Humidity"/>
    <s v="Low Wind"/>
  </r>
  <r>
    <s v="AQ100435"/>
    <d v="2025-06-03T00:00:00"/>
    <x v="15"/>
    <x v="3"/>
    <s v="Station-01"/>
    <n v="71.2"/>
    <n v="48.5"/>
    <n v="39.5"/>
    <n v="10.9"/>
    <n v="0.86"/>
    <n v="34.1"/>
    <n v="34.799999999999997"/>
    <n v="62.5"/>
    <n v="2.9"/>
    <n v="222"/>
    <x v="1"/>
    <s v="Good"/>
    <s v="Hot"/>
    <s v="High Humidity"/>
    <s v="Moderate Wind"/>
  </r>
  <r>
    <s v="AQ100436"/>
    <d v="2025-02-27T00:00:00"/>
    <x v="9"/>
    <x v="0"/>
    <s v="Station-08"/>
    <n v="54.1"/>
    <n v="35.299999999999997"/>
    <n v="39.299999999999997"/>
    <n v="26"/>
    <n v="0.85"/>
    <n v="95.7"/>
    <n v="29.8"/>
    <n v="59.1"/>
    <n v="2.1"/>
    <n v="223"/>
    <x v="1"/>
    <s v="Good"/>
    <s v="Normal"/>
    <s v="Normal Humidity"/>
    <s v="Moderate Wind"/>
  </r>
  <r>
    <s v="AQ100437"/>
    <d v="2025-09-14T00:00:00"/>
    <x v="5"/>
    <x v="4"/>
    <s v="Station-06"/>
    <n v="16.100000000000001"/>
    <n v="47.2"/>
    <n v="13.4"/>
    <n v="10.199999999999999"/>
    <n v="0.6"/>
    <n v="37.799999999999997"/>
    <n v="28.5"/>
    <n v="81.099999999999994"/>
    <n v="1.7"/>
    <n v="106"/>
    <x v="2"/>
    <s v="Good"/>
    <s v="Normal"/>
    <s v="High Humidity"/>
    <s v="Low Wind"/>
  </r>
  <r>
    <s v="AQ100438"/>
    <d v="2025-11-29T00:00:00"/>
    <x v="12"/>
    <x v="4"/>
    <s v="Station-04"/>
    <n v="37"/>
    <n v="71.900000000000006"/>
    <n v="58"/>
    <n v="24.6"/>
    <n v="0.54"/>
    <n v="36.6"/>
    <n v="23.5"/>
    <n v="89.4"/>
    <n v="3.7"/>
    <n v="200"/>
    <x v="2"/>
    <s v="Moderate"/>
    <s v="Normal"/>
    <s v="High Humidity"/>
    <s v="Moderate Wind"/>
  </r>
  <r>
    <s v="AQ100439"/>
    <d v="2025-05-18T00:00:00"/>
    <x v="7"/>
    <x v="2"/>
    <s v="Station-06"/>
    <n v="30.8"/>
    <n v="100"/>
    <n v="20.8"/>
    <n v="17.100000000000001"/>
    <n v="0.75"/>
    <n v="51.5"/>
    <n v="24.7"/>
    <n v="88.7"/>
    <n v="1.6"/>
    <n v="185"/>
    <x v="2"/>
    <s v="Moderate"/>
    <s v="Normal"/>
    <s v="High Humidity"/>
    <s v="Low Wind"/>
  </r>
  <r>
    <s v="AQ100440"/>
    <d v="2025-05-17T00:00:00"/>
    <x v="1"/>
    <x v="1"/>
    <s v="Station-02"/>
    <n v="27.8"/>
    <n v="43"/>
    <n v="13.4"/>
    <n v="29.1"/>
    <n v="0.34"/>
    <n v="35.5"/>
    <n v="29.4"/>
    <n v="65.900000000000006"/>
    <n v="2.1"/>
    <n v="128"/>
    <x v="2"/>
    <s v="Good"/>
    <s v="Normal"/>
    <s v="High Humidity"/>
    <s v="Moderate Wind"/>
  </r>
  <r>
    <s v="AQ100441"/>
    <d v="2025-03-07T00:00:00"/>
    <x v="1"/>
    <x v="1"/>
    <s v="Station-07"/>
    <n v="48.1"/>
    <n v="90.3"/>
    <n v="31.1"/>
    <n v="3.1"/>
    <n v="0.8"/>
    <n v="87.9"/>
    <n v="31.6"/>
    <n v="45.4"/>
    <n v="2.9"/>
    <n v="222"/>
    <x v="1"/>
    <s v="Moderate"/>
    <s v="Hot"/>
    <s v="Normal Humidity"/>
    <s v="Moderate Wind"/>
  </r>
  <r>
    <s v="AQ100442"/>
    <d v="2025-04-30T00:00:00"/>
    <x v="15"/>
    <x v="3"/>
    <s v="Station-14"/>
    <n v="31.2"/>
    <n v="98"/>
    <n v="33.6"/>
    <n v="6.7"/>
    <n v="0.44"/>
    <n v="37.799999999999997"/>
    <n v="25.4"/>
    <n v="48.8"/>
    <n v="2.2999999999999998"/>
    <n v="173"/>
    <x v="2"/>
    <s v="Moderate"/>
    <s v="Normal"/>
    <s v="Normal Humidity"/>
    <s v="Moderate Wind"/>
  </r>
  <r>
    <s v="AQ100443"/>
    <d v="2025-08-17T00:00:00"/>
    <x v="12"/>
    <x v="4"/>
    <s v="Station-01"/>
    <n v="87.3"/>
    <n v="103.6"/>
    <n v="31.2"/>
    <n v="3.7"/>
    <n v="0.8"/>
    <n v="13.4"/>
    <n v="32.700000000000003"/>
    <n v="62.9"/>
    <n v="1.5"/>
    <n v="261"/>
    <x v="1"/>
    <s v="Unhealthy"/>
    <s v="Hot"/>
    <s v="High Humidity"/>
    <s v="Low Wind"/>
  </r>
  <r>
    <s v="AQ100444"/>
    <d v="2025-10-16T00:00:00"/>
    <x v="5"/>
    <x v="4"/>
    <s v="Station-12"/>
    <n v="45.1"/>
    <n v="88.8"/>
    <n v="5.2"/>
    <n v="8.4"/>
    <n v="0.94"/>
    <n v="30.9"/>
    <n v="22.5"/>
    <n v="60"/>
    <n v="1.7"/>
    <n v="177"/>
    <x v="2"/>
    <s v="Moderate"/>
    <s v="Normal"/>
    <s v="Normal Humidity"/>
    <s v="Low Wind"/>
  </r>
  <r>
    <s v="AQ100445"/>
    <d v="2025-12-08T00:00:00"/>
    <x v="6"/>
    <x v="1"/>
    <s v="Station-08"/>
    <n v="16.899999999999999"/>
    <n v="64.400000000000006"/>
    <n v="18.899999999999999"/>
    <n v="13.4"/>
    <n v="0.28999999999999998"/>
    <n v="17"/>
    <n v="32.200000000000003"/>
    <n v="51.9"/>
    <n v="3.7"/>
    <n v="108"/>
    <x v="2"/>
    <s v="Moderate"/>
    <s v="Hot"/>
    <s v="Normal Humidity"/>
    <s v="Moderate Wind"/>
  </r>
  <r>
    <s v="AQ100446"/>
    <d v="2025-10-26T00:00:00"/>
    <x v="3"/>
    <x v="2"/>
    <s v="Station-12"/>
    <n v="11.1"/>
    <n v="51.6"/>
    <n v="40.9"/>
    <n v="7.7"/>
    <n v="0.7"/>
    <n v="39.799999999999997"/>
    <n v="32.799999999999997"/>
    <n v="88.8"/>
    <n v="0.9"/>
    <n v="125"/>
    <x v="2"/>
    <s v="Moderate"/>
    <s v="Hot"/>
    <s v="High Humidity"/>
    <s v="Low Wind"/>
  </r>
  <r>
    <s v="AQ100447"/>
    <d v="2025-07-05T00:00:00"/>
    <x v="9"/>
    <x v="0"/>
    <s v="Station-08"/>
    <n v="18.5"/>
    <n v="23.5"/>
    <n v="25.1"/>
    <n v="9.6999999999999993"/>
    <n v="0.22"/>
    <n v="51"/>
    <n v="33.9"/>
    <n v="50.4"/>
    <n v="4.0999999999999996"/>
    <n v="100"/>
    <x v="3"/>
    <s v="Good"/>
    <s v="Hot"/>
    <s v="Normal Humidity"/>
    <s v="Moderate Wind"/>
  </r>
  <r>
    <s v="AQ100448"/>
    <d v="2025-01-08T00:00:00"/>
    <x v="13"/>
    <x v="4"/>
    <s v="Station-08"/>
    <n v="49.7"/>
    <n v="132.19999999999999"/>
    <n v="33.799999999999997"/>
    <n v="2.2000000000000002"/>
    <n v="0.57999999999999996"/>
    <n v="64"/>
    <n v="21.5"/>
    <n v="40.4"/>
    <n v="1.7"/>
    <n v="237"/>
    <x v="1"/>
    <s v="Unhealthy"/>
    <s v="Normal"/>
    <s v="Normal Humidity"/>
    <s v="Low Wind"/>
  </r>
  <r>
    <s v="AQ100449"/>
    <d v="2025-03-12T00:00:00"/>
    <x v="9"/>
    <x v="0"/>
    <s v="Station-05"/>
    <n v="89.5"/>
    <n v="165.5"/>
    <n v="1.7"/>
    <n v="27.6"/>
    <n v="1.61"/>
    <n v="102.9"/>
    <n v="34"/>
    <n v="83.2"/>
    <n v="3.9"/>
    <n v="358"/>
    <x v="0"/>
    <s v="VeryUnhealthy"/>
    <s v="Hot"/>
    <s v="High Humidity"/>
    <s v="Moderate Wind"/>
  </r>
  <r>
    <s v="AQ100450"/>
    <d v="2025-07-20T00:00:00"/>
    <x v="15"/>
    <x v="3"/>
    <s v="Station-01"/>
    <n v="33.1"/>
    <n v="110.1"/>
    <n v="37.799999999999997"/>
    <n v="14"/>
    <n v="0.08"/>
    <n v="12.8"/>
    <n v="26.3"/>
    <n v="58.2"/>
    <n v="2.8"/>
    <n v="172"/>
    <x v="2"/>
    <s v="Unhealthy"/>
    <s v="Normal"/>
    <s v="Normal Humidity"/>
    <s v="Moderate Wind"/>
  </r>
  <r>
    <s v="AQ100451"/>
    <d v="2025-08-17T00:00:00"/>
    <x v="15"/>
    <x v="3"/>
    <s v="Station-10"/>
    <n v="13.6"/>
    <n v="70.099999999999994"/>
    <n v="61"/>
    <n v="6.1"/>
    <n v="0.87"/>
    <n v="56"/>
    <n v="29.9"/>
    <n v="73.099999999999994"/>
    <n v="3.7"/>
    <n v="167"/>
    <x v="2"/>
    <s v="Moderate"/>
    <s v="Normal"/>
    <s v="High Humidity"/>
    <s v="Moderate Wind"/>
  </r>
  <r>
    <s v="AQ100452"/>
    <d v="2025-05-09T00:00:00"/>
    <x v="10"/>
    <x v="3"/>
    <s v="Station-09"/>
    <n v="8.6"/>
    <n v="64.3"/>
    <n v="39.1"/>
    <n v="15.2"/>
    <n v="0.48"/>
    <n v="25.6"/>
    <n v="30.4"/>
    <n v="60.9"/>
    <n v="4.4000000000000004"/>
    <n v="121"/>
    <x v="2"/>
    <s v="Moderate"/>
    <s v="Hot"/>
    <s v="High Humidity"/>
    <s v="Moderate Wind"/>
  </r>
  <r>
    <s v="AQ100453"/>
    <d v="2025-08-02T00:00:00"/>
    <x v="13"/>
    <x v="4"/>
    <s v="Station-08"/>
    <n v="62"/>
    <n v="147.6"/>
    <n v="9"/>
    <n v="29.7"/>
    <n v="1.26"/>
    <n v="32.299999999999997"/>
    <n v="27"/>
    <n v="72.900000000000006"/>
    <n v="1.2"/>
    <n v="269"/>
    <x v="1"/>
    <s v="Unhealthy"/>
    <s v="Normal"/>
    <s v="High Humidity"/>
    <s v="Low Wind"/>
  </r>
  <r>
    <s v="AQ100454"/>
    <d v="2025-12-21T00:00:00"/>
    <x v="12"/>
    <x v="4"/>
    <s v="Station-08"/>
    <n v="34.5"/>
    <n v="122.7"/>
    <n v="21.4"/>
    <n v="6.6"/>
    <n v="1.04"/>
    <n v="18.5"/>
    <n v="29.6"/>
    <n v="37"/>
    <n v="1.3"/>
    <n v="191"/>
    <x v="2"/>
    <s v="Unhealthy"/>
    <s v="Normal"/>
    <s v="Normal Humidity"/>
    <s v="Low Wind"/>
  </r>
  <r>
    <s v="AQ100455"/>
    <d v="2025-09-28T00:00:00"/>
    <x v="6"/>
    <x v="1"/>
    <s v="Station-02"/>
    <n v="48.5"/>
    <n v="121.9"/>
    <n v="25.1"/>
    <n v="3.9"/>
    <n v="0.75"/>
    <n v="10.8"/>
    <n v="26.2"/>
    <n v="60.2"/>
    <n v="1.9"/>
    <n v="203"/>
    <x v="1"/>
    <s v="Unhealthy"/>
    <s v="Normal"/>
    <s v="High Humidity"/>
    <s v="Low Wind"/>
  </r>
  <r>
    <s v="AQ100456"/>
    <d v="2025-04-25T00:00:00"/>
    <x v="11"/>
    <x v="0"/>
    <s v="Station-01"/>
    <n v="32.299999999999997"/>
    <n v="116.1"/>
    <n v="13.7"/>
    <n v="11.3"/>
    <n v="0.6"/>
    <n v="4.7"/>
    <n v="21.5"/>
    <n v="65"/>
    <n v="1.6"/>
    <n v="163"/>
    <x v="2"/>
    <s v="Unhealthy"/>
    <s v="Normal"/>
    <s v="High Humidity"/>
    <s v="Low Wind"/>
  </r>
  <r>
    <s v="AQ100457"/>
    <d v="2025-12-25T00:00:00"/>
    <x v="1"/>
    <x v="1"/>
    <s v="Station-13"/>
    <n v="66.7"/>
    <n v="48.9"/>
    <n v="5.0999999999999996"/>
    <n v="16.5"/>
    <n v="0.32"/>
    <n v="26.4"/>
    <n v="29.4"/>
    <n v="70.599999999999994"/>
    <n v="2.5"/>
    <n v="174"/>
    <x v="2"/>
    <s v="Good"/>
    <s v="Normal"/>
    <s v="High Humidity"/>
    <s v="Moderate Wind"/>
  </r>
  <r>
    <s v="AQ100458"/>
    <d v="2025-04-20T00:00:00"/>
    <x v="13"/>
    <x v="4"/>
    <s v="Station-06"/>
    <n v="72.7"/>
    <n v="112.2"/>
    <n v="27.1"/>
    <n v="9"/>
    <n v="0.36"/>
    <n v="30.6"/>
    <n v="32.200000000000003"/>
    <n v="54.9"/>
    <n v="1.5"/>
    <n v="240"/>
    <x v="1"/>
    <s v="Unhealthy"/>
    <s v="Hot"/>
    <s v="Normal Humidity"/>
    <s v="Low Wind"/>
  </r>
  <r>
    <s v="AQ100459"/>
    <d v="2025-02-21T00:00:00"/>
    <x v="10"/>
    <x v="3"/>
    <s v="Station-06"/>
    <n v="47.5"/>
    <n v="120.3"/>
    <n v="39.5"/>
    <n v="5.8"/>
    <n v="0.17"/>
    <n v="36.4"/>
    <n v="29.1"/>
    <n v="73.599999999999994"/>
    <n v="4.4000000000000004"/>
    <n v="210"/>
    <x v="1"/>
    <s v="Unhealthy"/>
    <s v="Normal"/>
    <s v="High Humidity"/>
    <s v="Moderate Wind"/>
  </r>
  <r>
    <s v="AQ100460"/>
    <d v="2025-08-29T00:00:00"/>
    <x v="9"/>
    <x v="0"/>
    <s v="Station-10"/>
    <n v="54.5"/>
    <n v="46.3"/>
    <n v="5.3"/>
    <n v="12.3"/>
    <n v="0.56000000000000005"/>
    <n v="13.3"/>
    <n v="26.2"/>
    <n v="80.099999999999994"/>
    <n v="2.5"/>
    <n v="150"/>
    <x v="2"/>
    <s v="Good"/>
    <s v="Normal"/>
    <s v="High Humidity"/>
    <s v="Moderate Wind"/>
  </r>
  <r>
    <s v="AQ100461"/>
    <d v="2025-09-25T00:00:00"/>
    <x v="3"/>
    <x v="2"/>
    <s v="Station-10"/>
    <n v="30.2"/>
    <n v="104.5"/>
    <n v="82"/>
    <n v="7.5"/>
    <n v="0.19"/>
    <n v="64.7"/>
    <n v="36"/>
    <n v="71.2"/>
    <n v="2.9"/>
    <n v="221"/>
    <x v="1"/>
    <s v="Unhealthy"/>
    <s v="Hot"/>
    <s v="High Humidity"/>
    <s v="Moderate Wind"/>
  </r>
  <r>
    <s v="AQ100462"/>
    <d v="2025-11-26T00:00:00"/>
    <x v="2"/>
    <x v="1"/>
    <s v="Station-03"/>
    <n v="82.4"/>
    <n v="28.3"/>
    <n v="30.9"/>
    <n v="4.8"/>
    <n v="1.06"/>
    <n v="20"/>
    <n v="22.8"/>
    <n v="77"/>
    <n v="4.7"/>
    <n v="214"/>
    <x v="1"/>
    <s v="Good"/>
    <s v="Normal"/>
    <s v="High Humidity"/>
    <s v="Moderate Wind"/>
  </r>
  <r>
    <s v="AQ100463"/>
    <d v="2025-02-02T00:00:00"/>
    <x v="2"/>
    <x v="1"/>
    <s v="Station-08"/>
    <n v="35.700000000000003"/>
    <n v="124.9"/>
    <n v="21.6"/>
    <n v="2.7"/>
    <n v="1.26"/>
    <n v="3.7"/>
    <n v="25.8"/>
    <n v="46.6"/>
    <n v="2.8"/>
    <n v="191"/>
    <x v="2"/>
    <s v="Unhealthy"/>
    <s v="Normal"/>
    <s v="Normal Humidity"/>
    <s v="Moderate Wind"/>
  </r>
  <r>
    <s v="AQ100464"/>
    <d v="2025-08-23T00:00:00"/>
    <x v="14"/>
    <x v="3"/>
    <s v="Station-05"/>
    <n v="20.6"/>
    <n v="79.5"/>
    <n v="28.5"/>
    <n v="5.5"/>
    <n v="0.4"/>
    <n v="41"/>
    <n v="12.4"/>
    <n v="56.5"/>
    <n v="1.7"/>
    <n v="140"/>
    <x v="2"/>
    <s v="Moderate"/>
    <s v="Cool"/>
    <s v="Normal Humidity"/>
    <s v="Low Wind"/>
  </r>
  <r>
    <s v="AQ100465"/>
    <d v="2025-12-18T00:00:00"/>
    <x v="0"/>
    <x v="0"/>
    <s v="Station-08"/>
    <n v="95.2"/>
    <n v="31.1"/>
    <n v="14"/>
    <n v="6.3"/>
    <n v="1.3"/>
    <n v="62.8"/>
    <n v="28.5"/>
    <n v="83.6"/>
    <n v="0.8"/>
    <n v="249"/>
    <x v="1"/>
    <s v="Good"/>
    <s v="Normal"/>
    <s v="High Humidity"/>
    <s v="Low Wind"/>
  </r>
  <r>
    <s v="AQ100466"/>
    <d v="2025-07-24T00:00:00"/>
    <x v="0"/>
    <x v="0"/>
    <s v="Station-04"/>
    <n v="73.7"/>
    <n v="130.5"/>
    <n v="4.9000000000000004"/>
    <n v="32.1"/>
    <n v="0.6"/>
    <n v="27.8"/>
    <n v="27.2"/>
    <n v="75.5"/>
    <n v="2.6"/>
    <n v="257"/>
    <x v="1"/>
    <s v="Unhealthy"/>
    <s v="Normal"/>
    <s v="High Humidity"/>
    <s v="Moderate Wind"/>
  </r>
  <r>
    <s v="AQ100467"/>
    <d v="2025-11-12T00:00:00"/>
    <x v="13"/>
    <x v="4"/>
    <s v="Station-11"/>
    <n v="41.9"/>
    <n v="120.2"/>
    <n v="47"/>
    <n v="1.3"/>
    <n v="1.38"/>
    <n v="22.4"/>
    <n v="22.1"/>
    <n v="38.9"/>
    <n v="0.8"/>
    <n v="228"/>
    <x v="1"/>
    <s v="Unhealthy"/>
    <s v="Normal"/>
    <s v="Normal Humidity"/>
    <s v="Low Wind"/>
  </r>
  <r>
    <s v="AQ100468"/>
    <d v="2025-02-14T00:00:00"/>
    <x v="12"/>
    <x v="4"/>
    <s v="Station-12"/>
    <n v="57.8"/>
    <n v="85.4"/>
    <n v="21.5"/>
    <n v="32.799999999999997"/>
    <n v="0.39"/>
    <n v="79.900000000000006"/>
    <n v="19.8"/>
    <n v="53.4"/>
    <n v="1.7"/>
    <n v="234"/>
    <x v="1"/>
    <s v="Moderate"/>
    <s v="Cool"/>
    <s v="Normal Humidity"/>
    <s v="Low Wind"/>
  </r>
  <r>
    <s v="AQ100469"/>
    <d v="2025-01-05T00:00:00"/>
    <x v="3"/>
    <x v="2"/>
    <s v="Station-06"/>
    <n v="6.2"/>
    <n v="85"/>
    <n v="4"/>
    <n v="18.7"/>
    <n v="1.1100000000000001"/>
    <n v="31"/>
    <n v="30.8"/>
    <n v="85.9"/>
    <n v="2.2000000000000002"/>
    <n v="123"/>
    <x v="2"/>
    <s v="Moderate"/>
    <s v="Hot"/>
    <s v="High Humidity"/>
    <s v="Moderate Wind"/>
  </r>
  <r>
    <s v="AQ100470"/>
    <d v="2025-04-04T00:00:00"/>
    <x v="5"/>
    <x v="4"/>
    <s v="Station-06"/>
    <n v="52.2"/>
    <n v="119.3"/>
    <n v="19.399999999999999"/>
    <n v="14.1"/>
    <n v="0.68"/>
    <n v="27.3"/>
    <n v="31.8"/>
    <n v="47.8"/>
    <n v="1.8"/>
    <n v="216"/>
    <x v="1"/>
    <s v="Unhealthy"/>
    <s v="Hot"/>
    <s v="Normal Humidity"/>
    <s v="Low Wind"/>
  </r>
  <r>
    <s v="AQ100471"/>
    <d v="2025-11-29T00:00:00"/>
    <x v="13"/>
    <x v="4"/>
    <s v="Station-07"/>
    <n v="65.400000000000006"/>
    <n v="102.1"/>
    <n v="24.2"/>
    <n v="5.5"/>
    <n v="1.05"/>
    <n v="60.9"/>
    <n v="22.1"/>
    <n v="61.8"/>
    <n v="3.1"/>
    <n v="248"/>
    <x v="1"/>
    <s v="Unhealthy"/>
    <s v="Normal"/>
    <s v="High Humidity"/>
    <s v="Moderate Wind"/>
  </r>
  <r>
    <s v="AQ100472"/>
    <d v="2025-10-19T00:00:00"/>
    <x v="4"/>
    <x v="3"/>
    <s v="Station-10"/>
    <n v="75.3"/>
    <n v="142"/>
    <n v="17.600000000000001"/>
    <n v="6.9"/>
    <n v="0.72"/>
    <n v="15.5"/>
    <n v="23.7"/>
    <n v="41.3"/>
    <n v="2.2000000000000002"/>
    <n v="257"/>
    <x v="1"/>
    <s v="Unhealthy"/>
    <s v="Normal"/>
    <s v="Normal Humidity"/>
    <s v="Moderate Wind"/>
  </r>
  <r>
    <s v="AQ100473"/>
    <d v="2025-09-25T00:00:00"/>
    <x v="5"/>
    <x v="4"/>
    <s v="Station-04"/>
    <n v="40"/>
    <n v="138.30000000000001"/>
    <n v="15.1"/>
    <n v="42"/>
    <n v="0.67"/>
    <n v="34.1"/>
    <n v="19.8"/>
    <n v="71.3"/>
    <n v="2"/>
    <n v="227"/>
    <x v="1"/>
    <s v="Unhealthy"/>
    <s v="Cool"/>
    <s v="High Humidity"/>
    <s v="Moderate Wind"/>
  </r>
  <r>
    <s v="AQ100474"/>
    <d v="2025-02-19T00:00:00"/>
    <x v="10"/>
    <x v="3"/>
    <s v="Station-06"/>
    <n v="34.6"/>
    <n v="131.9"/>
    <n v="54.9"/>
    <n v="33.1"/>
    <n v="2.12"/>
    <n v="18.2"/>
    <n v="30"/>
    <n v="72.599999999999994"/>
    <n v="0.1"/>
    <n v="269"/>
    <x v="1"/>
    <s v="Unhealthy"/>
    <s v="Normal"/>
    <s v="High Humidity"/>
    <s v="Low Wind"/>
  </r>
  <r>
    <s v="AQ100475"/>
    <d v="2025-12-09T00:00:00"/>
    <x v="8"/>
    <x v="2"/>
    <s v="Station-11"/>
    <n v="62.7"/>
    <n v="148"/>
    <n v="22.3"/>
    <n v="21.3"/>
    <n v="0.82"/>
    <n v="7.4"/>
    <n v="26.1"/>
    <n v="82.1"/>
    <n v="2.2999999999999998"/>
    <n v="253"/>
    <x v="1"/>
    <s v="Unhealthy"/>
    <s v="Normal"/>
    <s v="High Humidity"/>
    <s v="Moderate Wind"/>
  </r>
  <r>
    <s v="AQ100476"/>
    <d v="2025-12-10T00:00:00"/>
    <x v="3"/>
    <x v="2"/>
    <s v="Station-07"/>
    <n v="36.6"/>
    <n v="41.3"/>
    <n v="45.8"/>
    <n v="3.9"/>
    <n v="0.57999999999999996"/>
    <n v="31.3"/>
    <n v="35.200000000000003"/>
    <n v="75.099999999999994"/>
    <n v="1"/>
    <n v="153"/>
    <x v="2"/>
    <s v="Good"/>
    <s v="Hot"/>
    <s v="High Humidity"/>
    <s v="Low Wind"/>
  </r>
  <r>
    <s v="AQ100477"/>
    <d v="2025-05-18T00:00:00"/>
    <x v="8"/>
    <x v="2"/>
    <s v="Station-09"/>
    <n v="44.3"/>
    <n v="97.6"/>
    <n v="14"/>
    <n v="31.2"/>
    <n v="0.78"/>
    <n v="29.2"/>
    <n v="28.9"/>
    <n v="41.6"/>
    <n v="3.1"/>
    <n v="200"/>
    <x v="2"/>
    <s v="Moderate"/>
    <s v="Normal"/>
    <s v="Normal Humidity"/>
    <s v="Moderate Wind"/>
  </r>
  <r>
    <s v="AQ100478"/>
    <d v="2025-12-12T00:00:00"/>
    <x v="4"/>
    <x v="3"/>
    <s v="Station-02"/>
    <n v="12.6"/>
    <n v="80.099999999999994"/>
    <n v="34.299999999999997"/>
    <n v="1.2"/>
    <n v="1.65"/>
    <n v="62.3"/>
    <n v="25.4"/>
    <n v="48"/>
    <n v="2.8"/>
    <n v="170"/>
    <x v="2"/>
    <s v="Moderate"/>
    <s v="Normal"/>
    <s v="Normal Humidity"/>
    <s v="Moderate Wind"/>
  </r>
  <r>
    <s v="AQ100479"/>
    <d v="2025-04-01T00:00:00"/>
    <x v="15"/>
    <x v="3"/>
    <s v="Station-12"/>
    <n v="85"/>
    <n v="52.7"/>
    <n v="12.4"/>
    <n v="54.8"/>
    <n v="0.38"/>
    <n v="30.2"/>
    <n v="34.799999999999997"/>
    <n v="63.8"/>
    <n v="2.1"/>
    <n v="242"/>
    <x v="1"/>
    <s v="Moderate"/>
    <s v="Hot"/>
    <s v="High Humidity"/>
    <s v="Moderate Wind"/>
  </r>
  <r>
    <s v="AQ100480"/>
    <d v="2025-08-22T00:00:00"/>
    <x v="15"/>
    <x v="3"/>
    <s v="Station-07"/>
    <n v="49.7"/>
    <n v="65.900000000000006"/>
    <n v="16.5"/>
    <n v="3.4"/>
    <n v="1.1499999999999999"/>
    <n v="29.4"/>
    <n v="32.4"/>
    <n v="60.4"/>
    <n v="3.4"/>
    <n v="180"/>
    <x v="2"/>
    <s v="Moderate"/>
    <s v="Hot"/>
    <s v="High Humidity"/>
    <s v="Moderate Wind"/>
  </r>
  <r>
    <s v="AQ100481"/>
    <d v="2025-07-05T00:00:00"/>
    <x v="12"/>
    <x v="4"/>
    <s v="Station-02"/>
    <n v="50.7"/>
    <n v="92.2"/>
    <n v="9.1999999999999993"/>
    <n v="6.7"/>
    <n v="0.44"/>
    <n v="25.8"/>
    <n v="24.4"/>
    <n v="60.2"/>
    <n v="3"/>
    <n v="176"/>
    <x v="2"/>
    <s v="Moderate"/>
    <s v="Normal"/>
    <s v="High Humidity"/>
    <s v="Moderate Wind"/>
  </r>
  <r>
    <s v="AQ100482"/>
    <d v="2025-04-21T00:00:00"/>
    <x v="7"/>
    <x v="2"/>
    <s v="Station-15"/>
    <n v="81.099999999999994"/>
    <n v="44.8"/>
    <n v="20.399999999999999"/>
    <n v="1"/>
    <n v="1.81"/>
    <n v="38.700000000000003"/>
    <n v="39.799999999999997"/>
    <n v="50.1"/>
    <n v="2.9"/>
    <n v="239"/>
    <x v="1"/>
    <s v="Good"/>
    <s v="Hot"/>
    <s v="Normal Humidity"/>
    <s v="Moderate Wind"/>
  </r>
  <r>
    <s v="AQ100483"/>
    <d v="2025-03-16T00:00:00"/>
    <x v="2"/>
    <x v="1"/>
    <s v="Station-06"/>
    <n v="64.599999999999994"/>
    <n v="114.1"/>
    <n v="24.5"/>
    <n v="4.5"/>
    <n v="0.12"/>
    <n v="44.9"/>
    <n v="30.2"/>
    <n v="74.2"/>
    <n v="1.7"/>
    <n v="223"/>
    <x v="1"/>
    <s v="Unhealthy"/>
    <s v="Hot"/>
    <s v="High Humidity"/>
    <s v="Low Wind"/>
  </r>
  <r>
    <s v="AQ100484"/>
    <d v="2025-12-04T00:00:00"/>
    <x v="11"/>
    <x v="0"/>
    <s v="Station-12"/>
    <n v="32.299999999999997"/>
    <n v="62.9"/>
    <n v="37.4"/>
    <n v="11.8"/>
    <n v="1.05"/>
    <n v="11.8"/>
    <n v="41"/>
    <n v="83.3"/>
    <n v="3.6"/>
    <n v="162"/>
    <x v="2"/>
    <s v="Moderate"/>
    <s v="Hot"/>
    <s v="High Humidity"/>
    <s v="Moderate Wind"/>
  </r>
  <r>
    <s v="AQ100485"/>
    <d v="2025-11-05T00:00:00"/>
    <x v="0"/>
    <x v="0"/>
    <s v="Station-09"/>
    <n v="14.2"/>
    <n v="20.5"/>
    <n v="11.3"/>
    <n v="18.3"/>
    <n v="0.59"/>
    <n v="8.1"/>
    <n v="27.1"/>
    <n v="44.3"/>
    <n v="2.4"/>
    <n v="76"/>
    <x v="3"/>
    <s v="Good"/>
    <s v="Normal"/>
    <s v="Normal Humidity"/>
    <s v="Moderate Wind"/>
  </r>
  <r>
    <s v="AQ100486"/>
    <d v="2025-10-19T00:00:00"/>
    <x v="11"/>
    <x v="0"/>
    <s v="Station-11"/>
    <n v="71.099999999999994"/>
    <n v="81.599999999999994"/>
    <n v="44"/>
    <n v="11.2"/>
    <n v="0.6"/>
    <n v="31.1"/>
    <n v="28"/>
    <n v="55.4"/>
    <n v="1.8"/>
    <n v="239"/>
    <x v="1"/>
    <s v="Moderate"/>
    <s v="Normal"/>
    <s v="Normal Humidity"/>
    <s v="Low Wind"/>
  </r>
  <r>
    <s v="AQ100487"/>
    <d v="2025-05-09T00:00:00"/>
    <x v="10"/>
    <x v="3"/>
    <s v="Station-06"/>
    <n v="18"/>
    <n v="155.19999999999999"/>
    <n v="59.2"/>
    <n v="19.2"/>
    <n v="0.98"/>
    <n v="29.1"/>
    <n v="19.3"/>
    <n v="64.400000000000006"/>
    <n v="1"/>
    <n v="228"/>
    <x v="1"/>
    <s v="VeryUnhealthy"/>
    <s v="Cool"/>
    <s v="High Humidity"/>
    <s v="Low Wind"/>
  </r>
  <r>
    <s v="AQ100488"/>
    <d v="2025-09-27T00:00:00"/>
    <x v="5"/>
    <x v="4"/>
    <s v="Station-13"/>
    <n v="47.3"/>
    <n v="101.5"/>
    <n v="64.7"/>
    <n v="12.9"/>
    <n v="0.65"/>
    <n v="31.3"/>
    <n v="23.2"/>
    <n v="73.7"/>
    <n v="0.1"/>
    <n v="233"/>
    <x v="1"/>
    <s v="Unhealthy"/>
    <s v="Normal"/>
    <s v="High Humidity"/>
    <s v="Low Wind"/>
  </r>
  <r>
    <s v="AQ100489"/>
    <d v="2025-12-14T00:00:00"/>
    <x v="13"/>
    <x v="4"/>
    <s v="Station-15"/>
    <n v="46.4"/>
    <n v="66.400000000000006"/>
    <n v="40.6"/>
    <n v="20.2"/>
    <n v="1.65"/>
    <n v="27.8"/>
    <n v="23.7"/>
    <n v="66.599999999999994"/>
    <n v="1.3"/>
    <n v="218"/>
    <x v="1"/>
    <s v="Moderate"/>
    <s v="Normal"/>
    <s v="High Humidity"/>
    <s v="Low Wind"/>
  </r>
  <r>
    <s v="AQ100490"/>
    <d v="2025-02-21T00:00:00"/>
    <x v="1"/>
    <x v="1"/>
    <s v="Station-01"/>
    <n v="26.9"/>
    <n v="24.7"/>
    <n v="19"/>
    <n v="0.5"/>
    <n v="0.97"/>
    <n v="35.299999999999997"/>
    <n v="28.3"/>
    <n v="69.3"/>
    <n v="1.8"/>
    <n v="115"/>
    <x v="2"/>
    <s v="Good"/>
    <s v="Normal"/>
    <s v="High Humidity"/>
    <s v="Low Wind"/>
  </r>
  <r>
    <s v="AQ100491"/>
    <d v="2025-10-11T00:00:00"/>
    <x v="4"/>
    <x v="3"/>
    <s v="Station-15"/>
    <n v="67.900000000000006"/>
    <n v="70.2"/>
    <n v="35.5"/>
    <n v="6.2"/>
    <n v="0.68"/>
    <n v="52.1"/>
    <n v="27.4"/>
    <n v="51.7"/>
    <n v="2.5"/>
    <n v="227"/>
    <x v="1"/>
    <s v="Moderate"/>
    <s v="Normal"/>
    <s v="Normal Humidity"/>
    <s v="Moderate Wind"/>
  </r>
  <r>
    <s v="AQ100492"/>
    <d v="2025-08-11T00:00:00"/>
    <x v="2"/>
    <x v="1"/>
    <s v="Station-12"/>
    <n v="64.599999999999994"/>
    <n v="44.5"/>
    <n v="21.6"/>
    <n v="18.100000000000001"/>
    <n v="0.56000000000000005"/>
    <n v="28.3"/>
    <n v="28.9"/>
    <n v="53.8"/>
    <n v="2.4"/>
    <n v="189"/>
    <x v="2"/>
    <s v="Good"/>
    <s v="Normal"/>
    <s v="Normal Humidity"/>
    <s v="Moderate Wind"/>
  </r>
  <r>
    <s v="AQ100493"/>
    <d v="2025-06-24T00:00:00"/>
    <x v="6"/>
    <x v="1"/>
    <s v="Station-02"/>
    <n v="70.900000000000006"/>
    <n v="57.1"/>
    <n v="31.9"/>
    <n v="5.7"/>
    <n v="1.08"/>
    <n v="38.1"/>
    <n v="29"/>
    <n v="74"/>
    <n v="1.3"/>
    <n v="224"/>
    <x v="1"/>
    <s v="Moderate"/>
    <s v="Normal"/>
    <s v="High Humidity"/>
    <s v="Low Wind"/>
  </r>
  <r>
    <s v="AQ100494"/>
    <d v="2025-10-26T00:00:00"/>
    <x v="5"/>
    <x v="4"/>
    <s v="Station-12"/>
    <n v="26.6"/>
    <n v="50.2"/>
    <n v="20"/>
    <n v="11.9"/>
    <n v="0.88"/>
    <n v="76.599999999999994"/>
    <n v="24.7"/>
    <n v="82.2"/>
    <n v="2.7"/>
    <n v="156"/>
    <x v="2"/>
    <s v="Moderate"/>
    <s v="Normal"/>
    <s v="High Humidity"/>
    <s v="Moderate Wind"/>
  </r>
  <r>
    <s v="AQ100495"/>
    <d v="2025-08-08T00:00:00"/>
    <x v="4"/>
    <x v="3"/>
    <s v="Station-02"/>
    <n v="56.7"/>
    <n v="199.8"/>
    <n v="23.3"/>
    <n v="18.5"/>
    <n v="0.47"/>
    <n v="30.4"/>
    <n v="28.3"/>
    <n v="98"/>
    <n v="3"/>
    <n v="278"/>
    <x v="1"/>
    <s v="VeryUnhealthy"/>
    <s v="Normal"/>
    <s v="High Humidity"/>
    <s v="Moderate Wind"/>
  </r>
  <r>
    <s v="AQ100496"/>
    <d v="2025-03-26T00:00:00"/>
    <x v="6"/>
    <x v="1"/>
    <s v="Station-10"/>
    <n v="48"/>
    <n v="46.9"/>
    <n v="10.199999999999999"/>
    <n v="4.3"/>
    <n v="0.08"/>
    <n v="17.7"/>
    <n v="18.100000000000001"/>
    <n v="82"/>
    <n v="1"/>
    <n v="128"/>
    <x v="2"/>
    <s v="Good"/>
    <s v="Cool"/>
    <s v="High Humidity"/>
    <s v="Low Wind"/>
  </r>
  <r>
    <s v="AQ100497"/>
    <d v="2025-09-05T00:00:00"/>
    <x v="0"/>
    <x v="0"/>
    <s v="Station-04"/>
    <n v="48.7"/>
    <n v="76.2"/>
    <n v="32"/>
    <n v="9.3000000000000007"/>
    <n v="1.06"/>
    <n v="26.4"/>
    <n v="18.100000000000001"/>
    <n v="68.400000000000006"/>
    <n v="2.4"/>
    <n v="198"/>
    <x v="2"/>
    <s v="Moderate"/>
    <s v="Cool"/>
    <s v="High Humidity"/>
    <s v="Moderate Wind"/>
  </r>
  <r>
    <s v="AQ100498"/>
    <d v="2025-04-05T00:00:00"/>
    <x v="6"/>
    <x v="1"/>
    <s v="Station-14"/>
    <n v="51.9"/>
    <n v="45.9"/>
    <n v="24.2"/>
    <n v="27.1"/>
    <n v="0.69"/>
    <n v="54.9"/>
    <n v="31.4"/>
    <n v="57.4"/>
    <n v="1.5"/>
    <n v="193"/>
    <x v="2"/>
    <s v="Good"/>
    <s v="Hot"/>
    <s v="Normal Humidity"/>
    <s v="Low Wind"/>
  </r>
  <r>
    <s v="AQ100499"/>
    <d v="2025-05-14T00:00:00"/>
    <x v="14"/>
    <x v="3"/>
    <s v="Station-06"/>
    <n v="22"/>
    <n v="115.9"/>
    <n v="32.299999999999997"/>
    <n v="8.1999999999999993"/>
    <n v="1.1100000000000001"/>
    <n v="120.8"/>
    <n v="31.9"/>
    <n v="65.400000000000006"/>
    <n v="1.8"/>
    <n v="224"/>
    <x v="1"/>
    <s v="Unhealthy"/>
    <s v="Hot"/>
    <s v="High Humidity"/>
    <s v="Low Wind"/>
  </r>
  <r>
    <s v="AQ100500"/>
    <d v="2025-06-13T00:00:00"/>
    <x v="14"/>
    <x v="3"/>
    <s v="Station-01"/>
    <n v="47.2"/>
    <n v="115.6"/>
    <n v="10.7"/>
    <n v="13.9"/>
    <n v="0.18"/>
    <n v="32.299999999999997"/>
    <n v="24.8"/>
    <n v="50.4"/>
    <n v="1"/>
    <n v="188"/>
    <x v="2"/>
    <s v="Unhealthy"/>
    <s v="Normal"/>
    <s v="Normal Humidity"/>
    <s v="Low Wind"/>
  </r>
  <r>
    <s v="AQ100501"/>
    <d v="2025-07-05T00:00:00"/>
    <x v="13"/>
    <x v="4"/>
    <s v="Station-15"/>
    <n v="8.8000000000000007"/>
    <n v="67.599999999999994"/>
    <n v="11.7"/>
    <n v="15.5"/>
    <n v="0.96"/>
    <n v="17.2"/>
    <n v="15"/>
    <n v="59.3"/>
    <n v="0.4"/>
    <n v="110"/>
    <x v="2"/>
    <s v="Moderate"/>
    <s v="Cool"/>
    <s v="Normal Humidity"/>
    <s v="Low Wind"/>
  </r>
  <r>
    <s v="AQ100502"/>
    <d v="2025-10-21T00:00:00"/>
    <x v="11"/>
    <x v="0"/>
    <s v="Station-02"/>
    <n v="20.5"/>
    <n v="109.6"/>
    <n v="16.5"/>
    <n v="16.399999999999999"/>
    <n v="1.07"/>
    <n v="18"/>
    <n v="21.1"/>
    <n v="80.599999999999994"/>
    <n v="0.6"/>
    <n v="164"/>
    <x v="2"/>
    <s v="Unhealthy"/>
    <s v="Normal"/>
    <s v="High Humidity"/>
    <s v="Low Wind"/>
  </r>
  <r>
    <s v="AQ100503"/>
    <d v="2025-04-02T00:00:00"/>
    <x v="2"/>
    <x v="1"/>
    <s v="Station-15"/>
    <n v="37.9"/>
    <n v="130"/>
    <n v="55.9"/>
    <n v="8.9"/>
    <n v="0.12"/>
    <n v="52"/>
    <n v="26.3"/>
    <n v="67.400000000000006"/>
    <n v="3.1"/>
    <n v="222"/>
    <x v="1"/>
    <s v="Unhealthy"/>
    <s v="Normal"/>
    <s v="High Humidity"/>
    <s v="Moderate Wind"/>
  </r>
  <r>
    <s v="AQ100504"/>
    <d v="2025-02-05T00:00:00"/>
    <x v="1"/>
    <x v="1"/>
    <s v="Station-14"/>
    <n v="25.5"/>
    <n v="53.5"/>
    <n v="36.4"/>
    <n v="3.3"/>
    <n v="0.88"/>
    <n v="27.1"/>
    <n v="27.3"/>
    <n v="73.5"/>
    <n v="0.5"/>
    <n v="141"/>
    <x v="2"/>
    <s v="Moderate"/>
    <s v="Normal"/>
    <s v="High Humidity"/>
    <s v="Low Wind"/>
  </r>
  <r>
    <s v="AQ100505"/>
    <d v="2025-09-05T00:00:00"/>
    <x v="4"/>
    <x v="3"/>
    <s v="Station-02"/>
    <n v="65.2"/>
    <n v="73.3"/>
    <n v="63.8"/>
    <n v="18.2"/>
    <n v="2.35"/>
    <n v="31.1"/>
    <n v="18.399999999999999"/>
    <n v="38.6"/>
    <n v="2.4"/>
    <n v="288"/>
    <x v="1"/>
    <s v="Moderate"/>
    <s v="Cool"/>
    <s v="Normal Humidity"/>
    <s v="Moderate Wind"/>
  </r>
  <r>
    <s v="AQ100506"/>
    <d v="2025-09-14T00:00:00"/>
    <x v="6"/>
    <x v="1"/>
    <s v="Station-07"/>
    <n v="27.9"/>
    <n v="81.599999999999994"/>
    <n v="7.2"/>
    <n v="10.8"/>
    <n v="0.23"/>
    <n v="45.6"/>
    <n v="16.600000000000001"/>
    <n v="72"/>
    <n v="3.1"/>
    <n v="137"/>
    <x v="2"/>
    <s v="Moderate"/>
    <s v="Cool"/>
    <s v="High Humidity"/>
    <s v="Moderate Wind"/>
  </r>
  <r>
    <s v="AQ100507"/>
    <d v="2025-02-21T00:00:00"/>
    <x v="2"/>
    <x v="1"/>
    <s v="Station-03"/>
    <n v="120.9"/>
    <n v="101.4"/>
    <n v="30.2"/>
    <n v="21.5"/>
    <n v="0.43"/>
    <n v="75.3"/>
    <n v="24.7"/>
    <n v="50.4"/>
    <n v="3.4"/>
    <n v="343"/>
    <x v="0"/>
    <s v="Unhealthy"/>
    <s v="Normal"/>
    <s v="Normal Humidity"/>
    <s v="Moderate Wind"/>
  </r>
  <r>
    <s v="AQ100508"/>
    <d v="2025-07-30T00:00:00"/>
    <x v="9"/>
    <x v="0"/>
    <s v="Station-15"/>
    <n v="53.3"/>
    <n v="26.4"/>
    <n v="29.9"/>
    <n v="9.9"/>
    <n v="0.12"/>
    <n v="30.4"/>
    <n v="23.1"/>
    <n v="72.7"/>
    <n v="2.2000000000000002"/>
    <n v="150"/>
    <x v="2"/>
    <s v="Good"/>
    <s v="Normal"/>
    <s v="High Humidity"/>
    <s v="Moderate Wind"/>
  </r>
  <r>
    <s v="AQ100509"/>
    <d v="2025-06-26T00:00:00"/>
    <x v="14"/>
    <x v="3"/>
    <s v="Station-04"/>
    <n v="38.9"/>
    <n v="36.200000000000003"/>
    <n v="35.700000000000003"/>
    <n v="12.8"/>
    <n v="0.35"/>
    <n v="14.7"/>
    <n v="34.700000000000003"/>
    <n v="59.6"/>
    <n v="1.6"/>
    <n v="139"/>
    <x v="2"/>
    <s v="Good"/>
    <s v="Hot"/>
    <s v="Normal Humidity"/>
    <s v="Low Wind"/>
  </r>
  <r>
    <s v="AQ100510"/>
    <d v="2025-09-16T00:00:00"/>
    <x v="12"/>
    <x v="4"/>
    <s v="Station-08"/>
    <n v="29.6"/>
    <n v="70.900000000000006"/>
    <n v="12.3"/>
    <n v="9.6999999999999993"/>
    <n v="0.43"/>
    <n v="8.1"/>
    <n v="28"/>
    <n v="66"/>
    <n v="6.1"/>
    <n v="124"/>
    <x v="2"/>
    <s v="Moderate"/>
    <s v="Normal"/>
    <s v="High Humidity"/>
    <s v="High Wind"/>
  </r>
  <r>
    <s v="AQ100511"/>
    <d v="2025-01-29T00:00:00"/>
    <x v="9"/>
    <x v="0"/>
    <s v="Station-14"/>
    <n v="50.2"/>
    <n v="80.900000000000006"/>
    <n v="23.3"/>
    <n v="10.8"/>
    <n v="0.26"/>
    <n v="10.6"/>
    <n v="24.3"/>
    <n v="58.3"/>
    <n v="2.2999999999999998"/>
    <n v="170"/>
    <x v="2"/>
    <s v="Moderate"/>
    <s v="Normal"/>
    <s v="Normal Humidity"/>
    <s v="Moderate Wind"/>
  </r>
  <r>
    <s v="AQ100512"/>
    <d v="2025-02-26T00:00:00"/>
    <x v="8"/>
    <x v="2"/>
    <s v="Station-07"/>
    <n v="30.8"/>
    <n v="73.5"/>
    <n v="17.3"/>
    <n v="15.2"/>
    <n v="0.38"/>
    <n v="19.399999999999999"/>
    <n v="23.6"/>
    <n v="69.3"/>
    <n v="0.1"/>
    <n v="140"/>
    <x v="2"/>
    <s v="Moderate"/>
    <s v="Normal"/>
    <s v="High Humidity"/>
    <s v="Low Wind"/>
  </r>
  <r>
    <s v="AQ100513"/>
    <d v="2025-02-07T00:00:00"/>
    <x v="2"/>
    <x v="1"/>
    <s v="Station-13"/>
    <n v="65.900000000000006"/>
    <n v="38"/>
    <n v="6.7"/>
    <n v="24.5"/>
    <n v="0.69"/>
    <n v="17.5"/>
    <n v="31.8"/>
    <n v="52.6"/>
    <n v="3.9"/>
    <n v="178"/>
    <x v="2"/>
    <s v="Good"/>
    <s v="Hot"/>
    <s v="Normal Humidity"/>
    <s v="Moderate Wind"/>
  </r>
  <r>
    <s v="AQ100514"/>
    <d v="2025-12-19T00:00:00"/>
    <x v="4"/>
    <x v="3"/>
    <s v="Station-13"/>
    <n v="41"/>
    <n v="131.80000000000001"/>
    <n v="96.2"/>
    <n v="25"/>
    <n v="0.15"/>
    <n v="52.5"/>
    <n v="31.7"/>
    <n v="31.5"/>
    <n v="2.4"/>
    <n v="273"/>
    <x v="1"/>
    <s v="Unhealthy"/>
    <s v="Hot"/>
    <s v="Normal Humidity"/>
    <s v="Moderate Wind"/>
  </r>
  <r>
    <s v="AQ100515"/>
    <d v="2025-09-07T00:00:00"/>
    <x v="2"/>
    <x v="1"/>
    <s v="Station-07"/>
    <n v="82.6"/>
    <n v="51.7"/>
    <n v="25.3"/>
    <n v="14.7"/>
    <n v="0.96"/>
    <n v="70.599999999999994"/>
    <n v="23.3"/>
    <n v="45.9"/>
    <n v="0.8"/>
    <n v="252"/>
    <x v="1"/>
    <s v="Moderate"/>
    <s v="Normal"/>
    <s v="Normal Humidity"/>
    <s v="Low Wind"/>
  </r>
  <r>
    <s v="AQ100516"/>
    <d v="2025-02-26T00:00:00"/>
    <x v="9"/>
    <x v="0"/>
    <s v="Station-07"/>
    <n v="12.7"/>
    <n v="179.7"/>
    <n v="11.1"/>
    <n v="5.9"/>
    <n v="1.64"/>
    <n v="28.7"/>
    <n v="22.2"/>
    <n v="89.3"/>
    <n v="0.8"/>
    <n v="204"/>
    <x v="1"/>
    <s v="VeryUnhealthy"/>
    <s v="Normal"/>
    <s v="High Humidity"/>
    <s v="Low Wind"/>
  </r>
  <r>
    <s v="AQ100517"/>
    <d v="2025-01-02T00:00:00"/>
    <x v="5"/>
    <x v="4"/>
    <s v="Station-06"/>
    <n v="22.1"/>
    <n v="33.799999999999997"/>
    <n v="17.399999999999999"/>
    <n v="11.1"/>
    <n v="0.38"/>
    <n v="65.5"/>
    <n v="29.2"/>
    <n v="37.6"/>
    <n v="1.8"/>
    <n v="118"/>
    <x v="2"/>
    <s v="Good"/>
    <s v="Normal"/>
    <s v="Normal Humidity"/>
    <s v="Low Wind"/>
  </r>
  <r>
    <s v="AQ100518"/>
    <d v="2025-10-28T00:00:00"/>
    <x v="11"/>
    <x v="0"/>
    <s v="Station-03"/>
    <n v="37.799999999999997"/>
    <n v="56.8"/>
    <n v="69.8"/>
    <n v="9.9"/>
    <n v="0.94"/>
    <n v="27.2"/>
    <n v="22.5"/>
    <n v="72.2"/>
    <n v="4.5999999999999996"/>
    <n v="196"/>
    <x v="2"/>
    <s v="Moderate"/>
    <s v="Normal"/>
    <s v="High Humidity"/>
    <s v="Moderate Wind"/>
  </r>
  <r>
    <s v="AQ100519"/>
    <d v="2025-06-25T00:00:00"/>
    <x v="15"/>
    <x v="3"/>
    <s v="Station-10"/>
    <n v="71.7"/>
    <n v="53.1"/>
    <n v="31.6"/>
    <n v="11.6"/>
    <n v="0.13"/>
    <n v="22.9"/>
    <n v="12.6"/>
    <n v="86.3"/>
    <n v="2.8"/>
    <n v="196"/>
    <x v="2"/>
    <s v="Moderate"/>
    <s v="Cool"/>
    <s v="High Humidity"/>
    <s v="Moderate Wind"/>
  </r>
  <r>
    <s v="AQ100520"/>
    <d v="2025-01-04T00:00:00"/>
    <x v="13"/>
    <x v="4"/>
    <s v="Station-07"/>
    <n v="28.1"/>
    <n v="112.6"/>
    <n v="3.9"/>
    <n v="8.8000000000000007"/>
    <n v="1.48"/>
    <n v="32.299999999999997"/>
    <n v="29.2"/>
    <n v="61.6"/>
    <n v="1"/>
    <n v="179"/>
    <x v="2"/>
    <s v="Unhealthy"/>
    <s v="Normal"/>
    <s v="High Humidity"/>
    <s v="Low Wind"/>
  </r>
  <r>
    <s v="AQ100521"/>
    <d v="2025-08-29T00:00:00"/>
    <x v="6"/>
    <x v="1"/>
    <s v="Station-11"/>
    <n v="123.5"/>
    <n v="144.69999999999999"/>
    <n v="22.8"/>
    <n v="21.7"/>
    <n v="0.65"/>
    <n v="48.5"/>
    <n v="19"/>
    <n v="66.599999999999994"/>
    <n v="0.7"/>
    <n v="363"/>
    <x v="0"/>
    <s v="Unhealthy"/>
    <s v="Cool"/>
    <s v="High Humidity"/>
    <s v="Low Wind"/>
  </r>
  <r>
    <s v="AQ100522"/>
    <d v="2025-09-20T00:00:00"/>
    <x v="11"/>
    <x v="0"/>
    <s v="Station-04"/>
    <n v="43.8"/>
    <n v="80.599999999999994"/>
    <n v="5.8"/>
    <n v="5.3"/>
    <n v="0.34"/>
    <n v="25.4"/>
    <n v="31.9"/>
    <n v="43.1"/>
    <n v="2.9"/>
    <n v="151"/>
    <x v="2"/>
    <s v="Moderate"/>
    <s v="Hot"/>
    <s v="Normal Humidity"/>
    <s v="Moderate Wind"/>
  </r>
  <r>
    <s v="AQ100523"/>
    <d v="2025-05-29T00:00:00"/>
    <x v="0"/>
    <x v="0"/>
    <s v="Station-07"/>
    <n v="91.4"/>
    <n v="100.5"/>
    <n v="16.5"/>
    <n v="7.1"/>
    <n v="1"/>
    <n v="40.4"/>
    <n v="33.6"/>
    <n v="60.1"/>
    <n v="0.4"/>
    <n v="273"/>
    <x v="1"/>
    <s v="Unhealthy"/>
    <s v="Hot"/>
    <s v="High Humidity"/>
    <s v="Low Wind"/>
  </r>
  <r>
    <s v="AQ100524"/>
    <d v="2025-04-22T00:00:00"/>
    <x v="13"/>
    <x v="4"/>
    <s v="Station-14"/>
    <n v="81.900000000000006"/>
    <n v="49.3"/>
    <n v="29.8"/>
    <n v="28.2"/>
    <n v="0.66"/>
    <n v="2.7"/>
    <n v="38.200000000000003"/>
    <n v="56.5"/>
    <n v="2.4"/>
    <n v="224"/>
    <x v="1"/>
    <s v="Good"/>
    <s v="Hot"/>
    <s v="Normal Humidity"/>
    <s v="Moderate Wind"/>
  </r>
  <r>
    <s v="AQ100525"/>
    <d v="2025-02-26T00:00:00"/>
    <x v="14"/>
    <x v="3"/>
    <s v="Station-15"/>
    <n v="73.8"/>
    <n v="69.900000000000006"/>
    <n v="48.7"/>
    <n v="35.799999999999997"/>
    <n v="0.94"/>
    <n v="42.6"/>
    <n v="25.8"/>
    <n v="75.8"/>
    <n v="1.8"/>
    <n v="270"/>
    <x v="1"/>
    <s v="Moderate"/>
    <s v="Normal"/>
    <s v="High Humidity"/>
    <s v="Low Wind"/>
  </r>
  <r>
    <s v="AQ100526"/>
    <d v="2025-05-19T00:00:00"/>
    <x v="5"/>
    <x v="4"/>
    <s v="Station-13"/>
    <n v="27.6"/>
    <n v="112.4"/>
    <n v="10"/>
    <n v="2.5"/>
    <n v="0.17"/>
    <n v="11.6"/>
    <n v="15.9"/>
    <n v="57.5"/>
    <n v="2.2999999999999998"/>
    <n v="136"/>
    <x v="2"/>
    <s v="Unhealthy"/>
    <s v="Cool"/>
    <s v="Normal Humidity"/>
    <s v="Moderate Wind"/>
  </r>
  <r>
    <s v="AQ100527"/>
    <d v="2025-10-07T00:00:00"/>
    <x v="15"/>
    <x v="3"/>
    <s v="Station-10"/>
    <n v="155.69999999999999"/>
    <n v="80.8"/>
    <n v="38.200000000000003"/>
    <n v="32.6"/>
    <n v="1.22"/>
    <n v="7.6"/>
    <n v="18.2"/>
    <n v="47.8"/>
    <n v="3.3"/>
    <n v="389"/>
    <x v="0"/>
    <s v="Moderate"/>
    <s v="Cool"/>
    <s v="Normal Humidity"/>
    <s v="Moderate Wind"/>
  </r>
  <r>
    <s v="AQ100528"/>
    <d v="2025-11-18T00:00:00"/>
    <x v="7"/>
    <x v="2"/>
    <s v="Station-02"/>
    <n v="80.599999999999994"/>
    <n v="34.5"/>
    <n v="29.6"/>
    <n v="4.2"/>
    <n v="1.36"/>
    <n v="12.8"/>
    <n v="18.899999999999999"/>
    <n v="67.3"/>
    <n v="2.5"/>
    <n v="218"/>
    <x v="1"/>
    <s v="Good"/>
    <s v="Cool"/>
    <s v="High Humidity"/>
    <s v="Moderate Wind"/>
  </r>
  <r>
    <s v="AQ100529"/>
    <d v="2025-03-19T00:00:00"/>
    <x v="10"/>
    <x v="3"/>
    <s v="Station-08"/>
    <n v="15.6"/>
    <n v="209.1"/>
    <n v="45.3"/>
    <n v="9.6999999999999993"/>
    <n v="1.61"/>
    <n v="24.6"/>
    <n v="38.9"/>
    <n v="66.5"/>
    <n v="1.7"/>
    <n v="255"/>
    <x v="1"/>
    <s v="VeryUnhealthy"/>
    <s v="Hot"/>
    <s v="High Humidity"/>
    <s v="Low Wind"/>
  </r>
  <r>
    <s v="AQ100530"/>
    <d v="2025-05-24T00:00:00"/>
    <x v="3"/>
    <x v="2"/>
    <s v="Station-06"/>
    <n v="24"/>
    <n v="171.9"/>
    <n v="19.5"/>
    <n v="3.2"/>
    <n v="0.28000000000000003"/>
    <n v="23.1"/>
    <n v="33.5"/>
    <n v="76.2"/>
    <n v="1.8"/>
    <n v="185"/>
    <x v="2"/>
    <s v="VeryUnhealthy"/>
    <s v="Hot"/>
    <s v="High Humidity"/>
    <s v="Low Wind"/>
  </r>
  <r>
    <s v="AQ100531"/>
    <d v="2025-06-16T00:00:00"/>
    <x v="7"/>
    <x v="2"/>
    <s v="Station-04"/>
    <n v="123.2"/>
    <n v="143.4"/>
    <n v="9.3000000000000007"/>
    <n v="17.5"/>
    <n v="0.93"/>
    <n v="16.100000000000001"/>
    <n v="33"/>
    <n v="73.099999999999994"/>
    <n v="0.9"/>
    <n v="341"/>
    <x v="0"/>
    <s v="Unhealthy"/>
    <s v="Hot"/>
    <s v="High Humidity"/>
    <s v="Low Wind"/>
  </r>
  <r>
    <s v="AQ100532"/>
    <d v="2025-07-14T00:00:00"/>
    <x v="14"/>
    <x v="3"/>
    <s v="Station-13"/>
    <n v="56.9"/>
    <n v="76.900000000000006"/>
    <n v="32.799999999999997"/>
    <n v="17"/>
    <n v="0.89"/>
    <n v="7.2"/>
    <n v="24.1"/>
    <n v="70"/>
    <n v="3.4"/>
    <n v="205"/>
    <x v="1"/>
    <s v="Moderate"/>
    <s v="Normal"/>
    <s v="High Humidity"/>
    <s v="Moderate Wind"/>
  </r>
  <r>
    <s v="AQ100533"/>
    <d v="2025-05-25T00:00:00"/>
    <x v="7"/>
    <x v="2"/>
    <s v="Station-09"/>
    <n v="55.8"/>
    <n v="169.8"/>
    <n v="10.199999999999999"/>
    <n v="8.1999999999999993"/>
    <n v="1.18"/>
    <n v="58.8"/>
    <n v="26.1"/>
    <n v="65.5"/>
    <n v="2.7"/>
    <n v="270"/>
    <x v="1"/>
    <s v="VeryUnhealthy"/>
    <s v="Normal"/>
    <s v="High Humidity"/>
    <s v="Moderate Wind"/>
  </r>
  <r>
    <s v="AQ100534"/>
    <d v="2025-08-13T00:00:00"/>
    <x v="13"/>
    <x v="4"/>
    <s v="Station-01"/>
    <n v="51.7"/>
    <n v="158.1"/>
    <n v="17.7"/>
    <n v="0.5"/>
    <n v="0.52"/>
    <n v="38.5"/>
    <n v="24.9"/>
    <n v="90.6"/>
    <n v="3.7"/>
    <n v="230"/>
    <x v="1"/>
    <s v="VeryUnhealthy"/>
    <s v="Normal"/>
    <s v="High Humidity"/>
    <s v="Moderate Wind"/>
  </r>
  <r>
    <s v="AQ100535"/>
    <d v="2025-08-26T00:00:00"/>
    <x v="14"/>
    <x v="3"/>
    <s v="Station-01"/>
    <n v="102.9"/>
    <n v="182.1"/>
    <n v="13.5"/>
    <n v="12.1"/>
    <n v="1.46"/>
    <n v="28.4"/>
    <n v="16.399999999999999"/>
    <n v="54.6"/>
    <n v="0.5"/>
    <n v="352"/>
    <x v="0"/>
    <s v="VeryUnhealthy"/>
    <s v="Cool"/>
    <s v="Normal Humidity"/>
    <s v="Low Wind"/>
  </r>
  <r>
    <s v="AQ100536"/>
    <d v="2025-01-05T00:00:00"/>
    <x v="2"/>
    <x v="1"/>
    <s v="Station-01"/>
    <n v="92.5"/>
    <n v="120.8"/>
    <n v="5.6"/>
    <n v="11.4"/>
    <n v="0.93"/>
    <n v="29.3"/>
    <n v="29.3"/>
    <n v="74.7"/>
    <n v="2.4"/>
    <n v="275"/>
    <x v="1"/>
    <s v="Unhealthy"/>
    <s v="Normal"/>
    <s v="High Humidity"/>
    <s v="Moderate Wind"/>
  </r>
  <r>
    <s v="AQ100537"/>
    <d v="2025-01-06T00:00:00"/>
    <x v="9"/>
    <x v="0"/>
    <s v="Station-09"/>
    <n v="74.5"/>
    <n v="57.5"/>
    <n v="6.1"/>
    <n v="2.9"/>
    <n v="0.83"/>
    <n v="63.2"/>
    <n v="21"/>
    <n v="67.8"/>
    <n v="1.1000000000000001"/>
    <n v="213"/>
    <x v="1"/>
    <s v="Moderate"/>
    <s v="Normal"/>
    <s v="High Humidity"/>
    <s v="Low Wind"/>
  </r>
  <r>
    <s v="AQ100538"/>
    <d v="2025-09-10T00:00:00"/>
    <x v="9"/>
    <x v="0"/>
    <s v="Station-03"/>
    <n v="21.7"/>
    <n v="104"/>
    <n v="35.5"/>
    <n v="21.1"/>
    <n v="0.61"/>
    <n v="36.6"/>
    <n v="22.4"/>
    <n v="62.2"/>
    <n v="0.9"/>
    <n v="177"/>
    <x v="2"/>
    <s v="Unhealthy"/>
    <s v="Normal"/>
    <s v="High Humidity"/>
    <s v="Low Wind"/>
  </r>
  <r>
    <s v="AQ100539"/>
    <d v="2025-10-22T00:00:00"/>
    <x v="6"/>
    <x v="1"/>
    <s v="Station-05"/>
    <n v="166.5"/>
    <n v="170.9"/>
    <n v="20.399999999999999"/>
    <n v="9.5"/>
    <n v="0.85"/>
    <n v="35.4"/>
    <n v="31.4"/>
    <n v="63.6"/>
    <n v="2.1"/>
    <n v="438"/>
    <x v="0"/>
    <s v="VeryUnhealthy"/>
    <s v="Hot"/>
    <s v="High Humidity"/>
    <s v="Moderate Wind"/>
  </r>
  <r>
    <s v="AQ100540"/>
    <d v="2025-12-13T00:00:00"/>
    <x v="13"/>
    <x v="4"/>
    <s v="Station-14"/>
    <n v="18.600000000000001"/>
    <n v="56.5"/>
    <n v="28"/>
    <n v="26.1"/>
    <n v="1.22"/>
    <n v="5"/>
    <n v="31.9"/>
    <n v="56.2"/>
    <n v="2"/>
    <n v="140"/>
    <x v="2"/>
    <s v="Moderate"/>
    <s v="Hot"/>
    <s v="Normal Humidity"/>
    <s v="Moderate Wind"/>
  </r>
  <r>
    <s v="AQ100541"/>
    <d v="2025-07-13T00:00:00"/>
    <x v="6"/>
    <x v="1"/>
    <s v="Station-04"/>
    <n v="8.3000000000000007"/>
    <n v="93.5"/>
    <n v="45.6"/>
    <n v="13.6"/>
    <n v="0.37"/>
    <n v="72.099999999999994"/>
    <n v="33.1"/>
    <n v="42"/>
    <n v="2.5"/>
    <n v="162"/>
    <x v="2"/>
    <s v="Moderate"/>
    <s v="Hot"/>
    <s v="Normal Humidity"/>
    <s v="Moderate Wind"/>
  </r>
  <r>
    <s v="AQ100542"/>
    <d v="2025-05-27T00:00:00"/>
    <x v="2"/>
    <x v="1"/>
    <s v="Station-08"/>
    <n v="113.9"/>
    <n v="102.2"/>
    <n v="36.5"/>
    <n v="3.2"/>
    <n v="1.18"/>
    <n v="18"/>
    <n v="24"/>
    <n v="63.3"/>
    <n v="2.5"/>
    <n v="318"/>
    <x v="0"/>
    <s v="Unhealthy"/>
    <s v="Normal"/>
    <s v="High Humidity"/>
    <s v="Moderate Wind"/>
  </r>
  <r>
    <s v="AQ100543"/>
    <d v="2025-03-10T00:00:00"/>
    <x v="2"/>
    <x v="1"/>
    <s v="Station-05"/>
    <n v="24.9"/>
    <n v="72.599999999999994"/>
    <n v="70.7"/>
    <n v="4.4000000000000004"/>
    <n v="0.15"/>
    <n v="35.799999999999997"/>
    <n v="20.399999999999999"/>
    <n v="58.4"/>
    <n v="3.6"/>
    <n v="167"/>
    <x v="2"/>
    <s v="Moderate"/>
    <s v="Normal"/>
    <s v="Normal Humidity"/>
    <s v="Moderate Wind"/>
  </r>
  <r>
    <s v="AQ100544"/>
    <d v="2025-11-04T00:00:00"/>
    <x v="11"/>
    <x v="0"/>
    <s v="Station-03"/>
    <n v="31"/>
    <n v="48.5"/>
    <n v="28.1"/>
    <n v="12.9"/>
    <n v="0.15"/>
    <n v="44.3"/>
    <n v="31.5"/>
    <n v="56.2"/>
    <n v="2.6"/>
    <n v="136"/>
    <x v="2"/>
    <s v="Good"/>
    <s v="Hot"/>
    <s v="Normal Humidity"/>
    <s v="Moderate Wind"/>
  </r>
  <r>
    <s v="AQ100545"/>
    <d v="2025-02-13T00:00:00"/>
    <x v="13"/>
    <x v="4"/>
    <s v="Station-12"/>
    <n v="61.4"/>
    <n v="99.3"/>
    <n v="21.4"/>
    <n v="12.2"/>
    <n v="0.48"/>
    <n v="21.7"/>
    <n v="22.9"/>
    <n v="70.5"/>
    <n v="3.7"/>
    <n v="210"/>
    <x v="1"/>
    <s v="Moderate"/>
    <s v="Normal"/>
    <s v="High Humidity"/>
    <s v="Moderate Wind"/>
  </r>
  <r>
    <s v="AQ100546"/>
    <d v="2025-03-25T00:00:00"/>
    <x v="11"/>
    <x v="0"/>
    <s v="Station-04"/>
    <n v="31.1"/>
    <n v="107.1"/>
    <n v="15.8"/>
    <n v="12.4"/>
    <n v="0.15"/>
    <n v="16.600000000000001"/>
    <n v="17.7"/>
    <n v="68.400000000000006"/>
    <n v="2.7"/>
    <n v="152"/>
    <x v="2"/>
    <s v="Unhealthy"/>
    <s v="Cool"/>
    <s v="High Humidity"/>
    <s v="Moderate Wind"/>
  </r>
  <r>
    <s v="AQ100547"/>
    <d v="2025-06-23T00:00:00"/>
    <x v="7"/>
    <x v="2"/>
    <s v="Station-12"/>
    <n v="29.7"/>
    <n v="98"/>
    <n v="11.9"/>
    <n v="28.8"/>
    <n v="2.31"/>
    <n v="32.299999999999997"/>
    <n v="21.1"/>
    <n v="70.8"/>
    <n v="2"/>
    <n v="213"/>
    <x v="1"/>
    <s v="Moderate"/>
    <s v="Normal"/>
    <s v="High Humidity"/>
    <s v="Moderate Wind"/>
  </r>
  <r>
    <s v="AQ100548"/>
    <d v="2025-07-19T00:00:00"/>
    <x v="8"/>
    <x v="2"/>
    <s v="Station-03"/>
    <n v="38.6"/>
    <n v="77.7"/>
    <n v="31.6"/>
    <n v="14.4"/>
    <n v="0.66"/>
    <n v="100.1"/>
    <n v="28.8"/>
    <n v="54.3"/>
    <n v="3"/>
    <n v="209"/>
    <x v="1"/>
    <s v="Moderate"/>
    <s v="Normal"/>
    <s v="Normal Humidity"/>
    <s v="Moderate Wind"/>
  </r>
  <r>
    <s v="AQ100549"/>
    <d v="2025-07-27T00:00:00"/>
    <x v="6"/>
    <x v="1"/>
    <s v="Station-10"/>
    <n v="64.7"/>
    <n v="46.8"/>
    <n v="17"/>
    <n v="48.1"/>
    <n v="0.26"/>
    <n v="17.5"/>
    <n v="21.2"/>
    <n v="46.4"/>
    <n v="0.4"/>
    <n v="196"/>
    <x v="2"/>
    <s v="Good"/>
    <s v="Normal"/>
    <s v="Normal Humidity"/>
    <s v="Low Wind"/>
  </r>
  <r>
    <s v="AQ100550"/>
    <d v="2025-03-31T00:00:00"/>
    <x v="15"/>
    <x v="3"/>
    <s v="Station-09"/>
    <n v="42.8"/>
    <n v="40.5"/>
    <n v="40.700000000000003"/>
    <n v="13.3"/>
    <n v="2.12"/>
    <n v="35.6"/>
    <n v="34.9"/>
    <n v="32.4"/>
    <n v="0.7"/>
    <n v="206"/>
    <x v="1"/>
    <s v="Good"/>
    <s v="Hot"/>
    <s v="Normal Humidity"/>
    <s v="Low Wind"/>
  </r>
  <r>
    <s v="AQ100551"/>
    <d v="2025-03-31T00:00:00"/>
    <x v="12"/>
    <x v="4"/>
    <s v="Station-12"/>
    <n v="88.1"/>
    <n v="28.1"/>
    <n v="24.9"/>
    <n v="14.9"/>
    <n v="0.97"/>
    <n v="13"/>
    <n v="28.7"/>
    <n v="42.4"/>
    <n v="0.1"/>
    <n v="220"/>
    <x v="1"/>
    <s v="Good"/>
    <s v="Normal"/>
    <s v="Normal Humidity"/>
    <s v="Low Wind"/>
  </r>
  <r>
    <s v="AQ100552"/>
    <d v="2025-03-17T00:00:00"/>
    <x v="12"/>
    <x v="4"/>
    <s v="Station-04"/>
    <n v="123.5"/>
    <n v="125.4"/>
    <n v="40.9"/>
    <n v="23.9"/>
    <n v="0.11"/>
    <n v="40.299999999999997"/>
    <n v="27.2"/>
    <n v="70.900000000000006"/>
    <n v="0.9"/>
    <n v="349"/>
    <x v="0"/>
    <s v="Unhealthy"/>
    <s v="Normal"/>
    <s v="High Humidity"/>
    <s v="Low Wind"/>
  </r>
  <r>
    <s v="AQ100553"/>
    <d v="2025-04-23T00:00:00"/>
    <x v="1"/>
    <x v="1"/>
    <s v="Station-11"/>
    <n v="45.8"/>
    <n v="35.700000000000003"/>
    <n v="30.9"/>
    <n v="36.9"/>
    <n v="1.01"/>
    <n v="53.8"/>
    <n v="14.1"/>
    <n v="44.1"/>
    <n v="2"/>
    <n v="196"/>
    <x v="2"/>
    <s v="Good"/>
    <s v="Cool"/>
    <s v="Normal Humidity"/>
    <s v="Moderate Wind"/>
  </r>
  <r>
    <s v="AQ100554"/>
    <d v="2025-08-21T00:00:00"/>
    <x v="2"/>
    <x v="1"/>
    <s v="Station-10"/>
    <n v="23.4"/>
    <n v="55.5"/>
    <n v="20.8"/>
    <n v="4.8"/>
    <n v="0.84"/>
    <n v="39.700000000000003"/>
    <n v="31.5"/>
    <n v="80.3"/>
    <n v="2.9"/>
    <n v="132"/>
    <x v="2"/>
    <s v="Moderate"/>
    <s v="Hot"/>
    <s v="High Humidity"/>
    <s v="Moderate Wind"/>
  </r>
  <r>
    <s v="AQ100555"/>
    <d v="2025-03-20T00:00:00"/>
    <x v="12"/>
    <x v="4"/>
    <s v="Station-12"/>
    <n v="20.3"/>
    <n v="45.5"/>
    <n v="18.399999999999999"/>
    <n v="10.7"/>
    <n v="0.41"/>
    <n v="5.8"/>
    <n v="39"/>
    <n v="74.099999999999994"/>
    <n v="1.8"/>
    <n v="97"/>
    <x v="3"/>
    <s v="Good"/>
    <s v="Hot"/>
    <s v="High Humidity"/>
    <s v="Low Wind"/>
  </r>
  <r>
    <s v="AQ100556"/>
    <d v="2025-01-11T00:00:00"/>
    <x v="6"/>
    <x v="1"/>
    <s v="Station-15"/>
    <n v="27.7"/>
    <n v="80.900000000000006"/>
    <n v="23.4"/>
    <n v="1.9"/>
    <n v="0.77"/>
    <n v="21.8"/>
    <n v="37.5"/>
    <n v="58.4"/>
    <n v="2.2000000000000002"/>
    <n v="146"/>
    <x v="2"/>
    <s v="Moderate"/>
    <s v="Hot"/>
    <s v="Normal Humidity"/>
    <s v="Moderate Wind"/>
  </r>
  <r>
    <s v="AQ100557"/>
    <d v="2025-08-25T00:00:00"/>
    <x v="9"/>
    <x v="0"/>
    <s v="Station-15"/>
    <n v="18.8"/>
    <n v="107.6"/>
    <n v="24.3"/>
    <n v="25.3"/>
    <n v="0.85"/>
    <n v="16.899999999999999"/>
    <n v="20.399999999999999"/>
    <n v="55.3"/>
    <n v="2.2000000000000002"/>
    <n v="166"/>
    <x v="2"/>
    <s v="Unhealthy"/>
    <s v="Normal"/>
    <s v="Normal Humidity"/>
    <s v="Moderate Wind"/>
  </r>
  <r>
    <s v="AQ100558"/>
    <d v="2025-12-28T00:00:00"/>
    <x v="4"/>
    <x v="3"/>
    <s v="Station-10"/>
    <n v="74.3"/>
    <n v="88.8"/>
    <n v="43.5"/>
    <n v="17.7"/>
    <n v="0.25"/>
    <n v="9.3000000000000007"/>
    <n v="36.799999999999997"/>
    <n v="55.3"/>
    <n v="3.5"/>
    <n v="234"/>
    <x v="1"/>
    <s v="Moderate"/>
    <s v="Hot"/>
    <s v="Normal Humidity"/>
    <s v="Moderate Wind"/>
  </r>
  <r>
    <s v="AQ100559"/>
    <d v="2025-09-30T00:00:00"/>
    <x v="9"/>
    <x v="0"/>
    <s v="Station-10"/>
    <n v="53.2"/>
    <n v="95.9"/>
    <n v="11.8"/>
    <n v="9"/>
    <n v="0.46"/>
    <n v="44.4"/>
    <n v="19.5"/>
    <n v="61.7"/>
    <n v="1.7"/>
    <n v="195"/>
    <x v="2"/>
    <s v="Moderate"/>
    <s v="Cool"/>
    <s v="High Humidity"/>
    <s v="Low Wind"/>
  </r>
  <r>
    <s v="AQ100560"/>
    <d v="2025-09-13T00:00:00"/>
    <x v="15"/>
    <x v="3"/>
    <s v="Station-04"/>
    <n v="56.7"/>
    <n v="83.5"/>
    <n v="5.7"/>
    <n v="12.9"/>
    <n v="0.51"/>
    <n v="47.3"/>
    <n v="26.4"/>
    <n v="72.900000000000006"/>
    <n v="2.6"/>
    <n v="193"/>
    <x v="2"/>
    <s v="Moderate"/>
    <s v="Normal"/>
    <s v="High Humidity"/>
    <s v="Moderate Wind"/>
  </r>
  <r>
    <s v="AQ100561"/>
    <d v="2025-05-26T00:00:00"/>
    <x v="15"/>
    <x v="3"/>
    <s v="Station-01"/>
    <n v="51.6"/>
    <n v="89.7"/>
    <n v="25.8"/>
    <n v="43.6"/>
    <n v="0.21"/>
    <n v="32.6"/>
    <n v="34.200000000000003"/>
    <n v="88.3"/>
    <n v="1.6"/>
    <n v="212"/>
    <x v="1"/>
    <s v="Moderate"/>
    <s v="Hot"/>
    <s v="High Humidity"/>
    <s v="Low Wind"/>
  </r>
  <r>
    <s v="AQ100562"/>
    <d v="2025-04-09T00:00:00"/>
    <x v="7"/>
    <x v="2"/>
    <s v="Station-03"/>
    <n v="33.1"/>
    <n v="99.2"/>
    <n v="57.2"/>
    <n v="9.3000000000000007"/>
    <n v="0.34"/>
    <n v="30.5"/>
    <n v="33.9"/>
    <n v="61.1"/>
    <n v="1.7"/>
    <n v="192"/>
    <x v="2"/>
    <s v="Moderate"/>
    <s v="Hot"/>
    <s v="High Humidity"/>
    <s v="Low Wind"/>
  </r>
  <r>
    <s v="AQ100563"/>
    <d v="2025-08-28T00:00:00"/>
    <x v="9"/>
    <x v="0"/>
    <s v="Station-13"/>
    <n v="46.8"/>
    <n v="78.3"/>
    <n v="25.1"/>
    <n v="24"/>
    <n v="0.22"/>
    <n v="19"/>
    <n v="33.299999999999997"/>
    <n v="60.2"/>
    <n v="1.6"/>
    <n v="177"/>
    <x v="2"/>
    <s v="Moderate"/>
    <s v="Hot"/>
    <s v="High Humidity"/>
    <s v="Low Wind"/>
  </r>
  <r>
    <s v="AQ100564"/>
    <d v="2025-08-09T00:00:00"/>
    <x v="1"/>
    <x v="1"/>
    <s v="Station-05"/>
    <n v="47.8"/>
    <n v="15.6"/>
    <n v="22.7"/>
    <n v="14.2"/>
    <n v="1.1100000000000001"/>
    <n v="41.9"/>
    <n v="26.9"/>
    <n v="68.2"/>
    <n v="3.6"/>
    <n v="161"/>
    <x v="2"/>
    <s v="Good"/>
    <s v="Normal"/>
    <s v="High Humidity"/>
    <s v="Moderate Wind"/>
  </r>
  <r>
    <s v="AQ100565"/>
    <d v="2025-10-03T00:00:00"/>
    <x v="5"/>
    <x v="4"/>
    <s v="Station-01"/>
    <n v="13"/>
    <n v="103.1"/>
    <n v="64.8"/>
    <n v="13.6"/>
    <n v="0.72"/>
    <n v="23.8"/>
    <n v="35.200000000000003"/>
    <n v="77.5"/>
    <n v="0.2"/>
    <n v="178"/>
    <x v="2"/>
    <s v="Unhealthy"/>
    <s v="Hot"/>
    <s v="High Humidity"/>
    <s v="Low Wind"/>
  </r>
  <r>
    <s v="AQ100566"/>
    <d v="2025-01-21T00:00:00"/>
    <x v="6"/>
    <x v="1"/>
    <s v="Station-08"/>
    <n v="70.3"/>
    <n v="77.099999999999994"/>
    <n v="11.2"/>
    <n v="2.2999999999999998"/>
    <n v="0.96"/>
    <n v="13.7"/>
    <n v="26.1"/>
    <n v="81"/>
    <n v="2.2999999999999998"/>
    <n v="203"/>
    <x v="1"/>
    <s v="Moderate"/>
    <s v="Normal"/>
    <s v="High Humidity"/>
    <s v="Moderate Wind"/>
  </r>
  <r>
    <s v="AQ100567"/>
    <d v="2025-03-28T00:00:00"/>
    <x v="8"/>
    <x v="2"/>
    <s v="Station-01"/>
    <n v="114.7"/>
    <n v="38.6"/>
    <n v="18.7"/>
    <n v="6.1"/>
    <n v="0.44"/>
    <n v="51.8"/>
    <n v="21"/>
    <n v="53.2"/>
    <n v="3.9"/>
    <n v="262"/>
    <x v="1"/>
    <s v="Good"/>
    <s v="Normal"/>
    <s v="Normal Humidity"/>
    <s v="Moderate Wind"/>
  </r>
  <r>
    <s v="AQ100568"/>
    <d v="2025-08-31T00:00:00"/>
    <x v="8"/>
    <x v="2"/>
    <s v="Station-04"/>
    <n v="62"/>
    <n v="108.1"/>
    <n v="53.8"/>
    <n v="1.1000000000000001"/>
    <n v="0.5"/>
    <n v="9"/>
    <n v="24.1"/>
    <n v="64.8"/>
    <n v="2"/>
    <n v="230"/>
    <x v="1"/>
    <s v="Unhealthy"/>
    <s v="Normal"/>
    <s v="High Humidity"/>
    <s v="Moderate Wind"/>
  </r>
  <r>
    <s v="AQ100569"/>
    <d v="2025-11-29T00:00:00"/>
    <x v="1"/>
    <x v="1"/>
    <s v="Station-04"/>
    <n v="110.2"/>
    <n v="106.3"/>
    <n v="13.5"/>
    <n v="14.8"/>
    <n v="1.53"/>
    <n v="18.8"/>
    <n v="12.7"/>
    <n v="58.7"/>
    <n v="4.5999999999999996"/>
    <n v="313"/>
    <x v="0"/>
    <s v="Unhealthy"/>
    <s v="Cool"/>
    <s v="Normal Humidity"/>
    <s v="Moderate Wind"/>
  </r>
  <r>
    <s v="AQ100570"/>
    <d v="2025-11-04T00:00:00"/>
    <x v="9"/>
    <x v="0"/>
    <s v="Station-01"/>
    <n v="19.2"/>
    <n v="139.9"/>
    <n v="26"/>
    <n v="35.299999999999997"/>
    <n v="1.58"/>
    <n v="27.1"/>
    <n v="18.899999999999999"/>
    <n v="84.5"/>
    <n v="2"/>
    <n v="219"/>
    <x v="1"/>
    <s v="Unhealthy"/>
    <s v="Cool"/>
    <s v="High Humidity"/>
    <s v="Moderate Wind"/>
  </r>
  <r>
    <s v="AQ100571"/>
    <d v="2025-09-30T00:00:00"/>
    <x v="11"/>
    <x v="0"/>
    <s v="Station-01"/>
    <n v="97"/>
    <n v="49.5"/>
    <n v="35.6"/>
    <n v="2.1"/>
    <n v="0.52"/>
    <n v="17.3"/>
    <n v="25.9"/>
    <n v="72.8"/>
    <n v="1.5"/>
    <n v="238"/>
    <x v="1"/>
    <s v="Good"/>
    <s v="Normal"/>
    <s v="High Humidity"/>
    <s v="Low Wind"/>
  </r>
  <r>
    <s v="AQ100572"/>
    <d v="2025-10-22T00:00:00"/>
    <x v="9"/>
    <x v="0"/>
    <s v="Station-12"/>
    <n v="64.099999999999994"/>
    <n v="26.1"/>
    <n v="23.7"/>
    <n v="32.6"/>
    <n v="0.9"/>
    <n v="37"/>
    <n v="32.4"/>
    <n v="71"/>
    <n v="0.3"/>
    <n v="200"/>
    <x v="2"/>
    <s v="Good"/>
    <s v="Hot"/>
    <s v="High Humidity"/>
    <s v="Low Wind"/>
  </r>
  <r>
    <s v="AQ100573"/>
    <d v="2025-12-08T00:00:00"/>
    <x v="7"/>
    <x v="2"/>
    <s v="Station-10"/>
    <n v="61.1"/>
    <n v="72.7"/>
    <n v="30.3"/>
    <n v="11.4"/>
    <n v="1.58"/>
    <n v="20.3"/>
    <n v="30.1"/>
    <n v="51.6"/>
    <n v="1.8"/>
    <n v="226"/>
    <x v="1"/>
    <s v="Moderate"/>
    <s v="Hot"/>
    <s v="Normal Humidity"/>
    <s v="Low Wind"/>
  </r>
  <r>
    <s v="AQ100574"/>
    <d v="2025-02-17T00:00:00"/>
    <x v="8"/>
    <x v="2"/>
    <s v="Station-09"/>
    <n v="61.8"/>
    <n v="108.5"/>
    <n v="28.3"/>
    <n v="7.2"/>
    <n v="0.64"/>
    <n v="36.700000000000003"/>
    <n v="45.1"/>
    <n v="42.8"/>
    <n v="3"/>
    <n v="230"/>
    <x v="1"/>
    <s v="Unhealthy"/>
    <s v="Hot"/>
    <s v="Normal Humidity"/>
    <s v="Moderate Wind"/>
  </r>
  <r>
    <s v="AQ100575"/>
    <d v="2025-10-14T00:00:00"/>
    <x v="10"/>
    <x v="3"/>
    <s v="Station-11"/>
    <n v="40.4"/>
    <n v="52.5"/>
    <n v="31.3"/>
    <n v="4"/>
    <n v="0.51"/>
    <n v="73.2"/>
    <n v="26.7"/>
    <n v="52.9"/>
    <n v="4.8"/>
    <n v="172"/>
    <x v="2"/>
    <s v="Moderate"/>
    <s v="Normal"/>
    <s v="Normal Humidity"/>
    <s v="Moderate Wind"/>
  </r>
  <r>
    <s v="AQ100576"/>
    <d v="2025-02-23T00:00:00"/>
    <x v="11"/>
    <x v="0"/>
    <s v="Station-11"/>
    <n v="47.6"/>
    <n v="32"/>
    <n v="43.4"/>
    <n v="40.700000000000003"/>
    <n v="0.76"/>
    <n v="38.799999999999997"/>
    <n v="37.6"/>
    <n v="52.4"/>
    <n v="1.8"/>
    <n v="197"/>
    <x v="2"/>
    <s v="Good"/>
    <s v="Hot"/>
    <s v="Normal Humidity"/>
    <s v="Low Wind"/>
  </r>
  <r>
    <s v="AQ100577"/>
    <d v="2025-06-13T00:00:00"/>
    <x v="10"/>
    <x v="3"/>
    <s v="Station-15"/>
    <n v="43.3"/>
    <n v="45.9"/>
    <n v="21.9"/>
    <n v="24"/>
    <n v="0.85"/>
    <n v="62.5"/>
    <n v="13.7"/>
    <n v="87.2"/>
    <n v="1.3"/>
    <n v="183"/>
    <x v="2"/>
    <s v="Good"/>
    <s v="Cool"/>
    <s v="High Humidity"/>
    <s v="Low Wind"/>
  </r>
  <r>
    <s v="AQ100578"/>
    <d v="2025-08-29T00:00:00"/>
    <x v="13"/>
    <x v="4"/>
    <s v="Station-06"/>
    <n v="13.5"/>
    <n v="132.69999999999999"/>
    <n v="11.2"/>
    <n v="10.199999999999999"/>
    <n v="0.55000000000000004"/>
    <n v="9.5"/>
    <n v="36.200000000000003"/>
    <n v="58.1"/>
    <n v="2.5"/>
    <n v="142"/>
    <x v="2"/>
    <s v="Unhealthy"/>
    <s v="Hot"/>
    <s v="Normal Humidity"/>
    <s v="Moderate Wind"/>
  </r>
  <r>
    <s v="AQ100579"/>
    <d v="2025-05-06T00:00:00"/>
    <x v="8"/>
    <x v="2"/>
    <s v="Station-14"/>
    <n v="41.6"/>
    <n v="62.9"/>
    <n v="33.799999999999997"/>
    <n v="19"/>
    <n v="1.22"/>
    <n v="31"/>
    <n v="19.100000000000001"/>
    <n v="68.900000000000006"/>
    <n v="2.4"/>
    <n v="192"/>
    <x v="2"/>
    <s v="Moderate"/>
    <s v="Cool"/>
    <s v="High Humidity"/>
    <s v="Moderate Wind"/>
  </r>
  <r>
    <s v="AQ100580"/>
    <d v="2025-04-15T00:00:00"/>
    <x v="7"/>
    <x v="2"/>
    <s v="Station-04"/>
    <n v="54.6"/>
    <n v="73.7"/>
    <n v="44"/>
    <n v="3.2"/>
    <n v="1.02"/>
    <n v="15.4"/>
    <n v="31.8"/>
    <n v="60.7"/>
    <n v="2"/>
    <n v="205"/>
    <x v="1"/>
    <s v="Moderate"/>
    <s v="Hot"/>
    <s v="High Humidity"/>
    <s v="Moderate Wind"/>
  </r>
  <r>
    <s v="AQ100581"/>
    <d v="2025-03-27T00:00:00"/>
    <x v="4"/>
    <x v="3"/>
    <s v="Station-08"/>
    <n v="92.5"/>
    <n v="46.4"/>
    <n v="2.4"/>
    <n v="3.3"/>
    <n v="1.19"/>
    <n v="44.3"/>
    <n v="28"/>
    <n v="64.5"/>
    <n v="2.8"/>
    <n v="232"/>
    <x v="1"/>
    <s v="Good"/>
    <s v="Normal"/>
    <s v="High Humidity"/>
    <s v="Moderate Wind"/>
  </r>
  <r>
    <s v="AQ100582"/>
    <d v="2025-12-06T00:00:00"/>
    <x v="15"/>
    <x v="3"/>
    <s v="Station-10"/>
    <n v="106.6"/>
    <n v="79.8"/>
    <n v="31.7"/>
    <n v="10.3"/>
    <n v="0.19"/>
    <n v="47.1"/>
    <n v="35"/>
    <n v="71.400000000000006"/>
    <n v="2.6"/>
    <n v="281"/>
    <x v="1"/>
    <s v="Moderate"/>
    <s v="Hot"/>
    <s v="High Humidity"/>
    <s v="Moderate Wind"/>
  </r>
  <r>
    <s v="AQ100583"/>
    <d v="2025-01-11T00:00:00"/>
    <x v="5"/>
    <x v="4"/>
    <s v="Station-10"/>
    <n v="86.2"/>
    <n v="127.6"/>
    <n v="7.6"/>
    <n v="13.3"/>
    <n v="0.04"/>
    <n v="49.5"/>
    <n v="25.2"/>
    <n v="66"/>
    <n v="0.1"/>
    <n v="260"/>
    <x v="1"/>
    <s v="Unhealthy"/>
    <s v="Normal"/>
    <s v="High Humidity"/>
    <s v="Low Wind"/>
  </r>
  <r>
    <s v="AQ100584"/>
    <d v="2025-07-28T00:00:00"/>
    <x v="4"/>
    <x v="3"/>
    <s v="Station-07"/>
    <n v="35.200000000000003"/>
    <n v="46.3"/>
    <n v="13.5"/>
    <n v="9.6"/>
    <n v="0.06"/>
    <n v="19.5"/>
    <n v="32.1"/>
    <n v="40.4"/>
    <n v="3.6"/>
    <n v="114"/>
    <x v="2"/>
    <s v="Good"/>
    <s v="Hot"/>
    <s v="Normal Humidity"/>
    <s v="Moderate Wind"/>
  </r>
  <r>
    <s v="AQ100585"/>
    <d v="2025-02-13T00:00:00"/>
    <x v="4"/>
    <x v="3"/>
    <s v="Station-08"/>
    <n v="74.8"/>
    <n v="18.7"/>
    <n v="35.9"/>
    <n v="20.399999999999999"/>
    <n v="1.37"/>
    <n v="24.5"/>
    <n v="19.3"/>
    <n v="86.4"/>
    <n v="2.5"/>
    <n v="220"/>
    <x v="1"/>
    <s v="Good"/>
    <s v="Cool"/>
    <s v="High Humidity"/>
    <s v="Moderate Wind"/>
  </r>
  <r>
    <s v="AQ100586"/>
    <d v="2025-07-25T00:00:00"/>
    <x v="9"/>
    <x v="0"/>
    <s v="Station-05"/>
    <n v="11.6"/>
    <n v="34.4"/>
    <n v="8.3000000000000007"/>
    <n v="3.2"/>
    <n v="1.96"/>
    <n v="3.5"/>
    <n v="32"/>
    <n v="69.2"/>
    <n v="2.2000000000000002"/>
    <n v="100"/>
    <x v="3"/>
    <s v="Good"/>
    <s v="Hot"/>
    <s v="High Humidity"/>
    <s v="Moderate Wind"/>
  </r>
  <r>
    <s v="AQ100587"/>
    <d v="2025-09-27T00:00:00"/>
    <x v="14"/>
    <x v="3"/>
    <s v="Station-12"/>
    <n v="53.5"/>
    <n v="106.8"/>
    <n v="11.2"/>
    <n v="7.4"/>
    <n v="3.19"/>
    <n v="36.4"/>
    <n v="34.700000000000003"/>
    <n v="51.5"/>
    <n v="1.7"/>
    <n v="265"/>
    <x v="1"/>
    <s v="Unhealthy"/>
    <s v="Hot"/>
    <s v="Normal Humidity"/>
    <s v="Low Wind"/>
  </r>
  <r>
    <s v="AQ100588"/>
    <d v="2025-10-05T00:00:00"/>
    <x v="15"/>
    <x v="3"/>
    <s v="Station-13"/>
    <n v="68.3"/>
    <n v="39.1"/>
    <n v="34.1"/>
    <n v="29.1"/>
    <n v="0.12"/>
    <n v="11.5"/>
    <n v="34.4"/>
    <n v="47.5"/>
    <n v="1.4"/>
    <n v="191"/>
    <x v="2"/>
    <s v="Good"/>
    <s v="Hot"/>
    <s v="Normal Humidity"/>
    <s v="Low Wind"/>
  </r>
  <r>
    <s v="AQ100589"/>
    <d v="2025-03-12T00:00:00"/>
    <x v="1"/>
    <x v="1"/>
    <s v="Station-09"/>
    <n v="16.5"/>
    <n v="67.900000000000006"/>
    <n v="23.9"/>
    <n v="7.7"/>
    <n v="2.5099999999999998"/>
    <n v="27.9"/>
    <n v="26.7"/>
    <n v="60.1"/>
    <n v="1.4"/>
    <n v="170"/>
    <x v="2"/>
    <s v="Moderate"/>
    <s v="Normal"/>
    <s v="High Humidity"/>
    <s v="Low Wind"/>
  </r>
  <r>
    <s v="AQ100590"/>
    <d v="2025-11-19T00:00:00"/>
    <x v="8"/>
    <x v="2"/>
    <s v="Station-15"/>
    <n v="68.900000000000006"/>
    <n v="53.4"/>
    <n v="22.1"/>
    <n v="21.2"/>
    <n v="0.71"/>
    <n v="36.700000000000003"/>
    <n v="23.2"/>
    <n v="61.2"/>
    <n v="3.2"/>
    <n v="212"/>
    <x v="1"/>
    <s v="Moderate"/>
    <s v="Normal"/>
    <s v="High Humidity"/>
    <s v="Moderate Wind"/>
  </r>
  <r>
    <s v="AQ100591"/>
    <d v="2025-05-01T00:00:00"/>
    <x v="7"/>
    <x v="2"/>
    <s v="Station-06"/>
    <n v="18.5"/>
    <n v="127.8"/>
    <n v="26.1"/>
    <n v="21.9"/>
    <n v="1.1200000000000001"/>
    <n v="21.9"/>
    <n v="16.899999999999999"/>
    <n v="86.3"/>
    <n v="0.6"/>
    <n v="187"/>
    <x v="2"/>
    <s v="Unhealthy"/>
    <s v="Cool"/>
    <s v="High Humidity"/>
    <s v="Low Wind"/>
  </r>
  <r>
    <s v="AQ100592"/>
    <d v="2025-06-18T00:00:00"/>
    <x v="5"/>
    <x v="4"/>
    <s v="Station-12"/>
    <n v="64.7"/>
    <n v="46.3"/>
    <n v="58.9"/>
    <n v="9.3000000000000007"/>
    <n v="0.71"/>
    <n v="38.700000000000003"/>
    <n v="34.200000000000003"/>
    <n v="82.1"/>
    <n v="3.2"/>
    <n v="222"/>
    <x v="1"/>
    <s v="Good"/>
    <s v="Hot"/>
    <s v="High Humidity"/>
    <s v="Moderate Wind"/>
  </r>
  <r>
    <s v="AQ100593"/>
    <d v="2025-11-28T00:00:00"/>
    <x v="2"/>
    <x v="1"/>
    <s v="Station-07"/>
    <n v="34.799999999999997"/>
    <n v="144.69999999999999"/>
    <n v="14.2"/>
    <n v="16.7"/>
    <n v="0.28999999999999998"/>
    <n v="42.6"/>
    <n v="32.1"/>
    <n v="67.8"/>
    <n v="2.1"/>
    <n v="199"/>
    <x v="2"/>
    <s v="Unhealthy"/>
    <s v="Hot"/>
    <s v="High Humidity"/>
    <s v="Moderate Wind"/>
  </r>
  <r>
    <s v="AQ100594"/>
    <d v="2025-07-25T00:00:00"/>
    <x v="6"/>
    <x v="1"/>
    <s v="Station-14"/>
    <n v="27.8"/>
    <n v="83"/>
    <n v="74.400000000000006"/>
    <n v="6.8"/>
    <n v="0.28000000000000003"/>
    <n v="69.8"/>
    <n v="19.899999999999999"/>
    <n v="80.5"/>
    <n v="1"/>
    <n v="201"/>
    <x v="1"/>
    <s v="Moderate"/>
    <s v="Cool"/>
    <s v="High Humidity"/>
    <s v="Low Wind"/>
  </r>
  <r>
    <s v="AQ100595"/>
    <d v="2025-11-05T00:00:00"/>
    <x v="10"/>
    <x v="3"/>
    <s v="Station-15"/>
    <n v="63.6"/>
    <n v="109.9"/>
    <n v="10.3"/>
    <n v="20.2"/>
    <n v="0.53"/>
    <n v="39.1"/>
    <n v="30.3"/>
    <n v="48.2"/>
    <n v="2.8"/>
    <n v="226"/>
    <x v="1"/>
    <s v="Unhealthy"/>
    <s v="Hot"/>
    <s v="Normal Humidity"/>
    <s v="Moderate Wind"/>
  </r>
  <r>
    <s v="AQ100596"/>
    <d v="2025-01-29T00:00:00"/>
    <x v="1"/>
    <x v="1"/>
    <s v="Station-09"/>
    <n v="28.1"/>
    <n v="140.69999999999999"/>
    <n v="26"/>
    <n v="16.600000000000001"/>
    <n v="1.08"/>
    <n v="77.3"/>
    <n v="23.7"/>
    <n v="44.9"/>
    <n v="1.1000000000000001"/>
    <n v="231"/>
    <x v="1"/>
    <s v="Unhealthy"/>
    <s v="Normal"/>
    <s v="Normal Humidity"/>
    <s v="Low Wind"/>
  </r>
  <r>
    <s v="AQ100597"/>
    <d v="2025-11-04T00:00:00"/>
    <x v="14"/>
    <x v="3"/>
    <s v="Station-14"/>
    <n v="151.9"/>
    <n v="93.3"/>
    <n v="69.900000000000006"/>
    <n v="4.0999999999999996"/>
    <n v="0.38"/>
    <n v="10.6"/>
    <n v="24.6"/>
    <n v="68.5"/>
    <n v="3.3"/>
    <n v="377"/>
    <x v="0"/>
    <s v="Moderate"/>
    <s v="Normal"/>
    <s v="High Humidity"/>
    <s v="Moderate Wind"/>
  </r>
  <r>
    <s v="AQ100598"/>
    <d v="2025-12-04T00:00:00"/>
    <x v="13"/>
    <x v="4"/>
    <s v="Station-04"/>
    <n v="84.8"/>
    <n v="55"/>
    <n v="33.1"/>
    <n v="2.8"/>
    <n v="0.3"/>
    <n v="21.5"/>
    <n v="26.2"/>
    <n v="67"/>
    <n v="3.8"/>
    <n v="217"/>
    <x v="1"/>
    <s v="Moderate"/>
    <s v="Normal"/>
    <s v="High Humidity"/>
    <s v="Moderate Wind"/>
  </r>
  <r>
    <s v="AQ100599"/>
    <d v="2025-02-20T00:00:00"/>
    <x v="12"/>
    <x v="4"/>
    <s v="Station-06"/>
    <n v="145.80000000000001"/>
    <n v="141.69999999999999"/>
    <n v="50.9"/>
    <n v="16.5"/>
    <n v="0.95"/>
    <n v="72.599999999999994"/>
    <n v="28.4"/>
    <n v="27"/>
    <n v="3.4"/>
    <n v="434"/>
    <x v="0"/>
    <s v="Unhealthy"/>
    <s v="Normal"/>
    <s v="Low Humidity"/>
    <s v="Moderate Wind"/>
  </r>
  <r>
    <s v="AQ100600"/>
    <d v="2025-11-23T00:00:00"/>
    <x v="8"/>
    <x v="2"/>
    <s v="Station-13"/>
    <n v="88.4"/>
    <n v="31.6"/>
    <n v="28.4"/>
    <n v="9.9"/>
    <n v="0.33"/>
    <n v="22.7"/>
    <n v="26.3"/>
    <n v="96.9"/>
    <n v="1.9"/>
    <n v="210"/>
    <x v="1"/>
    <s v="Good"/>
    <s v="Normal"/>
    <s v="High Humidity"/>
    <s v="Low Wind"/>
  </r>
  <r>
    <s v="AQ100601"/>
    <d v="2025-07-22T00:00:00"/>
    <x v="9"/>
    <x v="0"/>
    <s v="Station-10"/>
    <n v="15.1"/>
    <n v="196.1"/>
    <n v="21.7"/>
    <n v="31.2"/>
    <n v="0.73"/>
    <n v="23.4"/>
    <n v="32.4"/>
    <n v="76.3"/>
    <n v="1.1000000000000001"/>
    <n v="220"/>
    <x v="1"/>
    <s v="VeryUnhealthy"/>
    <s v="Hot"/>
    <s v="High Humidity"/>
    <s v="Low Wind"/>
  </r>
  <r>
    <s v="AQ100602"/>
    <d v="2025-01-20T00:00:00"/>
    <x v="8"/>
    <x v="2"/>
    <s v="Station-11"/>
    <n v="45.9"/>
    <n v="92"/>
    <n v="50.9"/>
    <n v="23.1"/>
    <n v="0.7"/>
    <n v="14.8"/>
    <n v="16.2"/>
    <n v="54.3"/>
    <n v="1.4"/>
    <n v="214"/>
    <x v="1"/>
    <s v="Moderate"/>
    <s v="Cool"/>
    <s v="Normal Humidity"/>
    <s v="Low Wind"/>
  </r>
  <r>
    <s v="AQ100603"/>
    <d v="2025-09-23T00:00:00"/>
    <x v="5"/>
    <x v="4"/>
    <s v="Station-11"/>
    <n v="26.9"/>
    <n v="162.4"/>
    <n v="27.4"/>
    <n v="5.2"/>
    <n v="0.44"/>
    <n v="36.4"/>
    <n v="35"/>
    <n v="86.3"/>
    <n v="0.5"/>
    <n v="202"/>
    <x v="1"/>
    <s v="VeryUnhealthy"/>
    <s v="Hot"/>
    <s v="High Humidity"/>
    <s v="Low Wind"/>
  </r>
  <r>
    <s v="AQ100604"/>
    <d v="2025-05-09T00:00:00"/>
    <x v="4"/>
    <x v="3"/>
    <s v="Station-03"/>
    <n v="44.1"/>
    <n v="69.8"/>
    <n v="44"/>
    <n v="3.3"/>
    <n v="0.26"/>
    <n v="73.7"/>
    <n v="22.8"/>
    <n v="70.8"/>
    <n v="2.2000000000000002"/>
    <n v="193"/>
    <x v="2"/>
    <s v="Moderate"/>
    <s v="Normal"/>
    <s v="High Humidity"/>
    <s v="Moderate Wind"/>
  </r>
  <r>
    <s v="AQ100605"/>
    <d v="2025-03-28T00:00:00"/>
    <x v="0"/>
    <x v="0"/>
    <s v="Station-04"/>
    <n v="30.7"/>
    <n v="60.9"/>
    <n v="19.8"/>
    <n v="4.8"/>
    <n v="0.97"/>
    <n v="34.9"/>
    <n v="19.2"/>
    <n v="66.7"/>
    <n v="1.1000000000000001"/>
    <n v="148"/>
    <x v="2"/>
    <s v="Moderate"/>
    <s v="Cool"/>
    <s v="High Humidity"/>
    <s v="Low Wind"/>
  </r>
  <r>
    <s v="AQ100606"/>
    <d v="2025-11-22T00:00:00"/>
    <x v="2"/>
    <x v="1"/>
    <s v="Station-15"/>
    <n v="68.900000000000006"/>
    <n v="42.7"/>
    <n v="16"/>
    <n v="21.6"/>
    <n v="0.41"/>
    <n v="42.4"/>
    <n v="35.9"/>
    <n v="71.5"/>
    <n v="1.7"/>
    <n v="195"/>
    <x v="2"/>
    <s v="Good"/>
    <s v="Hot"/>
    <s v="High Humidity"/>
    <s v="Low Wind"/>
  </r>
  <r>
    <s v="AQ100607"/>
    <d v="2025-04-15T00:00:00"/>
    <x v="8"/>
    <x v="2"/>
    <s v="Station-09"/>
    <n v="36.5"/>
    <n v="85.4"/>
    <n v="38.299999999999997"/>
    <n v="7.1"/>
    <n v="1.64"/>
    <n v="11.6"/>
    <n v="28.5"/>
    <n v="40.6"/>
    <n v="2.6"/>
    <n v="196"/>
    <x v="2"/>
    <s v="Moderate"/>
    <s v="Normal"/>
    <s v="Normal Humidity"/>
    <s v="Moderate Wind"/>
  </r>
  <r>
    <s v="AQ100608"/>
    <d v="2025-08-03T00:00:00"/>
    <x v="13"/>
    <x v="4"/>
    <s v="Station-15"/>
    <n v="28.8"/>
    <n v="71.900000000000006"/>
    <n v="16.100000000000001"/>
    <n v="18.5"/>
    <n v="1.72"/>
    <n v="57.1"/>
    <n v="30.2"/>
    <n v="75.400000000000006"/>
    <n v="1"/>
    <n v="187"/>
    <x v="2"/>
    <s v="Moderate"/>
    <s v="Hot"/>
    <s v="High Humidity"/>
    <s v="Low Wind"/>
  </r>
  <r>
    <s v="AQ100609"/>
    <d v="2025-04-22T00:00:00"/>
    <x v="5"/>
    <x v="4"/>
    <s v="Station-01"/>
    <n v="38.799999999999997"/>
    <n v="113.2"/>
    <n v="22.7"/>
    <n v="10"/>
    <n v="1.75"/>
    <n v="19.399999999999999"/>
    <n v="33.4"/>
    <n v="62"/>
    <n v="0.8"/>
    <n v="213"/>
    <x v="1"/>
    <s v="Unhealthy"/>
    <s v="Hot"/>
    <s v="High Humidity"/>
    <s v="Low Wind"/>
  </r>
  <r>
    <s v="AQ100610"/>
    <d v="2025-04-27T00:00:00"/>
    <x v="14"/>
    <x v="3"/>
    <s v="Station-06"/>
    <n v="29.8"/>
    <n v="136.80000000000001"/>
    <n v="23.2"/>
    <n v="2.7"/>
    <n v="1.03"/>
    <n v="54.1"/>
    <n v="35.799999999999997"/>
    <n v="59.4"/>
    <n v="3.2"/>
    <n v="207"/>
    <x v="1"/>
    <s v="Unhealthy"/>
    <s v="Hot"/>
    <s v="Normal Humidity"/>
    <s v="Moderate Wind"/>
  </r>
  <r>
    <s v="AQ100611"/>
    <d v="2025-07-23T00:00:00"/>
    <x v="10"/>
    <x v="3"/>
    <s v="Station-10"/>
    <n v="101.6"/>
    <n v="57.1"/>
    <n v="34.299999999999997"/>
    <n v="6.2"/>
    <n v="0.23"/>
    <n v="6.5"/>
    <n v="32.6"/>
    <n v="58.5"/>
    <n v="1.2"/>
    <n v="240"/>
    <x v="1"/>
    <s v="Moderate"/>
    <s v="Hot"/>
    <s v="Normal Humidity"/>
    <s v="Low Wind"/>
  </r>
  <r>
    <s v="AQ100612"/>
    <d v="2025-05-09T00:00:00"/>
    <x v="4"/>
    <x v="3"/>
    <s v="Station-07"/>
    <n v="30.4"/>
    <n v="76.599999999999994"/>
    <n v="57.8"/>
    <n v="17.7"/>
    <n v="1.1100000000000001"/>
    <n v="10.3"/>
    <n v="21.2"/>
    <n v="75.8"/>
    <n v="2.8"/>
    <n v="189"/>
    <x v="2"/>
    <s v="Moderate"/>
    <s v="Normal"/>
    <s v="High Humidity"/>
    <s v="Moderate Wind"/>
  </r>
  <r>
    <s v="AQ100613"/>
    <d v="2025-07-07T00:00:00"/>
    <x v="2"/>
    <x v="1"/>
    <s v="Station-13"/>
    <n v="71.400000000000006"/>
    <n v="80"/>
    <n v="51.9"/>
    <n v="1.1000000000000001"/>
    <n v="0.96"/>
    <n v="35.200000000000003"/>
    <n v="27.3"/>
    <n v="31.5"/>
    <n v="1.9"/>
    <n v="248"/>
    <x v="1"/>
    <s v="Moderate"/>
    <s v="Normal"/>
    <s v="Normal Humidity"/>
    <s v="Low Wind"/>
  </r>
  <r>
    <s v="AQ100614"/>
    <d v="2025-08-31T00:00:00"/>
    <x v="12"/>
    <x v="4"/>
    <s v="Station-07"/>
    <n v="58.3"/>
    <n v="39.700000000000003"/>
    <n v="17.7"/>
    <n v="21.7"/>
    <n v="0.42"/>
    <n v="48.6"/>
    <n v="22.7"/>
    <n v="50.9"/>
    <n v="1.6"/>
    <n v="181"/>
    <x v="2"/>
    <s v="Good"/>
    <s v="Normal"/>
    <s v="Normal Humidity"/>
    <s v="Low Wind"/>
  </r>
  <r>
    <s v="AQ100615"/>
    <d v="2025-07-10T00:00:00"/>
    <x v="12"/>
    <x v="4"/>
    <s v="Station-12"/>
    <n v="69.8"/>
    <n v="120.7"/>
    <n v="25.7"/>
    <n v="24.5"/>
    <n v="0.18"/>
    <n v="53.5"/>
    <n v="27.7"/>
    <n v="85.1"/>
    <n v="1.2"/>
    <n v="256"/>
    <x v="1"/>
    <s v="Unhealthy"/>
    <s v="Normal"/>
    <s v="High Humidity"/>
    <s v="Low Wind"/>
  </r>
  <r>
    <s v="AQ100616"/>
    <d v="2025-09-09T00:00:00"/>
    <x v="15"/>
    <x v="3"/>
    <s v="Station-08"/>
    <n v="17.8"/>
    <n v="39.700000000000003"/>
    <n v="6.5"/>
    <n v="19.899999999999999"/>
    <n v="1.04"/>
    <n v="60.7"/>
    <n v="29.7"/>
    <n v="61.8"/>
    <n v="2.7"/>
    <n v="127"/>
    <x v="2"/>
    <s v="Good"/>
    <s v="Normal"/>
    <s v="High Humidity"/>
    <s v="Moderate Wind"/>
  </r>
  <r>
    <s v="AQ100617"/>
    <d v="2025-10-26T00:00:00"/>
    <x v="9"/>
    <x v="0"/>
    <s v="Station-13"/>
    <n v="30.6"/>
    <n v="27.7"/>
    <n v="30.1"/>
    <n v="12.1"/>
    <n v="0.32"/>
    <n v="24.2"/>
    <n v="23"/>
    <n v="67.099999999999994"/>
    <n v="3.1"/>
    <n v="118"/>
    <x v="2"/>
    <s v="Good"/>
    <s v="Normal"/>
    <s v="High Humidity"/>
    <s v="Moderate Wind"/>
  </r>
  <r>
    <s v="AQ100618"/>
    <d v="2025-02-23T00:00:00"/>
    <x v="5"/>
    <x v="4"/>
    <s v="Station-05"/>
    <n v="90.5"/>
    <n v="84.9"/>
    <n v="17.5"/>
    <n v="11.3"/>
    <n v="0.48"/>
    <n v="37.9"/>
    <n v="24.2"/>
    <n v="89.9"/>
    <n v="1.8"/>
    <n v="251"/>
    <x v="1"/>
    <s v="Moderate"/>
    <s v="Normal"/>
    <s v="High Humidity"/>
    <s v="Low Wind"/>
  </r>
  <r>
    <s v="AQ100619"/>
    <d v="2025-02-12T00:00:00"/>
    <x v="6"/>
    <x v="1"/>
    <s v="Station-12"/>
    <n v="69.2"/>
    <n v="68.400000000000006"/>
    <n v="32.299999999999997"/>
    <n v="10"/>
    <n v="1.07"/>
    <n v="37.200000000000003"/>
    <n v="27.7"/>
    <n v="77"/>
    <n v="1.3"/>
    <n v="232"/>
    <x v="1"/>
    <s v="Moderate"/>
    <s v="Normal"/>
    <s v="High Humidity"/>
    <s v="Low Wind"/>
  </r>
  <r>
    <s v="AQ100620"/>
    <d v="2025-06-13T00:00:00"/>
    <x v="2"/>
    <x v="1"/>
    <s v="Station-03"/>
    <n v="40.1"/>
    <n v="65"/>
    <n v="42.6"/>
    <n v="5"/>
    <n v="1.0900000000000001"/>
    <n v="16.8"/>
    <n v="31.3"/>
    <n v="61.9"/>
    <n v="2.9"/>
    <n v="179"/>
    <x v="2"/>
    <s v="Moderate"/>
    <s v="Hot"/>
    <s v="High Humidity"/>
    <s v="Moderate Wind"/>
  </r>
  <r>
    <s v="AQ100621"/>
    <d v="2025-09-17T00:00:00"/>
    <x v="4"/>
    <x v="3"/>
    <s v="Station-06"/>
    <n v="34.700000000000003"/>
    <n v="135.19999999999999"/>
    <n v="7.4"/>
    <n v="0.8"/>
    <n v="0.53"/>
    <n v="31.1"/>
    <n v="25.7"/>
    <n v="64.900000000000006"/>
    <n v="2"/>
    <n v="177"/>
    <x v="2"/>
    <s v="Unhealthy"/>
    <s v="Normal"/>
    <s v="High Humidity"/>
    <s v="Moderate Wind"/>
  </r>
  <r>
    <s v="AQ100622"/>
    <d v="2025-11-01T00:00:00"/>
    <x v="1"/>
    <x v="1"/>
    <s v="Station-15"/>
    <n v="26.3"/>
    <n v="44.8"/>
    <n v="14"/>
    <n v="10.1"/>
    <n v="0.47"/>
    <n v="16.399999999999999"/>
    <n v="25.7"/>
    <n v="64.8"/>
    <n v="1.5"/>
    <n v="109"/>
    <x v="2"/>
    <s v="Good"/>
    <s v="Normal"/>
    <s v="High Humidity"/>
    <s v="Low Wind"/>
  </r>
  <r>
    <s v="AQ100623"/>
    <d v="2025-06-14T00:00:00"/>
    <x v="0"/>
    <x v="0"/>
    <s v="Station-02"/>
    <n v="28.7"/>
    <n v="157.4"/>
    <n v="44.9"/>
    <n v="5.7"/>
    <n v="1.24"/>
    <n v="41.1"/>
    <n v="23.3"/>
    <n v="67.400000000000006"/>
    <n v="3"/>
    <n v="238"/>
    <x v="1"/>
    <s v="VeryUnhealthy"/>
    <s v="Normal"/>
    <s v="High Humidity"/>
    <s v="Moderate Wind"/>
  </r>
  <r>
    <s v="AQ100624"/>
    <d v="2025-11-01T00:00:00"/>
    <x v="0"/>
    <x v="0"/>
    <s v="Station-11"/>
    <n v="81.5"/>
    <n v="55.8"/>
    <n v="19.899999999999999"/>
    <n v="17.399999999999999"/>
    <n v="0.82"/>
    <n v="17.899999999999999"/>
    <n v="15.7"/>
    <n v="66.900000000000006"/>
    <n v="2.2000000000000002"/>
    <n v="223"/>
    <x v="1"/>
    <s v="Moderate"/>
    <s v="Cool"/>
    <s v="High Humidity"/>
    <s v="Moderate Wind"/>
  </r>
  <r>
    <s v="AQ100625"/>
    <d v="2025-03-10T00:00:00"/>
    <x v="11"/>
    <x v="0"/>
    <s v="Station-04"/>
    <n v="41.8"/>
    <n v="153"/>
    <n v="57.9"/>
    <n v="9.8000000000000007"/>
    <n v="2.2400000000000002"/>
    <n v="91.9"/>
    <n v="28.6"/>
    <n v="69.400000000000006"/>
    <n v="2.8"/>
    <n v="317"/>
    <x v="0"/>
    <s v="VeryUnhealthy"/>
    <s v="Normal"/>
    <s v="High Humidity"/>
    <s v="Moderate Wind"/>
  </r>
  <r>
    <s v="AQ100626"/>
    <d v="2025-09-13T00:00:00"/>
    <x v="13"/>
    <x v="4"/>
    <s v="Station-15"/>
    <n v="52.5"/>
    <n v="45.1"/>
    <n v="44.8"/>
    <n v="20.2"/>
    <n v="0.7"/>
    <n v="31.6"/>
    <n v="29.1"/>
    <n v="46"/>
    <n v="2.2000000000000002"/>
    <n v="195"/>
    <x v="2"/>
    <s v="Good"/>
    <s v="Normal"/>
    <s v="Normal Humidity"/>
    <s v="Moderate Wind"/>
  </r>
  <r>
    <s v="AQ100627"/>
    <d v="2025-09-06T00:00:00"/>
    <x v="5"/>
    <x v="4"/>
    <s v="Station-07"/>
    <n v="51.4"/>
    <n v="61.1"/>
    <n v="62.6"/>
    <n v="3.4"/>
    <n v="0.68"/>
    <n v="30.6"/>
    <n v="35.1"/>
    <n v="78.7"/>
    <n v="3.1"/>
    <n v="205"/>
    <x v="1"/>
    <s v="Moderate"/>
    <s v="Hot"/>
    <s v="High Humidity"/>
    <s v="Moderate Wind"/>
  </r>
  <r>
    <s v="AQ100628"/>
    <d v="2025-10-23T00:00:00"/>
    <x v="9"/>
    <x v="0"/>
    <s v="Station-11"/>
    <n v="44"/>
    <n v="235.4"/>
    <n v="4.5999999999999996"/>
    <n v="2.6"/>
    <n v="0.4"/>
    <n v="25.3"/>
    <n v="20.9"/>
    <n v="84.6"/>
    <n v="2.2000000000000002"/>
    <n v="250"/>
    <x v="1"/>
    <s v="VeryUnhealthy"/>
    <s v="Normal"/>
    <s v="High Humidity"/>
    <s v="Moderate Wind"/>
  </r>
  <r>
    <s v="AQ100629"/>
    <d v="2025-01-03T00:00:00"/>
    <x v="3"/>
    <x v="2"/>
    <s v="Station-14"/>
    <n v="64.5"/>
    <n v="121"/>
    <n v="14.8"/>
    <n v="4.0999999999999996"/>
    <n v="0.62"/>
    <n v="24.1"/>
    <n v="22.1"/>
    <n v="66.7"/>
    <n v="2.4"/>
    <n v="223"/>
    <x v="1"/>
    <s v="Unhealthy"/>
    <s v="Normal"/>
    <s v="High Humidity"/>
    <s v="Moderate Wind"/>
  </r>
  <r>
    <s v="AQ100630"/>
    <d v="2025-09-08T00:00:00"/>
    <x v="0"/>
    <x v="0"/>
    <s v="Station-05"/>
    <n v="23"/>
    <n v="35.9"/>
    <n v="35.799999999999997"/>
    <n v="1"/>
    <n v="0.62"/>
    <n v="22.4"/>
    <n v="32.700000000000003"/>
    <n v="53.2"/>
    <n v="2.1"/>
    <n v="115"/>
    <x v="2"/>
    <s v="Good"/>
    <s v="Hot"/>
    <s v="Normal Humidity"/>
    <s v="Moderate Wind"/>
  </r>
  <r>
    <s v="AQ100631"/>
    <d v="2025-07-13T00:00:00"/>
    <x v="14"/>
    <x v="3"/>
    <s v="Station-10"/>
    <n v="41.9"/>
    <n v="43.1"/>
    <n v="27.7"/>
    <n v="1.9"/>
    <n v="0.18"/>
    <n v="22.8"/>
    <n v="23.5"/>
    <n v="70.3"/>
    <n v="3.9"/>
    <n v="133"/>
    <x v="2"/>
    <s v="Good"/>
    <s v="Normal"/>
    <s v="High Humidity"/>
    <s v="Moderate Wind"/>
  </r>
  <r>
    <s v="AQ100632"/>
    <d v="2025-11-02T00:00:00"/>
    <x v="14"/>
    <x v="3"/>
    <s v="Station-13"/>
    <n v="108.6"/>
    <n v="97.4"/>
    <n v="39"/>
    <n v="11.9"/>
    <n v="0.6"/>
    <n v="63.7"/>
    <n v="24.5"/>
    <n v="52.4"/>
    <n v="2.4"/>
    <n v="320"/>
    <x v="0"/>
    <s v="Moderate"/>
    <s v="Normal"/>
    <s v="Normal Humidity"/>
    <s v="Moderate Wind"/>
  </r>
  <r>
    <s v="AQ100633"/>
    <d v="2025-11-01T00:00:00"/>
    <x v="2"/>
    <x v="1"/>
    <s v="Station-11"/>
    <n v="78.099999999999994"/>
    <n v="125.1"/>
    <n v="11.2"/>
    <n v="34.299999999999997"/>
    <n v="0.26"/>
    <n v="59"/>
    <n v="26.4"/>
    <n v="81.5"/>
    <n v="2"/>
    <n v="272"/>
    <x v="1"/>
    <s v="Unhealthy"/>
    <s v="Normal"/>
    <s v="High Humidity"/>
    <s v="Moderate Wind"/>
  </r>
  <r>
    <s v="AQ100634"/>
    <d v="2025-05-10T00:00:00"/>
    <x v="15"/>
    <x v="3"/>
    <s v="Station-04"/>
    <n v="86"/>
    <n v="104.3"/>
    <n v="21.1"/>
    <n v="13.7"/>
    <n v="0.57999999999999996"/>
    <n v="55.7"/>
    <n v="18"/>
    <n v="66.8"/>
    <n v="2.7"/>
    <n v="271"/>
    <x v="1"/>
    <s v="Unhealthy"/>
    <s v="Cool"/>
    <s v="High Humidity"/>
    <s v="Moderate Wind"/>
  </r>
  <r>
    <s v="AQ100635"/>
    <d v="2025-07-25T00:00:00"/>
    <x v="7"/>
    <x v="2"/>
    <s v="Station-07"/>
    <n v="51.6"/>
    <n v="55.1"/>
    <n v="25.2"/>
    <n v="25.7"/>
    <n v="2.11"/>
    <n v="37"/>
    <n v="18.8"/>
    <n v="82.4"/>
    <n v="0.6"/>
    <n v="226"/>
    <x v="1"/>
    <s v="Moderate"/>
    <s v="Cool"/>
    <s v="High Humidity"/>
    <s v="Low Wind"/>
  </r>
  <r>
    <s v="AQ100636"/>
    <d v="2025-01-26T00:00:00"/>
    <x v="13"/>
    <x v="4"/>
    <s v="Station-15"/>
    <n v="34.6"/>
    <n v="46.3"/>
    <n v="84.2"/>
    <n v="6.6"/>
    <n v="0.03"/>
    <n v="36.6"/>
    <n v="26.5"/>
    <n v="58.4"/>
    <n v="2.2000000000000002"/>
    <n v="175"/>
    <x v="2"/>
    <s v="Good"/>
    <s v="Normal"/>
    <s v="Normal Humidity"/>
    <s v="Moderate Wind"/>
  </r>
  <r>
    <s v="AQ100637"/>
    <d v="2025-02-08T00:00:00"/>
    <x v="13"/>
    <x v="4"/>
    <s v="Station-02"/>
    <n v="58.6"/>
    <n v="90.3"/>
    <n v="16.399999999999999"/>
    <n v="14.6"/>
    <n v="0.33"/>
    <n v="47.8"/>
    <n v="25.8"/>
    <n v="91.3"/>
    <n v="2.9"/>
    <n v="206"/>
    <x v="1"/>
    <s v="Moderate"/>
    <s v="Normal"/>
    <s v="High Humidity"/>
    <s v="Moderate Wind"/>
  </r>
  <r>
    <s v="AQ100638"/>
    <d v="2025-02-04T00:00:00"/>
    <x v="6"/>
    <x v="1"/>
    <s v="Station-06"/>
    <n v="58"/>
    <n v="121.2"/>
    <n v="28.5"/>
    <n v="6.1"/>
    <n v="0.46"/>
    <n v="33.200000000000003"/>
    <n v="31.5"/>
    <n v="55.4"/>
    <n v="2.8"/>
    <n v="225"/>
    <x v="1"/>
    <s v="Unhealthy"/>
    <s v="Hot"/>
    <s v="Normal Humidity"/>
    <s v="Moderate Wind"/>
  </r>
  <r>
    <s v="AQ100639"/>
    <d v="2025-08-21T00:00:00"/>
    <x v="1"/>
    <x v="1"/>
    <s v="Station-05"/>
    <n v="42.9"/>
    <n v="89.7"/>
    <n v="44.7"/>
    <n v="7.7"/>
    <n v="0.41"/>
    <n v="19.7"/>
    <n v="21.3"/>
    <n v="70"/>
    <n v="2.9"/>
    <n v="187"/>
    <x v="2"/>
    <s v="Moderate"/>
    <s v="Normal"/>
    <s v="High Humidity"/>
    <s v="Moderate Wind"/>
  </r>
  <r>
    <s v="AQ100640"/>
    <d v="2025-08-05T00:00:00"/>
    <x v="6"/>
    <x v="1"/>
    <s v="Station-07"/>
    <n v="34"/>
    <n v="75.900000000000006"/>
    <n v="21.4"/>
    <n v="16.399999999999999"/>
    <n v="0.69"/>
    <n v="31.1"/>
    <n v="29.8"/>
    <n v="82.7"/>
    <n v="3.7"/>
    <n v="164"/>
    <x v="2"/>
    <s v="Moderate"/>
    <s v="Normal"/>
    <s v="High Humidity"/>
    <s v="Moderate Wind"/>
  </r>
  <r>
    <s v="AQ100641"/>
    <d v="2025-12-02T00:00:00"/>
    <x v="4"/>
    <x v="3"/>
    <s v="Station-02"/>
    <n v="22"/>
    <n v="32.299999999999997"/>
    <n v="10.5"/>
    <n v="12.3"/>
    <n v="1.03"/>
    <n v="7.3"/>
    <n v="10.7"/>
    <n v="72.2"/>
    <n v="1.2"/>
    <n v="102"/>
    <x v="2"/>
    <s v="Good"/>
    <s v="Cool"/>
    <s v="High Humidity"/>
    <s v="Low Wind"/>
  </r>
  <r>
    <s v="AQ100642"/>
    <d v="2025-01-05T00:00:00"/>
    <x v="0"/>
    <x v="0"/>
    <s v="Station-11"/>
    <n v="24.7"/>
    <n v="139.80000000000001"/>
    <n v="26.7"/>
    <n v="23.8"/>
    <n v="0.73"/>
    <n v="44.8"/>
    <n v="15.1"/>
    <n v="88.7"/>
    <n v="2.9"/>
    <n v="207"/>
    <x v="1"/>
    <s v="Unhealthy"/>
    <s v="Cool"/>
    <s v="High Humidity"/>
    <s v="Moderate Wind"/>
  </r>
  <r>
    <s v="AQ100643"/>
    <d v="2025-11-03T00:00:00"/>
    <x v="8"/>
    <x v="2"/>
    <s v="Station-02"/>
    <n v="20.5"/>
    <n v="24.8"/>
    <n v="38.200000000000003"/>
    <n v="5.5"/>
    <n v="0.38"/>
    <n v="60.2"/>
    <n v="33.299999999999997"/>
    <n v="48.3"/>
    <n v="4.7"/>
    <n v="120"/>
    <x v="2"/>
    <s v="Good"/>
    <s v="Hot"/>
    <s v="Normal Humidity"/>
    <s v="Moderate Wind"/>
  </r>
  <r>
    <s v="AQ100644"/>
    <d v="2025-11-03T00:00:00"/>
    <x v="0"/>
    <x v="0"/>
    <s v="Station-05"/>
    <n v="87.3"/>
    <n v="31.2"/>
    <n v="30.6"/>
    <n v="30.6"/>
    <n v="0.81"/>
    <n v="35.1"/>
    <n v="36.1"/>
    <n v="63.7"/>
    <n v="2.1"/>
    <n v="242"/>
    <x v="1"/>
    <s v="Good"/>
    <s v="Hot"/>
    <s v="High Humidity"/>
    <s v="Moderate Wind"/>
  </r>
  <r>
    <s v="AQ100645"/>
    <d v="2025-02-26T00:00:00"/>
    <x v="10"/>
    <x v="3"/>
    <s v="Station-08"/>
    <n v="58"/>
    <n v="146.1"/>
    <n v="11.7"/>
    <n v="17.399999999999999"/>
    <n v="0.56000000000000005"/>
    <n v="16.7"/>
    <n v="29"/>
    <n v="70.599999999999994"/>
    <n v="1.5"/>
    <n v="231"/>
    <x v="1"/>
    <s v="Unhealthy"/>
    <s v="Normal"/>
    <s v="High Humidity"/>
    <s v="Low Wind"/>
  </r>
  <r>
    <s v="AQ100646"/>
    <d v="2025-03-11T00:00:00"/>
    <x v="15"/>
    <x v="3"/>
    <s v="Station-07"/>
    <n v="77.2"/>
    <n v="85.1"/>
    <n v="8"/>
    <n v="5.5"/>
    <n v="1.19"/>
    <n v="36.5"/>
    <n v="19.2"/>
    <n v="59.1"/>
    <n v="2.6"/>
    <n v="235"/>
    <x v="1"/>
    <s v="Moderate"/>
    <s v="Cool"/>
    <s v="Normal Humidity"/>
    <s v="Moderate Wind"/>
  </r>
  <r>
    <s v="AQ100647"/>
    <d v="2025-10-27T00:00:00"/>
    <x v="11"/>
    <x v="0"/>
    <s v="Station-03"/>
    <n v="54.6"/>
    <n v="22.1"/>
    <n v="43.4"/>
    <n v="32.5"/>
    <n v="0.48"/>
    <n v="44.1"/>
    <n v="19.899999999999999"/>
    <n v="75.599999999999994"/>
    <n v="4.4000000000000004"/>
    <n v="191"/>
    <x v="2"/>
    <s v="Good"/>
    <s v="Cool"/>
    <s v="High Humidity"/>
    <s v="Moderate Wind"/>
  </r>
  <r>
    <s v="AQ100648"/>
    <d v="2025-10-26T00:00:00"/>
    <x v="8"/>
    <x v="2"/>
    <s v="Station-06"/>
    <n v="101.5"/>
    <n v="31.4"/>
    <n v="18.3"/>
    <n v="7.1"/>
    <n v="0.31"/>
    <n v="33.9"/>
    <n v="25.1"/>
    <n v="41.1"/>
    <n v="0.1"/>
    <n v="225"/>
    <x v="1"/>
    <s v="Good"/>
    <s v="Normal"/>
    <s v="Normal Humidity"/>
    <s v="Low Wind"/>
  </r>
  <r>
    <s v="AQ100649"/>
    <d v="2025-10-27T00:00:00"/>
    <x v="8"/>
    <x v="2"/>
    <s v="Station-11"/>
    <n v="92.5"/>
    <n v="159.5"/>
    <n v="18"/>
    <n v="7.6"/>
    <n v="1.36"/>
    <n v="38.9"/>
    <n v="30.6"/>
    <n v="50.4"/>
    <n v="3.1"/>
    <n v="323"/>
    <x v="0"/>
    <s v="VeryUnhealthy"/>
    <s v="Hot"/>
    <s v="Normal Humidity"/>
    <s v="Moderate Wind"/>
  </r>
  <r>
    <s v="AQ100650"/>
    <d v="2025-05-10T00:00:00"/>
    <x v="13"/>
    <x v="4"/>
    <s v="Station-01"/>
    <n v="29.3"/>
    <n v="158.69999999999999"/>
    <n v="46.8"/>
    <n v="7.3"/>
    <n v="1.93"/>
    <n v="16.3"/>
    <n v="27.9"/>
    <n v="75.5"/>
    <n v="0.7"/>
    <n v="248"/>
    <x v="1"/>
    <s v="VeryUnhealthy"/>
    <s v="Normal"/>
    <s v="High Humidity"/>
    <s v="Low Wind"/>
  </r>
  <r>
    <s v="AQ100651"/>
    <d v="2025-10-22T00:00:00"/>
    <x v="6"/>
    <x v="1"/>
    <s v="Station-13"/>
    <n v="53.1"/>
    <n v="119.7"/>
    <n v="6.8"/>
    <n v="32.6"/>
    <n v="0.54"/>
    <n v="17.399999999999999"/>
    <n v="32.700000000000003"/>
    <n v="58.9"/>
    <n v="1.6"/>
    <n v="212"/>
    <x v="1"/>
    <s v="Unhealthy"/>
    <s v="Hot"/>
    <s v="Normal Humidity"/>
    <s v="Low Wind"/>
  </r>
  <r>
    <s v="AQ100652"/>
    <d v="2025-02-08T00:00:00"/>
    <x v="8"/>
    <x v="2"/>
    <s v="Station-09"/>
    <n v="61.9"/>
    <n v="64.2"/>
    <n v="9.3000000000000007"/>
    <n v="4.5"/>
    <n v="0.78"/>
    <n v="39.1"/>
    <n v="27.4"/>
    <n v="37.5"/>
    <n v="2.1"/>
    <n v="188"/>
    <x v="2"/>
    <s v="Moderate"/>
    <s v="Normal"/>
    <s v="Normal Humidity"/>
    <s v="Moderate Wind"/>
  </r>
  <r>
    <s v="AQ100653"/>
    <d v="2025-12-31T00:00:00"/>
    <x v="4"/>
    <x v="3"/>
    <s v="Station-12"/>
    <n v="34.9"/>
    <n v="86.5"/>
    <n v="56.2"/>
    <n v="11.1"/>
    <n v="0.69"/>
    <n v="59.5"/>
    <n v="32.299999999999997"/>
    <n v="68.900000000000006"/>
    <n v="1"/>
    <n v="209"/>
    <x v="1"/>
    <s v="Moderate"/>
    <s v="Hot"/>
    <s v="High Humidity"/>
    <s v="Low Wind"/>
  </r>
  <r>
    <s v="AQ100654"/>
    <d v="2025-05-15T00:00:00"/>
    <x v="4"/>
    <x v="3"/>
    <s v="Station-09"/>
    <n v="45.2"/>
    <n v="51.6"/>
    <n v="23.1"/>
    <n v="24.4"/>
    <n v="0.81"/>
    <n v="39.4"/>
    <n v="35.299999999999997"/>
    <n v="36.299999999999997"/>
    <n v="2.7"/>
    <n v="179"/>
    <x v="2"/>
    <s v="Moderate"/>
    <s v="Hot"/>
    <s v="Normal Humidity"/>
    <s v="Moderate Wind"/>
  </r>
  <r>
    <s v="AQ100655"/>
    <d v="2025-03-04T00:00:00"/>
    <x v="8"/>
    <x v="2"/>
    <s v="Station-15"/>
    <n v="49.8"/>
    <n v="46"/>
    <n v="19.399999999999999"/>
    <n v="11.5"/>
    <n v="0.3"/>
    <n v="29.9"/>
    <n v="24.7"/>
    <n v="34.799999999999997"/>
    <n v="0.8"/>
    <n v="154"/>
    <x v="2"/>
    <s v="Good"/>
    <s v="Normal"/>
    <s v="Normal Humidity"/>
    <s v="Low Wind"/>
  </r>
  <r>
    <s v="AQ100656"/>
    <d v="2025-01-04T00:00:00"/>
    <x v="5"/>
    <x v="4"/>
    <s v="Station-06"/>
    <n v="58.9"/>
    <n v="142.69999999999999"/>
    <n v="41"/>
    <n v="7.8"/>
    <n v="0.27"/>
    <n v="9.8000000000000007"/>
    <n v="32.6"/>
    <n v="62.7"/>
    <n v="1.1000000000000001"/>
    <n v="236"/>
    <x v="1"/>
    <s v="Unhealthy"/>
    <s v="Hot"/>
    <s v="High Humidity"/>
    <s v="Low Wind"/>
  </r>
  <r>
    <s v="AQ100657"/>
    <d v="2025-10-01T00:00:00"/>
    <x v="1"/>
    <x v="1"/>
    <s v="Station-01"/>
    <n v="48.5"/>
    <n v="103"/>
    <n v="45.9"/>
    <n v="16"/>
    <n v="0.73"/>
    <n v="9.4"/>
    <n v="19.7"/>
    <n v="66"/>
    <n v="3.1"/>
    <n v="215"/>
    <x v="1"/>
    <s v="Unhealthy"/>
    <s v="Cool"/>
    <s v="High Humidity"/>
    <s v="Moderate Wind"/>
  </r>
  <r>
    <s v="AQ100658"/>
    <d v="2025-03-15T00:00:00"/>
    <x v="9"/>
    <x v="0"/>
    <s v="Station-06"/>
    <n v="48.6"/>
    <n v="76.400000000000006"/>
    <n v="16.399999999999999"/>
    <n v="10.5"/>
    <n v="1.63"/>
    <n v="100.5"/>
    <n v="29.3"/>
    <n v="69.099999999999994"/>
    <n v="3.7"/>
    <n v="234"/>
    <x v="1"/>
    <s v="Moderate"/>
    <s v="Normal"/>
    <s v="High Humidity"/>
    <s v="Moderate Wind"/>
  </r>
  <r>
    <s v="AQ100659"/>
    <d v="2025-01-03T00:00:00"/>
    <x v="15"/>
    <x v="3"/>
    <s v="Station-12"/>
    <n v="28"/>
    <n v="95.3"/>
    <n v="15.5"/>
    <n v="6.4"/>
    <n v="0.16"/>
    <n v="49"/>
    <n v="20.100000000000001"/>
    <n v="71.599999999999994"/>
    <n v="3.1"/>
    <n v="150"/>
    <x v="2"/>
    <s v="Moderate"/>
    <s v="Normal"/>
    <s v="High Humidity"/>
    <s v="Moderate Wind"/>
  </r>
  <r>
    <s v="AQ100660"/>
    <d v="2025-02-23T00:00:00"/>
    <x v="0"/>
    <x v="0"/>
    <s v="Station-01"/>
    <n v="51.9"/>
    <n v="50.8"/>
    <n v="76.2"/>
    <n v="24.3"/>
    <n v="0.65"/>
    <n v="34.9"/>
    <n v="27.8"/>
    <n v="70.7"/>
    <n v="2.7"/>
    <n v="226"/>
    <x v="1"/>
    <s v="Moderate"/>
    <s v="Normal"/>
    <s v="High Humidity"/>
    <s v="Moderate Wind"/>
  </r>
  <r>
    <s v="AQ100661"/>
    <d v="2025-06-09T00:00:00"/>
    <x v="15"/>
    <x v="3"/>
    <s v="Station-09"/>
    <n v="85"/>
    <n v="18.8"/>
    <n v="19.5"/>
    <n v="7.8"/>
    <n v="0.41"/>
    <n v="25.9"/>
    <n v="19.399999999999999"/>
    <n v="81.3"/>
    <n v="2.2999999999999998"/>
    <n v="191"/>
    <x v="2"/>
    <s v="Good"/>
    <s v="Cool"/>
    <s v="High Humidity"/>
    <s v="Moderate Wind"/>
  </r>
  <r>
    <s v="AQ100662"/>
    <d v="2025-12-23T00:00:00"/>
    <x v="10"/>
    <x v="3"/>
    <s v="Station-05"/>
    <n v="105.7"/>
    <n v="106.3"/>
    <n v="13.8"/>
    <n v="8"/>
    <n v="1.52"/>
    <n v="19.7"/>
    <n v="24.3"/>
    <n v="67"/>
    <n v="2.7"/>
    <n v="302"/>
    <x v="0"/>
    <s v="Unhealthy"/>
    <s v="Normal"/>
    <s v="High Humidity"/>
    <s v="Moderate Wind"/>
  </r>
  <r>
    <s v="AQ100663"/>
    <d v="2025-08-03T00:00:00"/>
    <x v="7"/>
    <x v="2"/>
    <s v="Station-12"/>
    <n v="16.100000000000001"/>
    <n v="62.7"/>
    <n v="33.5"/>
    <n v="12.8"/>
    <n v="0.19"/>
    <n v="33.700000000000003"/>
    <n v="29.6"/>
    <n v="53.2"/>
    <n v="2.2999999999999998"/>
    <n v="122"/>
    <x v="2"/>
    <s v="Moderate"/>
    <s v="Normal"/>
    <s v="Normal Humidity"/>
    <s v="Moderate Wind"/>
  </r>
  <r>
    <s v="AQ100664"/>
    <d v="2025-06-08T00:00:00"/>
    <x v="9"/>
    <x v="0"/>
    <s v="Station-12"/>
    <n v="46.8"/>
    <n v="126.8"/>
    <n v="22.1"/>
    <n v="29"/>
    <n v="1.1000000000000001"/>
    <n v="38.4"/>
    <n v="24"/>
    <n v="65.099999999999994"/>
    <n v="2.5"/>
    <n v="240"/>
    <x v="1"/>
    <s v="Unhealthy"/>
    <s v="Normal"/>
    <s v="High Humidity"/>
    <s v="Moderate Wind"/>
  </r>
  <r>
    <s v="AQ100665"/>
    <d v="2025-07-18T00:00:00"/>
    <x v="4"/>
    <x v="3"/>
    <s v="Station-02"/>
    <n v="26"/>
    <n v="125.4"/>
    <n v="7.4"/>
    <n v="3.5"/>
    <n v="1.29"/>
    <n v="26.5"/>
    <n v="34.700000000000003"/>
    <n v="47.6"/>
    <n v="3.1"/>
    <n v="176"/>
    <x v="2"/>
    <s v="Unhealthy"/>
    <s v="Hot"/>
    <s v="Normal Humidity"/>
    <s v="Moderate Wind"/>
  </r>
  <r>
    <s v="AQ100666"/>
    <d v="2025-07-20T00:00:00"/>
    <x v="15"/>
    <x v="3"/>
    <s v="Station-08"/>
    <n v="38.1"/>
    <n v="177.5"/>
    <n v="24.2"/>
    <n v="3.5"/>
    <n v="0.55000000000000004"/>
    <n v="56.7"/>
    <n v="33.200000000000003"/>
    <n v="27.3"/>
    <n v="3.4"/>
    <n v="237"/>
    <x v="1"/>
    <s v="VeryUnhealthy"/>
    <s v="Hot"/>
    <s v="Low Humidity"/>
    <s v="Moderate Wind"/>
  </r>
  <r>
    <s v="AQ100667"/>
    <d v="2025-03-02T00:00:00"/>
    <x v="13"/>
    <x v="4"/>
    <s v="Station-08"/>
    <n v="63.3"/>
    <n v="21.2"/>
    <n v="23.2"/>
    <n v="16.899999999999999"/>
    <n v="0.62"/>
    <n v="12.2"/>
    <n v="27.6"/>
    <n v="54.1"/>
    <n v="0.8"/>
    <n v="166"/>
    <x v="2"/>
    <s v="Good"/>
    <s v="Normal"/>
    <s v="Normal Humidity"/>
    <s v="Low Wind"/>
  </r>
  <r>
    <s v="AQ100668"/>
    <d v="2025-01-21T00:00:00"/>
    <x v="3"/>
    <x v="2"/>
    <s v="Station-03"/>
    <n v="22.7"/>
    <n v="87.3"/>
    <n v="20"/>
    <n v="5.3"/>
    <n v="0.44"/>
    <n v="56.3"/>
    <n v="26.1"/>
    <n v="86.2"/>
    <n v="1.1000000000000001"/>
    <n v="149"/>
    <x v="2"/>
    <s v="Moderate"/>
    <s v="Normal"/>
    <s v="High Humidity"/>
    <s v="Low Wind"/>
  </r>
  <r>
    <s v="AQ100669"/>
    <d v="2025-02-27T00:00:00"/>
    <x v="13"/>
    <x v="4"/>
    <s v="Station-01"/>
    <n v="31.8"/>
    <n v="110.9"/>
    <n v="29.1"/>
    <n v="17.899999999999999"/>
    <n v="0.35"/>
    <n v="27.9"/>
    <n v="29.5"/>
    <n v="49"/>
    <n v="0.1"/>
    <n v="180"/>
    <x v="2"/>
    <s v="Unhealthy"/>
    <s v="Normal"/>
    <s v="Normal Humidity"/>
    <s v="Low Wind"/>
  </r>
  <r>
    <s v="AQ100670"/>
    <d v="2025-01-22T00:00:00"/>
    <x v="8"/>
    <x v="2"/>
    <s v="Station-02"/>
    <n v="34.5"/>
    <n v="87.6"/>
    <n v="45.1"/>
    <n v="4.2"/>
    <n v="1.08"/>
    <n v="41.8"/>
    <n v="26.4"/>
    <n v="54.3"/>
    <n v="3.3"/>
    <n v="197"/>
    <x v="2"/>
    <s v="Moderate"/>
    <s v="Normal"/>
    <s v="Normal Humidity"/>
    <s v="Moderate Wind"/>
  </r>
  <r>
    <s v="AQ100671"/>
    <d v="2025-09-24T00:00:00"/>
    <x v="0"/>
    <x v="0"/>
    <s v="Station-04"/>
    <n v="45.8"/>
    <n v="115.3"/>
    <n v="10.8"/>
    <n v="5.7"/>
    <n v="0.3"/>
    <n v="65.3"/>
    <n v="24.3"/>
    <n v="61.3"/>
    <n v="2.2000000000000002"/>
    <n v="198"/>
    <x v="2"/>
    <s v="Unhealthy"/>
    <s v="Normal"/>
    <s v="High Humidity"/>
    <s v="Moderate Wind"/>
  </r>
  <r>
    <s v="AQ100672"/>
    <d v="2025-08-08T00:00:00"/>
    <x v="15"/>
    <x v="3"/>
    <s v="Station-08"/>
    <n v="53.4"/>
    <n v="77.099999999999994"/>
    <n v="54.4"/>
    <n v="13"/>
    <n v="0.17"/>
    <n v="24.1"/>
    <n v="23.9"/>
    <n v="70.7"/>
    <n v="1.8"/>
    <n v="203"/>
    <x v="1"/>
    <s v="Moderate"/>
    <s v="Normal"/>
    <s v="High Humidity"/>
    <s v="Low Wind"/>
  </r>
  <r>
    <s v="AQ100673"/>
    <d v="2025-09-27T00:00:00"/>
    <x v="0"/>
    <x v="0"/>
    <s v="Station-07"/>
    <n v="77.400000000000006"/>
    <n v="107.3"/>
    <n v="33.9"/>
    <n v="4.8"/>
    <n v="0.97"/>
    <n v="15"/>
    <n v="18.600000000000001"/>
    <n v="78.900000000000006"/>
    <n v="1.8"/>
    <n v="255"/>
    <x v="1"/>
    <s v="Unhealthy"/>
    <s v="Cool"/>
    <s v="High Humidity"/>
    <s v="Low Wind"/>
  </r>
  <r>
    <s v="AQ100674"/>
    <d v="2025-05-04T00:00:00"/>
    <x v="0"/>
    <x v="0"/>
    <s v="Station-08"/>
    <n v="17"/>
    <n v="76.900000000000006"/>
    <n v="43.4"/>
    <n v="8.8000000000000007"/>
    <n v="1.56"/>
    <n v="85.1"/>
    <n v="25.4"/>
    <n v="86"/>
    <n v="1.9"/>
    <n v="195"/>
    <x v="2"/>
    <s v="Moderate"/>
    <s v="Normal"/>
    <s v="High Humidity"/>
    <s v="Low Wind"/>
  </r>
  <r>
    <s v="AQ100675"/>
    <d v="2025-07-05T00:00:00"/>
    <x v="11"/>
    <x v="0"/>
    <s v="Station-14"/>
    <n v="90.8"/>
    <n v="86.8"/>
    <n v="33.700000000000003"/>
    <n v="17.100000000000001"/>
    <n v="0.26"/>
    <n v="25.9"/>
    <n v="32.4"/>
    <n v="75.400000000000006"/>
    <n v="3"/>
    <n v="259"/>
    <x v="1"/>
    <s v="Moderate"/>
    <s v="Hot"/>
    <s v="High Humidity"/>
    <s v="Moderate Wind"/>
  </r>
  <r>
    <s v="AQ100676"/>
    <d v="2025-04-19T00:00:00"/>
    <x v="5"/>
    <x v="4"/>
    <s v="Station-07"/>
    <n v="32.799999999999997"/>
    <n v="85.5"/>
    <n v="16.3"/>
    <n v="6.6"/>
    <n v="1.27"/>
    <n v="32.1"/>
    <n v="33.5"/>
    <n v="48.6"/>
    <n v="1.9"/>
    <n v="172"/>
    <x v="2"/>
    <s v="Moderate"/>
    <s v="Hot"/>
    <s v="Normal Humidity"/>
    <s v="Low Wind"/>
  </r>
  <r>
    <s v="AQ100677"/>
    <d v="2025-08-16T00:00:00"/>
    <x v="0"/>
    <x v="0"/>
    <s v="Station-03"/>
    <n v="44.5"/>
    <n v="105.1"/>
    <n v="41.8"/>
    <n v="3.1"/>
    <n v="0.27"/>
    <n v="92"/>
    <n v="27.8"/>
    <n v="68.900000000000006"/>
    <n v="4.0999999999999996"/>
    <n v="223"/>
    <x v="1"/>
    <s v="Unhealthy"/>
    <s v="Normal"/>
    <s v="High Humidity"/>
    <s v="Moderate Wind"/>
  </r>
  <r>
    <s v="AQ100678"/>
    <d v="2025-03-01T00:00:00"/>
    <x v="11"/>
    <x v="0"/>
    <s v="Station-09"/>
    <n v="49.6"/>
    <n v="44.2"/>
    <n v="17.399999999999999"/>
    <n v="17"/>
    <n v="0.84"/>
    <n v="53.4"/>
    <n v="29.4"/>
    <n v="76.400000000000006"/>
    <n v="3.7"/>
    <n v="179"/>
    <x v="2"/>
    <s v="Good"/>
    <s v="Normal"/>
    <s v="High Humidity"/>
    <s v="Moderate Wind"/>
  </r>
  <r>
    <s v="AQ100679"/>
    <d v="2025-01-25T00:00:00"/>
    <x v="11"/>
    <x v="0"/>
    <s v="Station-15"/>
    <n v="35.4"/>
    <n v="9.9"/>
    <n v="34.299999999999997"/>
    <n v="14.4"/>
    <n v="0.94"/>
    <n v="92.2"/>
    <n v="21.4"/>
    <n v="91.5"/>
    <n v="2.9"/>
    <n v="166"/>
    <x v="2"/>
    <s v="Good"/>
    <s v="Normal"/>
    <s v="High Humidity"/>
    <s v="Moderate Wind"/>
  </r>
  <r>
    <s v="AQ100680"/>
    <d v="2025-10-04T00:00:00"/>
    <x v="9"/>
    <x v="0"/>
    <s v="Station-06"/>
    <n v="35.6"/>
    <n v="39.6"/>
    <n v="18.3"/>
    <n v="2.9"/>
    <n v="0.32"/>
    <n v="42.1"/>
    <n v="20.100000000000001"/>
    <n v="98"/>
    <n v="1.6"/>
    <n v="126"/>
    <x v="2"/>
    <s v="Good"/>
    <s v="Normal"/>
    <s v="High Humidity"/>
    <s v="Low Wind"/>
  </r>
  <r>
    <s v="AQ100681"/>
    <d v="2025-03-18T00:00:00"/>
    <x v="15"/>
    <x v="3"/>
    <s v="Station-01"/>
    <n v="25.3"/>
    <n v="74.099999999999994"/>
    <n v="24.5"/>
    <n v="4.2"/>
    <n v="0.85"/>
    <n v="28"/>
    <n v="23.1"/>
    <n v="63.5"/>
    <n v="2.2999999999999998"/>
    <n v="145"/>
    <x v="2"/>
    <s v="Moderate"/>
    <s v="Normal"/>
    <s v="High Humidity"/>
    <s v="Moderate Wind"/>
  </r>
  <r>
    <s v="AQ100682"/>
    <d v="2025-12-10T00:00:00"/>
    <x v="9"/>
    <x v="0"/>
    <s v="Station-06"/>
    <n v="96.3"/>
    <n v="130.19999999999999"/>
    <n v="26.9"/>
    <n v="9.1999999999999993"/>
    <n v="0.39"/>
    <n v="49.7"/>
    <n v="11"/>
    <n v="75.900000000000006"/>
    <n v="2.6"/>
    <n v="299"/>
    <x v="1"/>
    <s v="Unhealthy"/>
    <s v="Cool"/>
    <s v="High Humidity"/>
    <s v="Moderate Wind"/>
  </r>
  <r>
    <s v="AQ100683"/>
    <d v="2025-04-14T00:00:00"/>
    <x v="15"/>
    <x v="3"/>
    <s v="Station-10"/>
    <n v="146.6"/>
    <n v="110.9"/>
    <n v="14.4"/>
    <n v="41.4"/>
    <n v="0.31"/>
    <n v="28.8"/>
    <n v="20.8"/>
    <n v="64.400000000000006"/>
    <n v="2.8"/>
    <n v="368"/>
    <x v="0"/>
    <s v="Unhealthy"/>
    <s v="Normal"/>
    <s v="High Humidity"/>
    <s v="Moderate Wind"/>
  </r>
  <r>
    <s v="AQ100684"/>
    <d v="2025-05-15T00:00:00"/>
    <x v="9"/>
    <x v="0"/>
    <s v="Station-05"/>
    <n v="85.1"/>
    <n v="34.9"/>
    <n v="18.7"/>
    <n v="26.9"/>
    <n v="0.25"/>
    <n v="62.3"/>
    <n v="32"/>
    <n v="75.3"/>
    <n v="2.7"/>
    <n v="227"/>
    <x v="1"/>
    <s v="Good"/>
    <s v="Hot"/>
    <s v="High Humidity"/>
    <s v="Moderate Wind"/>
  </r>
  <r>
    <s v="AQ100685"/>
    <d v="2025-10-08T00:00:00"/>
    <x v="7"/>
    <x v="2"/>
    <s v="Station-08"/>
    <n v="28.3"/>
    <n v="46.2"/>
    <n v="14.5"/>
    <n v="25.8"/>
    <n v="3.22"/>
    <n v="22.2"/>
    <n v="39.200000000000003"/>
    <n v="66"/>
    <n v="2.6"/>
    <n v="195"/>
    <x v="2"/>
    <s v="Good"/>
    <s v="Hot"/>
    <s v="High Humidity"/>
    <s v="Moderate Wind"/>
  </r>
  <r>
    <s v="AQ100686"/>
    <d v="2025-05-18T00:00:00"/>
    <x v="1"/>
    <x v="1"/>
    <s v="Station-10"/>
    <n v="24"/>
    <n v="67.599999999999994"/>
    <n v="10"/>
    <n v="10.6"/>
    <n v="0.62"/>
    <n v="14.2"/>
    <n v="18.5"/>
    <n v="66.5"/>
    <n v="2.7"/>
    <n v="120"/>
    <x v="2"/>
    <s v="Moderate"/>
    <s v="Cool"/>
    <s v="High Humidity"/>
    <s v="Moderate Wind"/>
  </r>
  <r>
    <s v="AQ100687"/>
    <d v="2025-03-16T00:00:00"/>
    <x v="1"/>
    <x v="1"/>
    <s v="Station-01"/>
    <n v="57.3"/>
    <n v="120.9"/>
    <n v="8.6"/>
    <n v="17"/>
    <n v="0.4"/>
    <n v="59.1"/>
    <n v="36.1"/>
    <n v="42.5"/>
    <n v="3.3"/>
    <n v="226"/>
    <x v="1"/>
    <s v="Unhealthy"/>
    <s v="Hot"/>
    <s v="Normal Humidity"/>
    <s v="Moderate Wind"/>
  </r>
  <r>
    <s v="AQ100688"/>
    <d v="2025-04-17T00:00:00"/>
    <x v="3"/>
    <x v="2"/>
    <s v="Station-01"/>
    <n v="88.2"/>
    <n v="90.9"/>
    <n v="52.3"/>
    <n v="18.2"/>
    <n v="1.08"/>
    <n v="52.4"/>
    <n v="27.5"/>
    <n v="58.9"/>
    <n v="2"/>
    <n v="305"/>
    <x v="0"/>
    <s v="Moderate"/>
    <s v="Normal"/>
    <s v="Normal Humidity"/>
    <s v="Moderate Wind"/>
  </r>
  <r>
    <s v="AQ100689"/>
    <d v="2025-10-11T00:00:00"/>
    <x v="14"/>
    <x v="3"/>
    <s v="Station-11"/>
    <n v="44"/>
    <n v="56.6"/>
    <n v="5.6"/>
    <n v="7.8"/>
    <n v="1.34"/>
    <n v="17.8"/>
    <n v="27.7"/>
    <n v="68.599999999999994"/>
    <n v="1.7"/>
    <n v="159"/>
    <x v="2"/>
    <s v="Moderate"/>
    <s v="Normal"/>
    <s v="High Humidity"/>
    <s v="Low Wind"/>
  </r>
  <r>
    <s v="AQ100690"/>
    <d v="2025-03-05T00:00:00"/>
    <x v="8"/>
    <x v="2"/>
    <s v="Station-11"/>
    <n v="61.8"/>
    <n v="98.1"/>
    <n v="63.5"/>
    <n v="3.6"/>
    <n v="0.42"/>
    <n v="42.3"/>
    <n v="19.8"/>
    <n v="43.3"/>
    <n v="2.5"/>
    <n v="246"/>
    <x v="1"/>
    <s v="Moderate"/>
    <s v="Cool"/>
    <s v="Normal Humidity"/>
    <s v="Moderate Wind"/>
  </r>
  <r>
    <s v="AQ100691"/>
    <d v="2025-06-17T00:00:00"/>
    <x v="7"/>
    <x v="2"/>
    <s v="Station-05"/>
    <n v="46.6"/>
    <n v="58.5"/>
    <n v="16.3"/>
    <n v="18.100000000000001"/>
    <n v="0.13"/>
    <n v="4.7"/>
    <n v="22.1"/>
    <n v="30.8"/>
    <n v="1.8"/>
    <n v="144"/>
    <x v="2"/>
    <s v="Moderate"/>
    <s v="Normal"/>
    <s v="Normal Humidity"/>
    <s v="Low Wind"/>
  </r>
  <r>
    <s v="AQ100692"/>
    <d v="2025-04-25T00:00:00"/>
    <x v="13"/>
    <x v="4"/>
    <s v="Station-13"/>
    <n v="84.9"/>
    <n v="88.7"/>
    <n v="63.5"/>
    <n v="1.9"/>
    <n v="1.23"/>
    <n v="27.4"/>
    <n v="21.6"/>
    <n v="61.5"/>
    <n v="1.7"/>
    <n v="289"/>
    <x v="1"/>
    <s v="Moderate"/>
    <s v="Normal"/>
    <s v="High Humidity"/>
    <s v="Low Wind"/>
  </r>
  <r>
    <s v="AQ100693"/>
    <d v="2025-05-26T00:00:00"/>
    <x v="7"/>
    <x v="2"/>
    <s v="Station-11"/>
    <n v="85.3"/>
    <n v="63.6"/>
    <n v="5.6"/>
    <n v="5.9"/>
    <n v="1.01"/>
    <n v="26.6"/>
    <n v="28.2"/>
    <n v="66"/>
    <n v="2.1"/>
    <n v="224"/>
    <x v="1"/>
    <s v="Moderate"/>
    <s v="Normal"/>
    <s v="High Humidity"/>
    <s v="Moderate Wind"/>
  </r>
  <r>
    <s v="AQ100694"/>
    <d v="2025-10-27T00:00:00"/>
    <x v="13"/>
    <x v="4"/>
    <s v="Station-06"/>
    <n v="110.6"/>
    <n v="42.6"/>
    <n v="4.4000000000000004"/>
    <n v="15.5"/>
    <n v="0.41"/>
    <n v="43.4"/>
    <n v="36.4"/>
    <n v="70.7"/>
    <n v="1.9"/>
    <n v="249"/>
    <x v="1"/>
    <s v="Good"/>
    <s v="Hot"/>
    <s v="High Humidity"/>
    <s v="Low Wind"/>
  </r>
  <r>
    <s v="AQ100695"/>
    <d v="2025-08-20T00:00:00"/>
    <x v="12"/>
    <x v="4"/>
    <s v="Station-03"/>
    <n v="108.1"/>
    <n v="102.9"/>
    <n v="25.6"/>
    <n v="21.6"/>
    <n v="0.6"/>
    <n v="64.2"/>
    <n v="22.9"/>
    <n v="75.099999999999994"/>
    <n v="2.5"/>
    <n v="319"/>
    <x v="0"/>
    <s v="Unhealthy"/>
    <s v="Normal"/>
    <s v="High Humidity"/>
    <s v="Moderate Wind"/>
  </r>
  <r>
    <s v="AQ100696"/>
    <d v="2025-01-31T00:00:00"/>
    <x v="14"/>
    <x v="3"/>
    <s v="Station-01"/>
    <n v="15.5"/>
    <n v="150"/>
    <n v="51.9"/>
    <n v="7.3"/>
    <n v="0.37"/>
    <n v="34.1"/>
    <n v="27.2"/>
    <n v="82.6"/>
    <n v="2.5"/>
    <n v="194"/>
    <x v="2"/>
    <s v="Unhealthy"/>
    <s v="Normal"/>
    <s v="High Humidity"/>
    <s v="Moderate Wind"/>
  </r>
  <r>
    <s v="AQ100697"/>
    <d v="2025-09-12T00:00:00"/>
    <x v="12"/>
    <x v="4"/>
    <s v="Station-04"/>
    <n v="55.2"/>
    <n v="111.9"/>
    <n v="11.6"/>
    <n v="32.299999999999997"/>
    <n v="0.5"/>
    <n v="19.3"/>
    <n v="31.5"/>
    <n v="33.9"/>
    <n v="2.2999999999999998"/>
    <n v="214"/>
    <x v="1"/>
    <s v="Unhealthy"/>
    <s v="Hot"/>
    <s v="Normal Humidity"/>
    <s v="Moderate Wind"/>
  </r>
  <r>
    <s v="AQ100698"/>
    <d v="2025-10-27T00:00:00"/>
    <x v="1"/>
    <x v="1"/>
    <s v="Station-11"/>
    <n v="46.7"/>
    <n v="40.299999999999997"/>
    <n v="43.3"/>
    <n v="8.5"/>
    <n v="0.36"/>
    <n v="36.4"/>
    <n v="28.5"/>
    <n v="69.900000000000006"/>
    <n v="2.4"/>
    <n v="167"/>
    <x v="2"/>
    <s v="Good"/>
    <s v="Normal"/>
    <s v="High Humidity"/>
    <s v="Moderate Wind"/>
  </r>
  <r>
    <s v="AQ100699"/>
    <d v="2025-08-26T00:00:00"/>
    <x v="12"/>
    <x v="4"/>
    <s v="Station-10"/>
    <n v="109.1"/>
    <n v="70.3"/>
    <n v="37.4"/>
    <n v="3.7"/>
    <n v="1.04"/>
    <n v="29.6"/>
    <n v="32.299999999999997"/>
    <n v="59.5"/>
    <n v="2.4"/>
    <n v="292"/>
    <x v="1"/>
    <s v="Moderate"/>
    <s v="Hot"/>
    <s v="Normal Humidity"/>
    <s v="Moderate Wind"/>
  </r>
  <r>
    <s v="AQ100700"/>
    <d v="2025-01-21T00:00:00"/>
    <x v="7"/>
    <x v="2"/>
    <s v="Station-10"/>
    <n v="45.7"/>
    <n v="113.8"/>
    <n v="32.799999999999997"/>
    <n v="2.9"/>
    <n v="0.96"/>
    <n v="20.6"/>
    <n v="20.9"/>
    <n v="58.2"/>
    <n v="2.2999999999999998"/>
    <n v="209"/>
    <x v="1"/>
    <s v="Unhealthy"/>
    <s v="Normal"/>
    <s v="Normal Humidity"/>
    <s v="Moderate Wind"/>
  </r>
  <r>
    <s v="AQ100701"/>
    <d v="2025-07-06T00:00:00"/>
    <x v="7"/>
    <x v="2"/>
    <s v="Station-05"/>
    <n v="46.2"/>
    <n v="98.3"/>
    <n v="17.5"/>
    <n v="22.8"/>
    <n v="0.28000000000000003"/>
    <n v="34.200000000000003"/>
    <n v="20.7"/>
    <n v="69.2"/>
    <n v="1.9"/>
    <n v="190"/>
    <x v="2"/>
    <s v="Moderate"/>
    <s v="Normal"/>
    <s v="High Humidity"/>
    <s v="Low Wind"/>
  </r>
  <r>
    <s v="AQ100702"/>
    <d v="2025-07-16T00:00:00"/>
    <x v="1"/>
    <x v="1"/>
    <s v="Station-12"/>
    <n v="10.9"/>
    <n v="69.5"/>
    <n v="40.200000000000003"/>
    <n v="6.8"/>
    <n v="0.48"/>
    <n v="49.3"/>
    <n v="23.1"/>
    <n v="45.6"/>
    <n v="1.7"/>
    <n v="134"/>
    <x v="2"/>
    <s v="Moderate"/>
    <s v="Normal"/>
    <s v="Normal Humidity"/>
    <s v="Low Wind"/>
  </r>
  <r>
    <s v="AQ100703"/>
    <d v="2025-01-11T00:00:00"/>
    <x v="7"/>
    <x v="2"/>
    <s v="Station-02"/>
    <n v="71.099999999999994"/>
    <n v="60.7"/>
    <n v="19.600000000000001"/>
    <n v="6.9"/>
    <n v="0.44"/>
    <n v="26.3"/>
    <n v="25.2"/>
    <n v="72.099999999999994"/>
    <n v="1.4"/>
    <n v="197"/>
    <x v="2"/>
    <s v="Moderate"/>
    <s v="Normal"/>
    <s v="High Humidity"/>
    <s v="Low Wind"/>
  </r>
  <r>
    <s v="AQ100704"/>
    <d v="2025-10-07T00:00:00"/>
    <x v="8"/>
    <x v="2"/>
    <s v="Station-03"/>
    <n v="10.199999999999999"/>
    <n v="16.7"/>
    <n v="17.3"/>
    <n v="17.100000000000001"/>
    <n v="1.24"/>
    <n v="7.4"/>
    <n v="35.200000000000003"/>
    <n v="84.1"/>
    <n v="1.8"/>
    <n v="87"/>
    <x v="3"/>
    <s v="Good"/>
    <s v="Hot"/>
    <s v="High Humidity"/>
    <s v="Low Wind"/>
  </r>
  <r>
    <s v="AQ100705"/>
    <d v="2025-02-23T00:00:00"/>
    <x v="1"/>
    <x v="1"/>
    <s v="Station-08"/>
    <n v="45.4"/>
    <n v="124.8"/>
    <n v="9.9"/>
    <n v="17.5"/>
    <n v="0.74"/>
    <n v="33.799999999999997"/>
    <n v="32"/>
    <n v="59.9"/>
    <n v="2.5"/>
    <n v="208"/>
    <x v="1"/>
    <s v="Unhealthy"/>
    <s v="Hot"/>
    <s v="Normal Humidity"/>
    <s v="Moderate Wind"/>
  </r>
  <r>
    <s v="AQ100706"/>
    <d v="2025-05-04T00:00:00"/>
    <x v="6"/>
    <x v="1"/>
    <s v="Station-09"/>
    <n v="27.6"/>
    <n v="92.4"/>
    <n v="30.5"/>
    <n v="6.2"/>
    <n v="1.02"/>
    <n v="21.6"/>
    <n v="43"/>
    <n v="92.6"/>
    <n v="2.1"/>
    <n v="168"/>
    <x v="2"/>
    <s v="Moderate"/>
    <s v="Hot"/>
    <s v="High Humidity"/>
    <s v="Moderate Wind"/>
  </r>
  <r>
    <s v="AQ100707"/>
    <d v="2025-04-27T00:00:00"/>
    <x v="3"/>
    <x v="2"/>
    <s v="Station-11"/>
    <n v="32.5"/>
    <n v="17"/>
    <n v="84.2"/>
    <n v="6.3"/>
    <n v="1.1399999999999999"/>
    <n v="46.9"/>
    <n v="31.7"/>
    <n v="43.4"/>
    <n v="2"/>
    <n v="184"/>
    <x v="2"/>
    <s v="Good"/>
    <s v="Hot"/>
    <s v="Normal Humidity"/>
    <s v="Moderate Wind"/>
  </r>
  <r>
    <s v="AQ100708"/>
    <d v="2025-11-16T00:00:00"/>
    <x v="15"/>
    <x v="3"/>
    <s v="Station-06"/>
    <n v="80.2"/>
    <n v="75.3"/>
    <n v="32.5"/>
    <n v="7.8"/>
    <n v="0.55000000000000004"/>
    <n v="27.2"/>
    <n v="21.2"/>
    <n v="55.4"/>
    <n v="1.8"/>
    <n v="235"/>
    <x v="1"/>
    <s v="Moderate"/>
    <s v="Normal"/>
    <s v="Normal Humidity"/>
    <s v="Low Wind"/>
  </r>
  <r>
    <s v="AQ100709"/>
    <d v="2025-12-11T00:00:00"/>
    <x v="5"/>
    <x v="4"/>
    <s v="Station-02"/>
    <n v="32.299999999999997"/>
    <n v="143.19999999999999"/>
    <n v="34.299999999999997"/>
    <n v="12.9"/>
    <n v="0.1"/>
    <n v="7.3"/>
    <n v="23"/>
    <n v="74.400000000000006"/>
    <n v="1.9"/>
    <n v="187"/>
    <x v="2"/>
    <s v="Unhealthy"/>
    <s v="Normal"/>
    <s v="High Humidity"/>
    <s v="Low Wind"/>
  </r>
  <r>
    <s v="AQ100710"/>
    <d v="2025-10-06T00:00:00"/>
    <x v="2"/>
    <x v="1"/>
    <s v="Station-01"/>
    <n v="86.2"/>
    <n v="56"/>
    <n v="25.5"/>
    <n v="6.1"/>
    <n v="0.81"/>
    <n v="31.8"/>
    <n v="24.8"/>
    <n v="72.2"/>
    <n v="2.1"/>
    <n v="234"/>
    <x v="1"/>
    <s v="Moderate"/>
    <s v="Normal"/>
    <s v="High Humidity"/>
    <s v="Moderate Wind"/>
  </r>
  <r>
    <s v="AQ100711"/>
    <d v="2025-05-10T00:00:00"/>
    <x v="14"/>
    <x v="3"/>
    <s v="Station-14"/>
    <n v="29.1"/>
    <n v="37.799999999999997"/>
    <n v="13.6"/>
    <n v="17.899999999999999"/>
    <n v="0.23"/>
    <n v="52.8"/>
    <n v="18.600000000000001"/>
    <n v="51.3"/>
    <n v="1.8"/>
    <n v="124"/>
    <x v="2"/>
    <s v="Good"/>
    <s v="Cool"/>
    <s v="Normal Humidity"/>
    <s v="Low Wind"/>
  </r>
  <r>
    <s v="AQ100712"/>
    <d v="2025-08-23T00:00:00"/>
    <x v="3"/>
    <x v="2"/>
    <s v="Station-10"/>
    <n v="35.9"/>
    <n v="49.8"/>
    <n v="38.4"/>
    <n v="8.4"/>
    <n v="1.38"/>
    <n v="94.8"/>
    <n v="29.8"/>
    <n v="54.6"/>
    <n v="0.9"/>
    <n v="204"/>
    <x v="1"/>
    <s v="Good"/>
    <s v="Normal"/>
    <s v="Normal Humidity"/>
    <s v="Low Wind"/>
  </r>
  <r>
    <s v="AQ100713"/>
    <d v="2025-08-26T00:00:00"/>
    <x v="3"/>
    <x v="2"/>
    <s v="Station-04"/>
    <n v="36.200000000000003"/>
    <n v="48.4"/>
    <n v="35.4"/>
    <n v="3.1"/>
    <n v="0.69"/>
    <n v="41.5"/>
    <n v="30.8"/>
    <n v="78.7"/>
    <n v="1.1000000000000001"/>
    <n v="156"/>
    <x v="2"/>
    <s v="Good"/>
    <s v="Hot"/>
    <s v="High Humidity"/>
    <s v="Low Wind"/>
  </r>
  <r>
    <s v="AQ100714"/>
    <d v="2025-05-12T00:00:00"/>
    <x v="10"/>
    <x v="3"/>
    <s v="Station-08"/>
    <n v="65.7"/>
    <n v="160.80000000000001"/>
    <n v="9.6999999999999993"/>
    <n v="12.4"/>
    <n v="2.4"/>
    <n v="21"/>
    <n v="25.9"/>
    <n v="33.200000000000003"/>
    <n v="1.2"/>
    <n v="296"/>
    <x v="1"/>
    <s v="VeryUnhealthy"/>
    <s v="Normal"/>
    <s v="Normal Humidity"/>
    <s v="Low Wind"/>
  </r>
  <r>
    <s v="AQ100715"/>
    <d v="2025-04-04T00:00:00"/>
    <x v="4"/>
    <x v="3"/>
    <s v="Station-15"/>
    <n v="49.7"/>
    <n v="174.9"/>
    <n v="13"/>
    <n v="3.3"/>
    <n v="0.95"/>
    <n v="5.6"/>
    <n v="34.5"/>
    <n v="67.5"/>
    <n v="3.1"/>
    <n v="232"/>
    <x v="1"/>
    <s v="VeryUnhealthy"/>
    <s v="Hot"/>
    <s v="High Humidity"/>
    <s v="Moderate Wind"/>
  </r>
  <r>
    <s v="AQ100716"/>
    <d v="2025-02-19T00:00:00"/>
    <x v="5"/>
    <x v="4"/>
    <s v="Station-13"/>
    <n v="71.7"/>
    <n v="100"/>
    <n v="31.2"/>
    <n v="7.5"/>
    <n v="0.32"/>
    <n v="25.2"/>
    <n v="22.8"/>
    <n v="75.599999999999994"/>
    <n v="3.4"/>
    <n v="229"/>
    <x v="1"/>
    <s v="Moderate"/>
    <s v="Normal"/>
    <s v="High Humidity"/>
    <s v="Moderate Wind"/>
  </r>
  <r>
    <s v="AQ100717"/>
    <d v="2025-06-16T00:00:00"/>
    <x v="4"/>
    <x v="3"/>
    <s v="Station-10"/>
    <n v="20.399999999999999"/>
    <n v="35"/>
    <n v="25.3"/>
    <n v="9.8000000000000007"/>
    <n v="0.71"/>
    <n v="28.1"/>
    <n v="22.6"/>
    <n v="28.9"/>
    <n v="1.8"/>
    <n v="113"/>
    <x v="2"/>
    <s v="Good"/>
    <s v="Normal"/>
    <s v="Low Humidity"/>
    <s v="Low Wind"/>
  </r>
  <r>
    <s v="AQ100718"/>
    <d v="2025-08-06T00:00:00"/>
    <x v="10"/>
    <x v="3"/>
    <s v="Station-06"/>
    <n v="60.6"/>
    <n v="65.8"/>
    <n v="30.3"/>
    <n v="8.3000000000000007"/>
    <n v="1.3"/>
    <n v="19.899999999999999"/>
    <n v="30.4"/>
    <n v="66.900000000000006"/>
    <n v="0.6"/>
    <n v="211"/>
    <x v="1"/>
    <s v="Moderate"/>
    <s v="Hot"/>
    <s v="High Humidity"/>
    <s v="Low Wind"/>
  </r>
  <r>
    <s v="AQ100719"/>
    <d v="2025-09-21T00:00:00"/>
    <x v="4"/>
    <x v="3"/>
    <s v="Station-03"/>
    <n v="41.3"/>
    <n v="138.9"/>
    <n v="37.5"/>
    <n v="3.8"/>
    <n v="0.82"/>
    <n v="6.7"/>
    <n v="29.3"/>
    <n v="78.2"/>
    <n v="2.1"/>
    <n v="213"/>
    <x v="1"/>
    <s v="Unhealthy"/>
    <s v="Normal"/>
    <s v="High Humidity"/>
    <s v="Moderate Wind"/>
  </r>
  <r>
    <s v="AQ100720"/>
    <d v="2025-03-16T00:00:00"/>
    <x v="13"/>
    <x v="4"/>
    <s v="Station-07"/>
    <n v="44.5"/>
    <n v="63.2"/>
    <n v="38.700000000000003"/>
    <n v="22.8"/>
    <n v="0.93"/>
    <n v="88"/>
    <n v="35.799999999999997"/>
    <n v="45.8"/>
    <n v="1.2"/>
    <n v="222"/>
    <x v="1"/>
    <s v="Moderate"/>
    <s v="Hot"/>
    <s v="Normal Humidity"/>
    <s v="Low Wind"/>
  </r>
  <r>
    <s v="AQ100721"/>
    <d v="2025-08-22T00:00:00"/>
    <x v="13"/>
    <x v="4"/>
    <s v="Station-05"/>
    <n v="69.3"/>
    <n v="178.6"/>
    <n v="22.3"/>
    <n v="7.5"/>
    <n v="0.68"/>
    <n v="6.1"/>
    <n v="36.9"/>
    <n v="58.5"/>
    <n v="0.9"/>
    <n v="270"/>
    <x v="1"/>
    <s v="VeryUnhealthy"/>
    <s v="Hot"/>
    <s v="Normal Humidity"/>
    <s v="Low Wind"/>
  </r>
  <r>
    <s v="AQ100722"/>
    <d v="2025-11-17T00:00:00"/>
    <x v="3"/>
    <x v="2"/>
    <s v="Station-04"/>
    <n v="21.7"/>
    <n v="127.7"/>
    <n v="10"/>
    <n v="2"/>
    <n v="0.32"/>
    <n v="34.9"/>
    <n v="34.9"/>
    <n v="41.6"/>
    <n v="0.4"/>
    <n v="151"/>
    <x v="2"/>
    <s v="Unhealthy"/>
    <s v="Hot"/>
    <s v="Normal Humidity"/>
    <s v="Low Wind"/>
  </r>
  <r>
    <s v="AQ100723"/>
    <d v="2025-10-09T00:00:00"/>
    <x v="14"/>
    <x v="3"/>
    <s v="Station-10"/>
    <n v="37.200000000000003"/>
    <n v="189.4"/>
    <n v="14.1"/>
    <n v="5.4"/>
    <n v="0.05"/>
    <n v="109.3"/>
    <n v="26.4"/>
    <n v="41.6"/>
    <n v="2.8"/>
    <n v="248"/>
    <x v="1"/>
    <s v="VeryUnhealthy"/>
    <s v="Normal"/>
    <s v="Normal Humidity"/>
    <s v="Moderate Wind"/>
  </r>
  <r>
    <s v="AQ100724"/>
    <d v="2025-11-17T00:00:00"/>
    <x v="1"/>
    <x v="1"/>
    <s v="Station-08"/>
    <n v="28.1"/>
    <n v="31.9"/>
    <n v="7.9"/>
    <n v="8.5"/>
    <n v="0.34"/>
    <n v="39.9"/>
    <n v="23.4"/>
    <n v="63.1"/>
    <n v="1.8"/>
    <n v="104"/>
    <x v="2"/>
    <s v="Good"/>
    <s v="Normal"/>
    <s v="High Humidity"/>
    <s v="Low Wind"/>
  </r>
  <r>
    <s v="AQ100725"/>
    <d v="2025-10-18T00:00:00"/>
    <x v="4"/>
    <x v="3"/>
    <s v="Station-08"/>
    <n v="76.2"/>
    <n v="97.3"/>
    <n v="8.3000000000000007"/>
    <n v="19.899999999999999"/>
    <n v="0.94"/>
    <n v="81.400000000000006"/>
    <n v="21.3"/>
    <n v="66.599999999999994"/>
    <n v="2.2000000000000002"/>
    <n v="266"/>
    <x v="1"/>
    <s v="Moderate"/>
    <s v="Normal"/>
    <s v="High Humidity"/>
    <s v="Moderate Wind"/>
  </r>
  <r>
    <s v="AQ100726"/>
    <d v="2025-06-30T00:00:00"/>
    <x v="7"/>
    <x v="2"/>
    <s v="Station-08"/>
    <n v="73.099999999999994"/>
    <n v="185.4"/>
    <n v="48.6"/>
    <n v="15.5"/>
    <n v="0.59"/>
    <n v="36.799999999999997"/>
    <n v="25.2"/>
    <n v="45.6"/>
    <n v="3.8"/>
    <n v="319"/>
    <x v="0"/>
    <s v="VeryUnhealthy"/>
    <s v="Normal"/>
    <s v="Normal Humidity"/>
    <s v="Moderate Wind"/>
  </r>
  <r>
    <s v="AQ100727"/>
    <d v="2025-12-29T00:00:00"/>
    <x v="0"/>
    <x v="0"/>
    <s v="Station-01"/>
    <n v="16.3"/>
    <n v="73"/>
    <n v="40.299999999999997"/>
    <n v="2.1"/>
    <n v="0.93"/>
    <n v="14.8"/>
    <n v="25.1"/>
    <n v="45"/>
    <n v="0.7"/>
    <n v="137"/>
    <x v="2"/>
    <s v="Moderate"/>
    <s v="Normal"/>
    <s v="Normal Humidity"/>
    <s v="Low Wind"/>
  </r>
  <r>
    <s v="AQ100728"/>
    <d v="2025-09-09T00:00:00"/>
    <x v="7"/>
    <x v="2"/>
    <s v="Station-02"/>
    <n v="32"/>
    <n v="136.30000000000001"/>
    <n v="25"/>
    <n v="9.4"/>
    <n v="1.54"/>
    <n v="71"/>
    <n v="32"/>
    <n v="63.9"/>
    <n v="1.6"/>
    <n v="237"/>
    <x v="1"/>
    <s v="Unhealthy"/>
    <s v="Hot"/>
    <s v="High Humidity"/>
    <s v="Low Wind"/>
  </r>
  <r>
    <s v="AQ100729"/>
    <d v="2025-06-18T00:00:00"/>
    <x v="15"/>
    <x v="3"/>
    <s v="Station-06"/>
    <n v="35.299999999999997"/>
    <n v="112.5"/>
    <n v="29.4"/>
    <n v="1.6"/>
    <n v="0.4"/>
    <n v="29.1"/>
    <n v="34.299999999999997"/>
    <n v="76"/>
    <n v="2.7"/>
    <n v="177"/>
    <x v="2"/>
    <s v="Unhealthy"/>
    <s v="Hot"/>
    <s v="High Humidity"/>
    <s v="Moderate Wind"/>
  </r>
  <r>
    <s v="AQ100730"/>
    <d v="2025-09-23T00:00:00"/>
    <x v="11"/>
    <x v="0"/>
    <s v="Station-15"/>
    <n v="19.3"/>
    <n v="26.2"/>
    <n v="21"/>
    <n v="25.7"/>
    <n v="0.11"/>
    <n v="77.5"/>
    <n v="22.4"/>
    <n v="30.3"/>
    <n v="2.8"/>
    <n v="120"/>
    <x v="2"/>
    <s v="Good"/>
    <s v="Normal"/>
    <s v="Normal Humidity"/>
    <s v="Moderate Wind"/>
  </r>
  <r>
    <s v="AQ100731"/>
    <d v="2025-12-10T00:00:00"/>
    <x v="12"/>
    <x v="4"/>
    <s v="Station-13"/>
    <n v="31.6"/>
    <n v="42.5"/>
    <n v="14.6"/>
    <n v="18.600000000000001"/>
    <n v="2.12"/>
    <n v="20"/>
    <n v="31.3"/>
    <n v="67.2"/>
    <n v="2.9"/>
    <n v="165"/>
    <x v="2"/>
    <s v="Good"/>
    <s v="Hot"/>
    <s v="High Humidity"/>
    <s v="Moderate Wind"/>
  </r>
  <r>
    <s v="AQ100732"/>
    <d v="2025-05-06T00:00:00"/>
    <x v="15"/>
    <x v="3"/>
    <s v="Station-13"/>
    <n v="41.6"/>
    <n v="47.8"/>
    <n v="94.6"/>
    <n v="17.7"/>
    <n v="0.81"/>
    <n v="37.9"/>
    <n v="26.1"/>
    <n v="62.3"/>
    <n v="0.9"/>
    <n v="223"/>
    <x v="1"/>
    <s v="Good"/>
    <s v="Normal"/>
    <s v="High Humidity"/>
    <s v="Low Wind"/>
  </r>
  <r>
    <s v="AQ100733"/>
    <d v="2025-01-05T00:00:00"/>
    <x v="12"/>
    <x v="4"/>
    <s v="Station-15"/>
    <n v="122.4"/>
    <n v="70.8"/>
    <n v="49.8"/>
    <n v="16"/>
    <n v="0.51"/>
    <n v="27.7"/>
    <n v="31.7"/>
    <n v="63.6"/>
    <n v="3.9"/>
    <n v="318"/>
    <x v="0"/>
    <s v="Moderate"/>
    <s v="Hot"/>
    <s v="High Humidity"/>
    <s v="Moderate Wind"/>
  </r>
  <r>
    <s v="AQ100734"/>
    <d v="2025-02-26T00:00:00"/>
    <x v="0"/>
    <x v="0"/>
    <s v="Station-13"/>
    <n v="64.900000000000006"/>
    <n v="101"/>
    <n v="50"/>
    <n v="6.1"/>
    <n v="1.01"/>
    <n v="4.5999999999999996"/>
    <n v="22.4"/>
    <n v="65.8"/>
    <n v="0.1"/>
    <n v="241"/>
    <x v="1"/>
    <s v="Unhealthy"/>
    <s v="Normal"/>
    <s v="High Humidity"/>
    <s v="Low Wind"/>
  </r>
  <r>
    <s v="AQ100735"/>
    <d v="2025-09-24T00:00:00"/>
    <x v="15"/>
    <x v="3"/>
    <s v="Station-13"/>
    <n v="40.1"/>
    <n v="72.599999999999994"/>
    <n v="37.700000000000003"/>
    <n v="30.9"/>
    <n v="0.1"/>
    <n v="40.9"/>
    <n v="27.6"/>
    <n v="79.400000000000006"/>
    <n v="2.2999999999999998"/>
    <n v="184"/>
    <x v="2"/>
    <s v="Moderate"/>
    <s v="Normal"/>
    <s v="High Humidity"/>
    <s v="Moderate Wind"/>
  </r>
  <r>
    <s v="AQ100736"/>
    <d v="2025-06-06T00:00:00"/>
    <x v="6"/>
    <x v="1"/>
    <s v="Station-08"/>
    <n v="102.5"/>
    <n v="67.3"/>
    <n v="19.899999999999999"/>
    <n v="9.5"/>
    <n v="0.28999999999999998"/>
    <n v="53.1"/>
    <n v="38.799999999999997"/>
    <n v="77.7"/>
    <n v="2.5"/>
    <n v="261"/>
    <x v="1"/>
    <s v="Moderate"/>
    <s v="Hot"/>
    <s v="High Humidity"/>
    <s v="Moderate Wind"/>
  </r>
  <r>
    <s v="AQ100737"/>
    <d v="2025-01-12T00:00:00"/>
    <x v="10"/>
    <x v="3"/>
    <s v="Station-03"/>
    <n v="31.1"/>
    <n v="135"/>
    <n v="41"/>
    <n v="9"/>
    <n v="0.17"/>
    <n v="20.9"/>
    <n v="22.8"/>
    <n v="79.099999999999994"/>
    <n v="4.9000000000000004"/>
    <n v="190"/>
    <x v="2"/>
    <s v="Unhealthy"/>
    <s v="Normal"/>
    <s v="High Humidity"/>
    <s v="Moderate Wind"/>
  </r>
  <r>
    <s v="AQ100738"/>
    <d v="2025-07-03T00:00:00"/>
    <x v="11"/>
    <x v="0"/>
    <s v="Station-06"/>
    <n v="32.1"/>
    <n v="214.6"/>
    <n v="30.6"/>
    <n v="3.5"/>
    <n v="0.47"/>
    <n v="12.8"/>
    <n v="21.3"/>
    <n v="64.8"/>
    <n v="2"/>
    <n v="235"/>
    <x v="1"/>
    <s v="VeryUnhealthy"/>
    <s v="Normal"/>
    <s v="High Humidity"/>
    <s v="Moderate Wind"/>
  </r>
  <r>
    <s v="AQ100739"/>
    <d v="2025-11-27T00:00:00"/>
    <x v="5"/>
    <x v="4"/>
    <s v="Station-05"/>
    <n v="51.6"/>
    <n v="23.1"/>
    <n v="29.2"/>
    <n v="7.5"/>
    <n v="0.33"/>
    <n v="38.5"/>
    <n v="28.3"/>
    <n v="48.1"/>
    <n v="3.2"/>
    <n v="152"/>
    <x v="2"/>
    <s v="Good"/>
    <s v="Normal"/>
    <s v="Normal Humidity"/>
    <s v="Moderate Wind"/>
  </r>
  <r>
    <s v="AQ100740"/>
    <d v="2025-09-11T00:00:00"/>
    <x v="14"/>
    <x v="3"/>
    <s v="Station-11"/>
    <n v="66.3"/>
    <n v="186.8"/>
    <n v="52.2"/>
    <n v="23.4"/>
    <n v="0.08"/>
    <n v="20.7"/>
    <n v="25.3"/>
    <n v="46.8"/>
    <n v="3.1"/>
    <n v="297"/>
    <x v="1"/>
    <s v="VeryUnhealthy"/>
    <s v="Normal"/>
    <s v="Normal Humidity"/>
    <s v="Moderate Wind"/>
  </r>
  <r>
    <s v="AQ100741"/>
    <d v="2025-12-09T00:00:00"/>
    <x v="9"/>
    <x v="0"/>
    <s v="Station-08"/>
    <n v="23.4"/>
    <n v="82.6"/>
    <n v="14.5"/>
    <n v="2.2000000000000002"/>
    <n v="1.56"/>
    <n v="32.5"/>
    <n v="30.8"/>
    <n v="73.5"/>
    <n v="2.1"/>
    <n v="158"/>
    <x v="2"/>
    <s v="Moderate"/>
    <s v="Hot"/>
    <s v="High Humidity"/>
    <s v="Moderate Wind"/>
  </r>
  <r>
    <s v="AQ100742"/>
    <d v="2025-09-07T00:00:00"/>
    <x v="4"/>
    <x v="3"/>
    <s v="Station-15"/>
    <n v="47.4"/>
    <n v="82.9"/>
    <n v="25.8"/>
    <n v="15.9"/>
    <n v="1.01"/>
    <n v="29.2"/>
    <n v="29.6"/>
    <n v="73.8"/>
    <n v="2.4"/>
    <n v="200"/>
    <x v="2"/>
    <s v="Moderate"/>
    <s v="Normal"/>
    <s v="High Humidity"/>
    <s v="Moderate Wind"/>
  </r>
  <r>
    <s v="AQ100743"/>
    <d v="2025-01-24T00:00:00"/>
    <x v="4"/>
    <x v="3"/>
    <s v="Station-05"/>
    <n v="34.700000000000003"/>
    <n v="192.5"/>
    <n v="55.2"/>
    <n v="13.7"/>
    <n v="0.31"/>
    <n v="17.3"/>
    <n v="28.7"/>
    <n v="88.4"/>
    <n v="1.7"/>
    <n v="250"/>
    <x v="1"/>
    <s v="VeryUnhealthy"/>
    <s v="Normal"/>
    <s v="High Humidity"/>
    <s v="Low Wind"/>
  </r>
  <r>
    <s v="AQ100744"/>
    <d v="2025-01-21T00:00:00"/>
    <x v="6"/>
    <x v="1"/>
    <s v="Station-12"/>
    <n v="62"/>
    <n v="87.5"/>
    <n v="14.1"/>
    <n v="3.9"/>
    <n v="0.52"/>
    <n v="8.4"/>
    <n v="15.9"/>
    <n v="57.4"/>
    <n v="2.6"/>
    <n v="187"/>
    <x v="2"/>
    <s v="Moderate"/>
    <s v="Cool"/>
    <s v="Normal Humidity"/>
    <s v="Moderate Wind"/>
  </r>
  <r>
    <s v="AQ100745"/>
    <d v="2025-10-17T00:00:00"/>
    <x v="11"/>
    <x v="0"/>
    <s v="Station-03"/>
    <n v="97.7"/>
    <n v="108.2"/>
    <n v="45.6"/>
    <n v="8.5"/>
    <n v="0.2"/>
    <n v="76.099999999999994"/>
    <n v="26.6"/>
    <n v="69.599999999999994"/>
    <n v="2"/>
    <n v="308"/>
    <x v="0"/>
    <s v="Unhealthy"/>
    <s v="Normal"/>
    <s v="High Humidity"/>
    <s v="Moderate Wind"/>
  </r>
  <r>
    <s v="AQ100746"/>
    <d v="2025-12-03T00:00:00"/>
    <x v="0"/>
    <x v="0"/>
    <s v="Station-02"/>
    <n v="55"/>
    <n v="123.3"/>
    <n v="34.200000000000003"/>
    <n v="9.6999999999999993"/>
    <n v="0.3"/>
    <n v="8.1999999999999993"/>
    <n v="35.5"/>
    <n v="38.9"/>
    <n v="1.6"/>
    <n v="213"/>
    <x v="1"/>
    <s v="Unhealthy"/>
    <s v="Hot"/>
    <s v="Normal Humidity"/>
    <s v="Low Wind"/>
  </r>
  <r>
    <s v="AQ100747"/>
    <d v="2025-07-15T00:00:00"/>
    <x v="15"/>
    <x v="3"/>
    <s v="Station-11"/>
    <n v="78.599999999999994"/>
    <n v="28.4"/>
    <n v="15.1"/>
    <n v="28.7"/>
    <n v="0.77"/>
    <n v="38.1"/>
    <n v="33.1"/>
    <n v="78.8"/>
    <n v="2.8"/>
    <n v="213"/>
    <x v="1"/>
    <s v="Good"/>
    <s v="Hot"/>
    <s v="High Humidity"/>
    <s v="Moderate Wind"/>
  </r>
  <r>
    <s v="AQ100748"/>
    <d v="2025-03-16T00:00:00"/>
    <x v="5"/>
    <x v="4"/>
    <s v="Station-13"/>
    <n v="21.5"/>
    <n v="36.299999999999997"/>
    <n v="24.5"/>
    <n v="5.7"/>
    <n v="1.99"/>
    <n v="24.4"/>
    <n v="26.7"/>
    <n v="72.900000000000006"/>
    <n v="1.8"/>
    <n v="142"/>
    <x v="2"/>
    <s v="Good"/>
    <s v="Normal"/>
    <s v="High Humidity"/>
    <s v="Low Wind"/>
  </r>
  <r>
    <s v="AQ100749"/>
    <d v="2025-11-05T00:00:00"/>
    <x v="10"/>
    <x v="3"/>
    <s v="Station-13"/>
    <n v="16"/>
    <n v="92.8"/>
    <n v="14.4"/>
    <n v="5.5"/>
    <n v="0.62"/>
    <n v="17.899999999999999"/>
    <n v="40.799999999999997"/>
    <n v="53.2"/>
    <n v="0.2"/>
    <n v="125"/>
    <x v="2"/>
    <s v="Moderate"/>
    <s v="Hot"/>
    <s v="Normal Humidity"/>
    <s v="Low Wind"/>
  </r>
  <r>
    <s v="AQ100750"/>
    <d v="2025-03-27T00:00:00"/>
    <x v="11"/>
    <x v="0"/>
    <s v="Station-07"/>
    <n v="29.9"/>
    <n v="39.6"/>
    <n v="27.7"/>
    <n v="11.5"/>
    <n v="0.6"/>
    <n v="10.6"/>
    <n v="23.5"/>
    <n v="71.2"/>
    <n v="0.5"/>
    <n v="124"/>
    <x v="2"/>
    <s v="Good"/>
    <s v="Normal"/>
    <s v="High Humidity"/>
    <s v="Low Wind"/>
  </r>
  <r>
    <s v="AQ100751"/>
    <d v="2025-10-14T00:00:00"/>
    <x v="9"/>
    <x v="0"/>
    <s v="Station-08"/>
    <n v="113.4"/>
    <n v="86.8"/>
    <n v="5.9"/>
    <n v="16.399999999999999"/>
    <n v="0.42"/>
    <n v="58.1"/>
    <n v="21.5"/>
    <n v="78.900000000000006"/>
    <n v="1.4"/>
    <n v="291"/>
    <x v="1"/>
    <s v="Moderate"/>
    <s v="Normal"/>
    <s v="High Humidity"/>
    <s v="Low Wind"/>
  </r>
  <r>
    <s v="AQ100752"/>
    <d v="2025-02-02T00:00:00"/>
    <x v="1"/>
    <x v="1"/>
    <s v="Station-01"/>
    <n v="35.6"/>
    <n v="42.9"/>
    <n v="11.6"/>
    <n v="16.600000000000001"/>
    <n v="0.89"/>
    <n v="55.9"/>
    <n v="20.5"/>
    <n v="87.2"/>
    <n v="4"/>
    <n v="153"/>
    <x v="2"/>
    <s v="Good"/>
    <s v="Normal"/>
    <s v="High Humidity"/>
    <s v="Moderate Wind"/>
  </r>
  <r>
    <s v="AQ100753"/>
    <d v="2025-06-11T00:00:00"/>
    <x v="14"/>
    <x v="3"/>
    <s v="Station-02"/>
    <n v="40.6"/>
    <n v="47.6"/>
    <n v="33.299999999999997"/>
    <n v="13.7"/>
    <n v="0.38"/>
    <n v="34.1"/>
    <n v="23.1"/>
    <n v="62.5"/>
    <n v="3"/>
    <n v="157"/>
    <x v="2"/>
    <s v="Good"/>
    <s v="Normal"/>
    <s v="High Humidity"/>
    <s v="Moderate Wind"/>
  </r>
  <r>
    <s v="AQ100754"/>
    <d v="2025-07-01T00:00:00"/>
    <x v="9"/>
    <x v="0"/>
    <s v="Station-04"/>
    <n v="63.5"/>
    <n v="51.2"/>
    <n v="14.4"/>
    <n v="35.799999999999997"/>
    <n v="0.92"/>
    <n v="61.1"/>
    <n v="32.4"/>
    <n v="54"/>
    <n v="1.2"/>
    <n v="222"/>
    <x v="1"/>
    <s v="Moderate"/>
    <s v="Hot"/>
    <s v="Normal Humidity"/>
    <s v="Low Wind"/>
  </r>
  <r>
    <s v="AQ100755"/>
    <d v="2025-07-27T00:00:00"/>
    <x v="14"/>
    <x v="3"/>
    <s v="Station-15"/>
    <n v="69.900000000000006"/>
    <n v="182.4"/>
    <n v="8.1999999999999993"/>
    <n v="10.199999999999999"/>
    <n v="0.43"/>
    <n v="25.9"/>
    <n v="35"/>
    <n v="63.1"/>
    <n v="1.8"/>
    <n v="267"/>
    <x v="1"/>
    <s v="VeryUnhealthy"/>
    <s v="Hot"/>
    <s v="High Humidity"/>
    <s v="Low Wind"/>
  </r>
  <r>
    <s v="AQ100756"/>
    <d v="2025-12-04T00:00:00"/>
    <x v="4"/>
    <x v="3"/>
    <s v="Station-14"/>
    <n v="31.7"/>
    <n v="110.8"/>
    <n v="22.5"/>
    <n v="14.4"/>
    <n v="1.2"/>
    <n v="17.600000000000001"/>
    <n v="21.6"/>
    <n v="61.2"/>
    <n v="3.2"/>
    <n v="189"/>
    <x v="2"/>
    <s v="Unhealthy"/>
    <s v="Normal"/>
    <s v="High Humidity"/>
    <s v="Moderate Wind"/>
  </r>
  <r>
    <s v="AQ100757"/>
    <d v="2025-08-18T00:00:00"/>
    <x v="7"/>
    <x v="2"/>
    <s v="Station-14"/>
    <n v="57.6"/>
    <n v="40.5"/>
    <n v="16.399999999999999"/>
    <n v="2.8"/>
    <n v="0.13"/>
    <n v="67.8"/>
    <n v="29"/>
    <n v="98"/>
    <n v="1.8"/>
    <n v="167"/>
    <x v="2"/>
    <s v="Good"/>
    <s v="Normal"/>
    <s v="High Humidity"/>
    <s v="Low Wind"/>
  </r>
  <r>
    <s v="AQ100758"/>
    <d v="2025-08-30T00:00:00"/>
    <x v="14"/>
    <x v="3"/>
    <s v="Station-08"/>
    <n v="26"/>
    <n v="220.1"/>
    <n v="44.5"/>
    <n v="2.4"/>
    <n v="0.75"/>
    <n v="42.2"/>
    <n v="31.1"/>
    <n v="66.2"/>
    <n v="3.6"/>
    <n v="260"/>
    <x v="1"/>
    <s v="VeryUnhealthy"/>
    <s v="Hot"/>
    <s v="High Humidity"/>
    <s v="Moderate Wind"/>
  </r>
  <r>
    <s v="AQ100759"/>
    <d v="2025-10-29T00:00:00"/>
    <x v="0"/>
    <x v="0"/>
    <s v="Station-09"/>
    <n v="19.899999999999999"/>
    <n v="62.8"/>
    <n v="14.9"/>
    <n v="9.3000000000000007"/>
    <n v="0.44"/>
    <n v="44.2"/>
    <n v="20.6"/>
    <n v="57.7"/>
    <n v="3.7"/>
    <n v="122"/>
    <x v="2"/>
    <s v="Moderate"/>
    <s v="Normal"/>
    <s v="Normal Humidity"/>
    <s v="Moderate Wind"/>
  </r>
  <r>
    <s v="AQ100760"/>
    <d v="2025-06-29T00:00:00"/>
    <x v="3"/>
    <x v="2"/>
    <s v="Station-12"/>
    <n v="37.700000000000003"/>
    <n v="32.200000000000003"/>
    <n v="36.799999999999997"/>
    <n v="5.4"/>
    <n v="0.82"/>
    <n v="29.6"/>
    <n v="19.3"/>
    <n v="71.900000000000006"/>
    <n v="0.1"/>
    <n v="148"/>
    <x v="2"/>
    <s v="Good"/>
    <s v="Cool"/>
    <s v="High Humidity"/>
    <s v="Low Wind"/>
  </r>
  <r>
    <s v="AQ100761"/>
    <d v="2025-09-20T00:00:00"/>
    <x v="1"/>
    <x v="1"/>
    <s v="Station-10"/>
    <n v="65.7"/>
    <n v="121.4"/>
    <n v="72.900000000000006"/>
    <n v="4.2"/>
    <n v="0.67"/>
    <n v="48.5"/>
    <n v="25.8"/>
    <n v="51.5"/>
    <n v="2.6"/>
    <n v="284"/>
    <x v="1"/>
    <s v="Unhealthy"/>
    <s v="Normal"/>
    <s v="Normal Humidity"/>
    <s v="Moderate Wind"/>
  </r>
  <r>
    <s v="AQ100762"/>
    <d v="2025-11-10T00:00:00"/>
    <x v="2"/>
    <x v="1"/>
    <s v="Station-07"/>
    <n v="58.6"/>
    <n v="89.6"/>
    <n v="28.7"/>
    <n v="10"/>
    <n v="0.93"/>
    <n v="22.7"/>
    <n v="25.9"/>
    <n v="81.400000000000006"/>
    <n v="1.8"/>
    <n v="215"/>
    <x v="1"/>
    <s v="Moderate"/>
    <s v="Normal"/>
    <s v="High Humidity"/>
    <s v="Low Wind"/>
  </r>
  <r>
    <s v="AQ100763"/>
    <d v="2025-01-09T00:00:00"/>
    <x v="1"/>
    <x v="1"/>
    <s v="Station-06"/>
    <n v="52.6"/>
    <n v="89.6"/>
    <n v="43.5"/>
    <n v="4.9000000000000004"/>
    <n v="0.76"/>
    <n v="9"/>
    <n v="31.7"/>
    <n v="56.9"/>
    <n v="2.5"/>
    <n v="204"/>
    <x v="1"/>
    <s v="Moderate"/>
    <s v="Hot"/>
    <s v="Normal Humidity"/>
    <s v="Moderate Wind"/>
  </r>
  <r>
    <s v="AQ100764"/>
    <d v="2025-12-13T00:00:00"/>
    <x v="13"/>
    <x v="4"/>
    <s v="Station-01"/>
    <n v="11.6"/>
    <n v="174.8"/>
    <n v="24.3"/>
    <n v="22.8"/>
    <n v="0.57999999999999996"/>
    <n v="27.4"/>
    <n v="24.7"/>
    <n v="66.400000000000006"/>
    <n v="1.1000000000000001"/>
    <n v="194"/>
    <x v="2"/>
    <s v="VeryUnhealthy"/>
    <s v="Normal"/>
    <s v="High Humidity"/>
    <s v="Low Wind"/>
  </r>
  <r>
    <s v="AQ100765"/>
    <d v="2025-11-12T00:00:00"/>
    <x v="11"/>
    <x v="0"/>
    <s v="Station-04"/>
    <n v="47.3"/>
    <n v="136.30000000000001"/>
    <n v="19.2"/>
    <n v="16.5"/>
    <n v="1.82"/>
    <n v="26.8"/>
    <n v="31"/>
    <n v="50.7"/>
    <n v="3"/>
    <n v="249"/>
    <x v="1"/>
    <s v="Unhealthy"/>
    <s v="Hot"/>
    <s v="Normal Humidity"/>
    <s v="Moderate Wind"/>
  </r>
  <r>
    <s v="AQ100766"/>
    <d v="2025-07-24T00:00:00"/>
    <x v="5"/>
    <x v="4"/>
    <s v="Station-10"/>
    <n v="58"/>
    <n v="103.5"/>
    <n v="2.1"/>
    <n v="9.4"/>
    <n v="1.61"/>
    <n v="35.799999999999997"/>
    <n v="18.899999999999999"/>
    <n v="49.8"/>
    <n v="1.4"/>
    <n v="225"/>
    <x v="1"/>
    <s v="Unhealthy"/>
    <s v="Cool"/>
    <s v="Normal Humidity"/>
    <s v="Low Wind"/>
  </r>
  <r>
    <s v="AQ100767"/>
    <d v="2025-08-23T00:00:00"/>
    <x v="1"/>
    <x v="1"/>
    <s v="Station-03"/>
    <n v="47"/>
    <n v="56.9"/>
    <n v="15.8"/>
    <n v="14.1"/>
    <n v="1.32"/>
    <n v="25.5"/>
    <n v="25.5"/>
    <n v="82"/>
    <n v="2.8"/>
    <n v="179"/>
    <x v="2"/>
    <s v="Moderate"/>
    <s v="Normal"/>
    <s v="High Humidity"/>
    <s v="Moderate Wind"/>
  </r>
  <r>
    <s v="AQ100768"/>
    <d v="2025-10-17T00:00:00"/>
    <x v="2"/>
    <x v="1"/>
    <s v="Station-05"/>
    <n v="56.3"/>
    <n v="161.5"/>
    <n v="30.4"/>
    <n v="21.5"/>
    <n v="0.2"/>
    <n v="17.2"/>
    <n v="29.7"/>
    <n v="71.8"/>
    <n v="2.9"/>
    <n v="247"/>
    <x v="1"/>
    <s v="VeryUnhealthy"/>
    <s v="Normal"/>
    <s v="High Humidity"/>
    <s v="Moderate Wind"/>
  </r>
  <r>
    <s v="AQ100769"/>
    <d v="2025-08-14T00:00:00"/>
    <x v="14"/>
    <x v="3"/>
    <s v="Station-12"/>
    <n v="67.7"/>
    <n v="39.200000000000003"/>
    <n v="22.7"/>
    <n v="9.3000000000000007"/>
    <n v="1.18"/>
    <n v="43.7"/>
    <n v="19.7"/>
    <n v="75.8"/>
    <n v="2.6"/>
    <n v="208"/>
    <x v="1"/>
    <s v="Good"/>
    <s v="Cool"/>
    <s v="High Humidity"/>
    <s v="Moderate Wind"/>
  </r>
  <r>
    <s v="AQ100770"/>
    <d v="2025-12-25T00:00:00"/>
    <x v="15"/>
    <x v="3"/>
    <s v="Station-03"/>
    <n v="80.5"/>
    <n v="50.6"/>
    <n v="51.7"/>
    <n v="7.5"/>
    <n v="0.43"/>
    <n v="17.2"/>
    <n v="14.4"/>
    <n v="40.6"/>
    <n v="3.4"/>
    <n v="227"/>
    <x v="1"/>
    <s v="Moderate"/>
    <s v="Cool"/>
    <s v="Normal Humidity"/>
    <s v="Moderate Wind"/>
  </r>
  <r>
    <s v="AQ100771"/>
    <d v="2025-08-26T00:00:00"/>
    <x v="5"/>
    <x v="4"/>
    <s v="Station-10"/>
    <n v="52.3"/>
    <n v="75.5"/>
    <n v="27.1"/>
    <n v="1.5"/>
    <n v="1.55"/>
    <n v="29.1"/>
    <n v="21.4"/>
    <n v="40.9"/>
    <n v="1.8"/>
    <n v="207"/>
    <x v="1"/>
    <s v="Moderate"/>
    <s v="Normal"/>
    <s v="Normal Humidity"/>
    <s v="Low Wind"/>
  </r>
  <r>
    <s v="AQ100772"/>
    <d v="2025-01-11T00:00:00"/>
    <x v="10"/>
    <x v="3"/>
    <s v="Station-11"/>
    <n v="48.7"/>
    <n v="103.7"/>
    <n v="61.6"/>
    <n v="3.9"/>
    <n v="0.44"/>
    <n v="44.2"/>
    <n v="27.9"/>
    <n v="82.8"/>
    <n v="3.9"/>
    <n v="228"/>
    <x v="1"/>
    <s v="Unhealthy"/>
    <s v="Normal"/>
    <s v="High Humidity"/>
    <s v="Moderate Wind"/>
  </r>
  <r>
    <s v="AQ100773"/>
    <d v="2025-04-15T00:00:00"/>
    <x v="12"/>
    <x v="4"/>
    <s v="Station-11"/>
    <n v="111.5"/>
    <n v="109.1"/>
    <n v="31.5"/>
    <n v="14.9"/>
    <n v="0.27"/>
    <n v="16.600000000000001"/>
    <n v="28.8"/>
    <n v="73.099999999999994"/>
    <n v="1"/>
    <n v="299"/>
    <x v="1"/>
    <s v="Unhealthy"/>
    <s v="Normal"/>
    <s v="High Humidity"/>
    <s v="Low Wind"/>
  </r>
  <r>
    <s v="AQ100774"/>
    <d v="2025-08-02T00:00:00"/>
    <x v="14"/>
    <x v="3"/>
    <s v="Station-10"/>
    <n v="53.3"/>
    <n v="72.8"/>
    <n v="19.8"/>
    <n v="39.1"/>
    <n v="0.54"/>
    <n v="5.2"/>
    <n v="26.3"/>
    <n v="81"/>
    <n v="1.5"/>
    <n v="192"/>
    <x v="2"/>
    <s v="Moderate"/>
    <s v="Normal"/>
    <s v="High Humidity"/>
    <s v="Low Wind"/>
  </r>
  <r>
    <s v="AQ100775"/>
    <d v="2025-08-21T00:00:00"/>
    <x v="10"/>
    <x v="3"/>
    <s v="Station-14"/>
    <n v="26.8"/>
    <n v="58.3"/>
    <n v="27"/>
    <n v="0.9"/>
    <n v="0.4"/>
    <n v="19.2"/>
    <n v="35.799999999999997"/>
    <n v="53.4"/>
    <n v="3.8"/>
    <n v="122"/>
    <x v="2"/>
    <s v="Moderate"/>
    <s v="Hot"/>
    <s v="Normal Humidity"/>
    <s v="Moderate Wind"/>
  </r>
  <r>
    <s v="AQ100776"/>
    <d v="2025-09-09T00:00:00"/>
    <x v="9"/>
    <x v="0"/>
    <s v="Station-04"/>
    <n v="36.4"/>
    <n v="107.9"/>
    <n v="28.2"/>
    <n v="21.4"/>
    <n v="0.34"/>
    <n v="37.1"/>
    <n v="35.9"/>
    <n v="39"/>
    <n v="3.1"/>
    <n v="191"/>
    <x v="2"/>
    <s v="Unhealthy"/>
    <s v="Hot"/>
    <s v="Normal Humidity"/>
    <s v="Moderate Wind"/>
  </r>
  <r>
    <s v="AQ100777"/>
    <d v="2025-09-26T00:00:00"/>
    <x v="13"/>
    <x v="4"/>
    <s v="Station-09"/>
    <n v="49.2"/>
    <n v="100.9"/>
    <n v="46.3"/>
    <n v="2.5"/>
    <n v="0.59"/>
    <n v="46.6"/>
    <n v="26.7"/>
    <n v="71.3"/>
    <n v="1.2"/>
    <n v="219"/>
    <x v="1"/>
    <s v="Unhealthy"/>
    <s v="Normal"/>
    <s v="High Humidity"/>
    <s v="Low Wind"/>
  </r>
  <r>
    <s v="AQ100778"/>
    <d v="2025-07-18T00:00:00"/>
    <x v="12"/>
    <x v="4"/>
    <s v="Station-01"/>
    <n v="81.5"/>
    <n v="71.900000000000006"/>
    <n v="47.1"/>
    <n v="14.5"/>
    <n v="0.21"/>
    <n v="14.3"/>
    <n v="26.9"/>
    <n v="60.4"/>
    <n v="2.4"/>
    <n v="237"/>
    <x v="1"/>
    <s v="Moderate"/>
    <s v="Normal"/>
    <s v="High Humidity"/>
    <s v="Moderate Wind"/>
  </r>
  <r>
    <s v="AQ100779"/>
    <d v="2025-02-07T00:00:00"/>
    <x v="12"/>
    <x v="4"/>
    <s v="Station-06"/>
    <n v="41.8"/>
    <n v="31.4"/>
    <n v="7.5"/>
    <n v="14.9"/>
    <n v="0.45"/>
    <n v="21.1"/>
    <n v="14.6"/>
    <n v="62.4"/>
    <n v="2.7"/>
    <n v="124"/>
    <x v="2"/>
    <s v="Good"/>
    <s v="Cool"/>
    <s v="High Humidity"/>
    <s v="Moderate Wind"/>
  </r>
  <r>
    <s v="AQ100780"/>
    <d v="2025-04-21T00:00:00"/>
    <x v="1"/>
    <x v="1"/>
    <s v="Station-13"/>
    <n v="80.7"/>
    <n v="82.2"/>
    <n v="18.100000000000001"/>
    <n v="26.2"/>
    <n v="0.74"/>
    <n v="29.7"/>
    <n v="26"/>
    <n v="53.3"/>
    <n v="2.7"/>
    <n v="247"/>
    <x v="1"/>
    <s v="Moderate"/>
    <s v="Normal"/>
    <s v="Normal Humidity"/>
    <s v="Moderate Wind"/>
  </r>
  <r>
    <s v="AQ100781"/>
    <d v="2025-07-19T00:00:00"/>
    <x v="12"/>
    <x v="4"/>
    <s v="Station-14"/>
    <n v="39.9"/>
    <n v="103.5"/>
    <n v="3.2"/>
    <n v="20.9"/>
    <n v="1.0900000000000001"/>
    <n v="46.4"/>
    <n v="29.5"/>
    <n v="54.3"/>
    <n v="0.6"/>
    <n v="196"/>
    <x v="2"/>
    <s v="Unhealthy"/>
    <s v="Normal"/>
    <s v="Normal Humidity"/>
    <s v="Low Wind"/>
  </r>
  <r>
    <s v="AQ100782"/>
    <d v="2025-04-08T00:00:00"/>
    <x v="7"/>
    <x v="2"/>
    <s v="Station-11"/>
    <n v="38.6"/>
    <n v="78.7"/>
    <n v="31.3"/>
    <n v="31.5"/>
    <n v="1.46"/>
    <n v="20.100000000000001"/>
    <n v="32.799999999999997"/>
    <n v="90.9"/>
    <n v="1.2"/>
    <n v="206"/>
    <x v="1"/>
    <s v="Moderate"/>
    <s v="Hot"/>
    <s v="High Humidity"/>
    <s v="Low Wind"/>
  </r>
  <r>
    <s v="AQ100783"/>
    <d v="2025-06-24T00:00:00"/>
    <x v="2"/>
    <x v="1"/>
    <s v="Station-15"/>
    <n v="78.099999999999994"/>
    <n v="99.8"/>
    <n v="35.9"/>
    <n v="1.4"/>
    <n v="0.83"/>
    <n v="18.899999999999999"/>
    <n v="18.8"/>
    <n v="57.9"/>
    <n v="2.1"/>
    <n v="249"/>
    <x v="1"/>
    <s v="Moderate"/>
    <s v="Cool"/>
    <s v="Normal Humidity"/>
    <s v="Moderate Wind"/>
  </r>
  <r>
    <s v="AQ100784"/>
    <d v="2025-11-20T00:00:00"/>
    <x v="4"/>
    <x v="3"/>
    <s v="Station-02"/>
    <n v="24.2"/>
    <n v="55.1"/>
    <n v="26"/>
    <n v="18.899999999999999"/>
    <n v="0.28000000000000003"/>
    <n v="49.4"/>
    <n v="37.6"/>
    <n v="44.3"/>
    <n v="2.6"/>
    <n v="138"/>
    <x v="2"/>
    <s v="Moderate"/>
    <s v="Hot"/>
    <s v="Normal Humidity"/>
    <s v="Moderate Wind"/>
  </r>
  <r>
    <s v="AQ100785"/>
    <d v="2025-04-07T00:00:00"/>
    <x v="10"/>
    <x v="3"/>
    <s v="Station-03"/>
    <n v="95.4"/>
    <n v="97.4"/>
    <n v="20.3"/>
    <n v="35"/>
    <n v="1.25"/>
    <n v="7.8"/>
    <n v="36.1"/>
    <n v="67.900000000000006"/>
    <n v="2"/>
    <n v="291"/>
    <x v="1"/>
    <s v="Moderate"/>
    <s v="Hot"/>
    <s v="High Humidity"/>
    <s v="Moderate Wind"/>
  </r>
  <r>
    <s v="AQ100786"/>
    <d v="2025-11-18T00:00:00"/>
    <x v="12"/>
    <x v="4"/>
    <s v="Station-12"/>
    <n v="43.6"/>
    <n v="109.8"/>
    <n v="4"/>
    <n v="17"/>
    <n v="1.0900000000000001"/>
    <n v="23.2"/>
    <n v="29.3"/>
    <n v="72.5"/>
    <n v="2.4"/>
    <n v="194"/>
    <x v="2"/>
    <s v="Unhealthy"/>
    <s v="Normal"/>
    <s v="High Humidity"/>
    <s v="Moderate Wind"/>
  </r>
  <r>
    <s v="AQ100787"/>
    <d v="2025-12-23T00:00:00"/>
    <x v="9"/>
    <x v="0"/>
    <s v="Station-11"/>
    <n v="185.3"/>
    <n v="73.900000000000006"/>
    <n v="42.6"/>
    <n v="23.9"/>
    <n v="1.9"/>
    <n v="113.3"/>
    <n v="27"/>
    <n v="68.5"/>
    <n v="1.9"/>
    <n v="494"/>
    <x v="0"/>
    <s v="Moderate"/>
    <s v="Normal"/>
    <s v="High Humidity"/>
    <s v="Low Wind"/>
  </r>
  <r>
    <s v="AQ100788"/>
    <d v="2025-02-20T00:00:00"/>
    <x v="15"/>
    <x v="3"/>
    <s v="Station-06"/>
    <n v="33.799999999999997"/>
    <n v="83.6"/>
    <n v="16.5"/>
    <n v="6.5"/>
    <n v="0.64"/>
    <n v="22.2"/>
    <n v="24.4"/>
    <n v="90.5"/>
    <n v="2.7"/>
    <n v="152"/>
    <x v="2"/>
    <s v="Moderate"/>
    <s v="Normal"/>
    <s v="High Humidity"/>
    <s v="Moderate Wind"/>
  </r>
  <r>
    <s v="AQ100789"/>
    <d v="2025-11-28T00:00:00"/>
    <x v="6"/>
    <x v="1"/>
    <s v="Station-07"/>
    <n v="36.4"/>
    <n v="37.6"/>
    <n v="48.8"/>
    <n v="10.5"/>
    <n v="0.88"/>
    <n v="23.4"/>
    <n v="33.4"/>
    <n v="90.8"/>
    <n v="0.9"/>
    <n v="162"/>
    <x v="2"/>
    <s v="Good"/>
    <s v="Hot"/>
    <s v="High Humidity"/>
    <s v="Low Wind"/>
  </r>
  <r>
    <s v="AQ100790"/>
    <d v="2025-09-29T00:00:00"/>
    <x v="3"/>
    <x v="2"/>
    <s v="Station-12"/>
    <n v="34.9"/>
    <n v="71.8"/>
    <n v="37.200000000000003"/>
    <n v="7.2"/>
    <n v="1.58"/>
    <n v="27.3"/>
    <n v="31.7"/>
    <n v="80.3"/>
    <n v="2.4"/>
    <n v="189"/>
    <x v="2"/>
    <s v="Moderate"/>
    <s v="Hot"/>
    <s v="High Humidity"/>
    <s v="Moderate Wind"/>
  </r>
  <r>
    <s v="AQ100791"/>
    <d v="2025-05-23T00:00:00"/>
    <x v="10"/>
    <x v="3"/>
    <s v="Station-12"/>
    <n v="30.8"/>
    <n v="39.5"/>
    <n v="17.5"/>
    <n v="21.6"/>
    <n v="0.9"/>
    <n v="36.5"/>
    <n v="26.8"/>
    <n v="77.8"/>
    <n v="2.7"/>
    <n v="143"/>
    <x v="2"/>
    <s v="Good"/>
    <s v="Normal"/>
    <s v="High Humidity"/>
    <s v="Moderate Wind"/>
  </r>
  <r>
    <s v="AQ100792"/>
    <d v="2025-09-13T00:00:00"/>
    <x v="3"/>
    <x v="2"/>
    <s v="Station-13"/>
    <n v="24"/>
    <n v="67.5"/>
    <n v="105"/>
    <n v="13.2"/>
    <n v="1.29"/>
    <n v="42.7"/>
    <n v="23.8"/>
    <n v="69.400000000000006"/>
    <n v="2.9"/>
    <n v="227"/>
    <x v="1"/>
    <s v="Moderate"/>
    <s v="Normal"/>
    <s v="High Humidity"/>
    <s v="Moderate Wind"/>
  </r>
  <r>
    <s v="AQ100793"/>
    <d v="2025-02-13T00:00:00"/>
    <x v="1"/>
    <x v="1"/>
    <s v="Station-01"/>
    <n v="43.5"/>
    <n v="96.6"/>
    <n v="41.5"/>
    <n v="6.9"/>
    <n v="0.68"/>
    <n v="45.9"/>
    <n v="25"/>
    <n v="26.1"/>
    <n v="2.2000000000000002"/>
    <n v="208"/>
    <x v="1"/>
    <s v="Moderate"/>
    <s v="Normal"/>
    <s v="Low Humidity"/>
    <s v="Moderate Wind"/>
  </r>
  <r>
    <s v="AQ100794"/>
    <d v="2025-06-18T00:00:00"/>
    <x v="10"/>
    <x v="3"/>
    <s v="Station-03"/>
    <n v="115.2"/>
    <n v="164.1"/>
    <n v="10.7"/>
    <n v="12.9"/>
    <n v="1.1599999999999999"/>
    <n v="31.1"/>
    <n v="35.299999999999997"/>
    <n v="43.9"/>
    <n v="1.9"/>
    <n v="352"/>
    <x v="0"/>
    <s v="VeryUnhealthy"/>
    <s v="Hot"/>
    <s v="Normal Humidity"/>
    <s v="Low Wind"/>
  </r>
  <r>
    <s v="AQ100795"/>
    <d v="2025-05-16T00:00:00"/>
    <x v="15"/>
    <x v="3"/>
    <s v="Station-06"/>
    <n v="46.3"/>
    <n v="131.9"/>
    <n v="9.1999999999999993"/>
    <n v="22.4"/>
    <n v="1.29"/>
    <n v="48.4"/>
    <n v="32.200000000000003"/>
    <n v="68.3"/>
    <n v="1.1000000000000001"/>
    <n v="237"/>
    <x v="1"/>
    <s v="Unhealthy"/>
    <s v="Hot"/>
    <s v="High Humidity"/>
    <s v="Low Wind"/>
  </r>
  <r>
    <s v="AQ100796"/>
    <d v="2025-05-26T00:00:00"/>
    <x v="0"/>
    <x v="0"/>
    <s v="Station-08"/>
    <n v="25.1"/>
    <n v="102.7"/>
    <n v="19.399999999999999"/>
    <n v="10.4"/>
    <n v="0.47"/>
    <n v="30.1"/>
    <n v="30.9"/>
    <n v="54.2"/>
    <n v="3.3"/>
    <n v="155"/>
    <x v="2"/>
    <s v="Unhealthy"/>
    <s v="Hot"/>
    <s v="Normal Humidity"/>
    <s v="Moderate Wind"/>
  </r>
  <r>
    <s v="AQ100797"/>
    <d v="2025-10-26T00:00:00"/>
    <x v="13"/>
    <x v="4"/>
    <s v="Station-02"/>
    <n v="30.8"/>
    <n v="75.5"/>
    <n v="65.3"/>
    <n v="23.7"/>
    <n v="0.11"/>
    <n v="11.8"/>
    <n v="24.3"/>
    <n v="61.4"/>
    <n v="2.9"/>
    <n v="175"/>
    <x v="2"/>
    <s v="Moderate"/>
    <s v="Normal"/>
    <s v="High Humidity"/>
    <s v="Moderate Wind"/>
  </r>
  <r>
    <s v="AQ100798"/>
    <d v="2025-04-29T00:00:00"/>
    <x v="12"/>
    <x v="4"/>
    <s v="Station-12"/>
    <n v="24.6"/>
    <n v="59.1"/>
    <n v="13.3"/>
    <n v="23.2"/>
    <n v="1.46"/>
    <n v="45.4"/>
    <n v="25"/>
    <n v="51"/>
    <n v="1.4"/>
    <n v="162"/>
    <x v="2"/>
    <s v="Moderate"/>
    <s v="Normal"/>
    <s v="Normal Humidity"/>
    <s v="Low Wind"/>
  </r>
  <r>
    <s v="AQ100799"/>
    <d v="2025-07-31T00:00:00"/>
    <x v="8"/>
    <x v="2"/>
    <s v="Station-07"/>
    <n v="53.6"/>
    <n v="90.7"/>
    <n v="26.5"/>
    <n v="5.6"/>
    <n v="0.56999999999999995"/>
    <n v="40.200000000000003"/>
    <n v="29.7"/>
    <n v="33"/>
    <n v="2.9"/>
    <n v="202"/>
    <x v="1"/>
    <s v="Moderate"/>
    <s v="Normal"/>
    <s v="Normal Humidity"/>
    <s v="Moderate Wind"/>
  </r>
  <r>
    <s v="AQ100800"/>
    <d v="2025-09-19T00:00:00"/>
    <x v="12"/>
    <x v="4"/>
    <s v="Station-15"/>
    <n v="61.2"/>
    <n v="93.5"/>
    <n v="15.3"/>
    <n v="10.5"/>
    <n v="0.17"/>
    <n v="52.4"/>
    <n v="25.3"/>
    <n v="55.7"/>
    <n v="2.9"/>
    <n v="206"/>
    <x v="1"/>
    <s v="Moderate"/>
    <s v="Normal"/>
    <s v="Normal Humidity"/>
    <s v="Moderate Wind"/>
  </r>
  <r>
    <s v="AQ100801"/>
    <d v="2025-10-16T00:00:00"/>
    <x v="9"/>
    <x v="0"/>
    <s v="Station-14"/>
    <n v="46"/>
    <n v="120.3"/>
    <n v="20"/>
    <n v="6.6"/>
    <n v="0.36"/>
    <n v="20.3"/>
    <n v="25.3"/>
    <n v="42.3"/>
    <n v="0.9"/>
    <n v="191"/>
    <x v="2"/>
    <s v="Unhealthy"/>
    <s v="Normal"/>
    <s v="Normal Humidity"/>
    <s v="Low Wind"/>
  </r>
  <r>
    <s v="AQ100802"/>
    <d v="2025-06-15T00:00:00"/>
    <x v="14"/>
    <x v="3"/>
    <s v="Station-10"/>
    <n v="44.5"/>
    <n v="49.5"/>
    <n v="33.200000000000003"/>
    <n v="1.8"/>
    <n v="0.41"/>
    <n v="43.1"/>
    <n v="18.600000000000001"/>
    <n v="60.5"/>
    <n v="1.3"/>
    <n v="161"/>
    <x v="2"/>
    <s v="Good"/>
    <s v="Cool"/>
    <s v="High Humidity"/>
    <s v="Low Wind"/>
  </r>
  <r>
    <s v="AQ100803"/>
    <d v="2025-10-13T00:00:00"/>
    <x v="3"/>
    <x v="2"/>
    <s v="Station-13"/>
    <n v="98"/>
    <n v="56.1"/>
    <n v="11.9"/>
    <n v="14"/>
    <n v="2.0099999999999998"/>
    <n v="48.1"/>
    <n v="17.899999999999999"/>
    <n v="56.9"/>
    <n v="1.9"/>
    <n v="284"/>
    <x v="1"/>
    <s v="Moderate"/>
    <s v="Cool"/>
    <s v="Normal Humidity"/>
    <s v="Low Wind"/>
  </r>
  <r>
    <s v="AQ100804"/>
    <d v="2025-09-05T00:00:00"/>
    <x v="10"/>
    <x v="3"/>
    <s v="Station-10"/>
    <n v="47.7"/>
    <n v="34.6"/>
    <n v="13.9"/>
    <n v="14"/>
    <n v="0.25"/>
    <n v="52.6"/>
    <n v="32.1"/>
    <n v="77.099999999999994"/>
    <n v="3.2"/>
    <n v="150"/>
    <x v="2"/>
    <s v="Good"/>
    <s v="Hot"/>
    <s v="High Humidity"/>
    <s v="Moderate Wind"/>
  </r>
  <r>
    <s v="AQ100805"/>
    <d v="2025-03-06T00:00:00"/>
    <x v="13"/>
    <x v="4"/>
    <s v="Station-02"/>
    <n v="29.5"/>
    <n v="117.3"/>
    <n v="25.6"/>
    <n v="16.7"/>
    <n v="1.73"/>
    <n v="20.9"/>
    <n v="29.1"/>
    <n v="49.1"/>
    <n v="4.3"/>
    <n v="208"/>
    <x v="1"/>
    <s v="Unhealthy"/>
    <s v="Normal"/>
    <s v="Normal Humidity"/>
    <s v="Moderate Wind"/>
  </r>
  <r>
    <s v="AQ100806"/>
    <d v="2025-09-13T00:00:00"/>
    <x v="15"/>
    <x v="3"/>
    <s v="Station-15"/>
    <n v="41.3"/>
    <n v="78.8"/>
    <n v="28"/>
    <n v="16.2"/>
    <n v="0.14000000000000001"/>
    <n v="73.2"/>
    <n v="37.299999999999997"/>
    <n v="54.8"/>
    <n v="3.6"/>
    <n v="187"/>
    <x v="2"/>
    <s v="Moderate"/>
    <s v="Hot"/>
    <s v="Normal Humidity"/>
    <s v="Moderate Wind"/>
  </r>
  <r>
    <s v="AQ100807"/>
    <d v="2025-05-13T00:00:00"/>
    <x v="9"/>
    <x v="0"/>
    <s v="Station-11"/>
    <n v="61.7"/>
    <n v="69.2"/>
    <n v="54.8"/>
    <n v="0.8"/>
    <n v="0.28000000000000003"/>
    <n v="47.7"/>
    <n v="22.3"/>
    <n v="50.7"/>
    <n v="2.7"/>
    <n v="217"/>
    <x v="1"/>
    <s v="Moderate"/>
    <s v="Normal"/>
    <s v="Normal Humidity"/>
    <s v="Moderate Wind"/>
  </r>
  <r>
    <s v="AQ100808"/>
    <d v="2025-12-25T00:00:00"/>
    <x v="2"/>
    <x v="1"/>
    <s v="Station-02"/>
    <n v="28.7"/>
    <n v="161.69999999999999"/>
    <n v="38.700000000000003"/>
    <n v="4.0999999999999996"/>
    <n v="0.85"/>
    <n v="41.7"/>
    <n v="20.8"/>
    <n v="73.2"/>
    <n v="2"/>
    <n v="225"/>
    <x v="1"/>
    <s v="VeryUnhealthy"/>
    <s v="Normal"/>
    <s v="High Humidity"/>
    <s v="Moderate Wind"/>
  </r>
  <r>
    <s v="AQ100809"/>
    <d v="2025-10-22T00:00:00"/>
    <x v="13"/>
    <x v="4"/>
    <s v="Station-09"/>
    <n v="80.900000000000006"/>
    <n v="55.8"/>
    <n v="21.7"/>
    <n v="8.5"/>
    <n v="0.16"/>
    <n v="28.7"/>
    <n v="23.9"/>
    <n v="76.5"/>
    <n v="1.8"/>
    <n v="206"/>
    <x v="1"/>
    <s v="Moderate"/>
    <s v="Normal"/>
    <s v="High Humidity"/>
    <s v="Low Wind"/>
  </r>
  <r>
    <s v="AQ100810"/>
    <d v="2025-09-07T00:00:00"/>
    <x v="2"/>
    <x v="1"/>
    <s v="Station-10"/>
    <n v="36.9"/>
    <n v="198.3"/>
    <n v="34.299999999999997"/>
    <n v="4"/>
    <n v="0.25"/>
    <n v="55.9"/>
    <n v="25.8"/>
    <n v="65.8"/>
    <n v="1.4"/>
    <n v="250"/>
    <x v="1"/>
    <s v="VeryUnhealthy"/>
    <s v="Normal"/>
    <s v="High Humidity"/>
    <s v="Low Wind"/>
  </r>
  <r>
    <s v="AQ100811"/>
    <d v="2025-09-11T00:00:00"/>
    <x v="4"/>
    <x v="3"/>
    <s v="Station-06"/>
    <n v="61.2"/>
    <n v="164.4"/>
    <n v="16.399999999999999"/>
    <n v="3.7"/>
    <n v="0.31"/>
    <n v="46"/>
    <n v="29.7"/>
    <n v="43.5"/>
    <n v="1.8"/>
    <n v="249"/>
    <x v="1"/>
    <s v="VeryUnhealthy"/>
    <s v="Normal"/>
    <s v="Normal Humidity"/>
    <s v="Low Wind"/>
  </r>
  <r>
    <s v="AQ100812"/>
    <d v="2025-01-29T00:00:00"/>
    <x v="3"/>
    <x v="2"/>
    <s v="Station-11"/>
    <n v="40.200000000000003"/>
    <n v="61.9"/>
    <n v="17.399999999999999"/>
    <n v="17.7"/>
    <n v="0.97"/>
    <n v="8.5"/>
    <n v="28.1"/>
    <n v="77.2"/>
    <n v="1.5"/>
    <n v="159"/>
    <x v="2"/>
    <s v="Moderate"/>
    <s v="Normal"/>
    <s v="High Humidity"/>
    <s v="Low Wind"/>
  </r>
  <r>
    <s v="AQ100813"/>
    <d v="2025-10-27T00:00:00"/>
    <x v="14"/>
    <x v="3"/>
    <s v="Station-13"/>
    <n v="31.4"/>
    <n v="46.4"/>
    <n v="12.8"/>
    <n v="28.6"/>
    <n v="0.43"/>
    <n v="24.1"/>
    <n v="16.899999999999999"/>
    <n v="29.2"/>
    <n v="3.2"/>
    <n v="132"/>
    <x v="2"/>
    <s v="Good"/>
    <s v="Cool"/>
    <s v="Low Humidity"/>
    <s v="Moderate Wind"/>
  </r>
  <r>
    <s v="AQ100814"/>
    <d v="2025-03-22T00:00:00"/>
    <x v="4"/>
    <x v="3"/>
    <s v="Station-06"/>
    <n v="46.1"/>
    <n v="111.8"/>
    <n v="19.5"/>
    <n v="10.6"/>
    <n v="1.84"/>
    <n v="46.1"/>
    <n v="28.3"/>
    <n v="44.5"/>
    <n v="3.5"/>
    <n v="236"/>
    <x v="1"/>
    <s v="Unhealthy"/>
    <s v="Normal"/>
    <s v="Normal Humidity"/>
    <s v="Moderate Wind"/>
  </r>
  <r>
    <s v="AQ100815"/>
    <d v="2025-10-03T00:00:00"/>
    <x v="3"/>
    <x v="2"/>
    <s v="Station-08"/>
    <n v="53.6"/>
    <n v="54.6"/>
    <n v="49.5"/>
    <n v="17.2"/>
    <n v="1.47"/>
    <n v="31.5"/>
    <n v="31.8"/>
    <n v="38.6"/>
    <n v="3.3"/>
    <n v="224"/>
    <x v="1"/>
    <s v="Moderate"/>
    <s v="Hot"/>
    <s v="Normal Humidity"/>
    <s v="Moderate Wind"/>
  </r>
  <r>
    <s v="AQ100816"/>
    <d v="2025-08-03T00:00:00"/>
    <x v="8"/>
    <x v="2"/>
    <s v="Station-09"/>
    <n v="23.5"/>
    <n v="74.5"/>
    <n v="5.6"/>
    <n v="21.1"/>
    <n v="0.72"/>
    <n v="18.8"/>
    <n v="27.5"/>
    <n v="47.2"/>
    <n v="4.2"/>
    <n v="132"/>
    <x v="2"/>
    <s v="Moderate"/>
    <s v="Normal"/>
    <s v="Normal Humidity"/>
    <s v="Moderate Wind"/>
  </r>
  <r>
    <s v="AQ100817"/>
    <d v="2025-12-26T00:00:00"/>
    <x v="3"/>
    <x v="2"/>
    <s v="Station-10"/>
    <n v="44.9"/>
    <n v="74.2"/>
    <n v="22.7"/>
    <n v="21.2"/>
    <n v="0.45"/>
    <n v="28.6"/>
    <n v="29.5"/>
    <n v="48.5"/>
    <n v="2.6"/>
    <n v="177"/>
    <x v="2"/>
    <s v="Moderate"/>
    <s v="Normal"/>
    <s v="Normal Humidity"/>
    <s v="Moderate Wind"/>
  </r>
  <r>
    <s v="AQ100818"/>
    <d v="2025-01-10T00:00:00"/>
    <x v="6"/>
    <x v="1"/>
    <s v="Station-07"/>
    <n v="18.600000000000001"/>
    <n v="48.6"/>
    <n v="42.4"/>
    <n v="10.8"/>
    <n v="0.27"/>
    <n v="54.9"/>
    <n v="30.9"/>
    <n v="68.8"/>
    <n v="4.2"/>
    <n v="134"/>
    <x v="2"/>
    <s v="Good"/>
    <s v="Hot"/>
    <s v="High Humidity"/>
    <s v="Moderate Wind"/>
  </r>
  <r>
    <s v="AQ100819"/>
    <d v="2025-08-29T00:00:00"/>
    <x v="4"/>
    <x v="3"/>
    <s v="Station-09"/>
    <n v="35.1"/>
    <n v="173.7"/>
    <n v="27.8"/>
    <n v="2.8"/>
    <n v="2.76"/>
    <n v="42.8"/>
    <n v="25.3"/>
    <n v="75.8"/>
    <n v="2.9"/>
    <n v="282"/>
    <x v="1"/>
    <s v="VeryUnhealthy"/>
    <s v="Normal"/>
    <s v="High Humidity"/>
    <s v="Moderate Wind"/>
  </r>
  <r>
    <s v="AQ100820"/>
    <d v="2025-06-15T00:00:00"/>
    <x v="8"/>
    <x v="2"/>
    <s v="Station-02"/>
    <n v="55.5"/>
    <n v="66.7"/>
    <n v="12"/>
    <n v="13.7"/>
    <n v="0.95"/>
    <n v="54.8"/>
    <n v="29.9"/>
    <n v="66.599999999999994"/>
    <n v="2.8"/>
    <n v="200"/>
    <x v="2"/>
    <s v="Moderate"/>
    <s v="Normal"/>
    <s v="High Humidity"/>
    <s v="Moderate Wind"/>
  </r>
  <r>
    <s v="AQ100821"/>
    <d v="2025-07-26T00:00:00"/>
    <x v="0"/>
    <x v="0"/>
    <s v="Station-07"/>
    <n v="19.899999999999999"/>
    <n v="44.7"/>
    <n v="25.9"/>
    <n v="10.8"/>
    <n v="1.05"/>
    <n v="35.299999999999997"/>
    <n v="27"/>
    <n v="52"/>
    <n v="2"/>
    <n v="131"/>
    <x v="2"/>
    <s v="Good"/>
    <s v="Normal"/>
    <s v="Normal Humidity"/>
    <s v="Moderate Wind"/>
  </r>
  <r>
    <s v="AQ100822"/>
    <d v="2025-04-22T00:00:00"/>
    <x v="14"/>
    <x v="3"/>
    <s v="Station-06"/>
    <n v="56.7"/>
    <n v="127.3"/>
    <n v="46.8"/>
    <n v="2.8"/>
    <n v="1.24"/>
    <n v="7.2"/>
    <n v="27.1"/>
    <n v="65.5"/>
    <n v="2.5"/>
    <n v="247"/>
    <x v="1"/>
    <s v="Unhealthy"/>
    <s v="Normal"/>
    <s v="High Humidity"/>
    <s v="Moderate Wind"/>
  </r>
  <r>
    <s v="AQ100823"/>
    <d v="2025-09-06T00:00:00"/>
    <x v="15"/>
    <x v="3"/>
    <s v="Station-05"/>
    <n v="11.2"/>
    <n v="143.30000000000001"/>
    <n v="31.3"/>
    <n v="16.8"/>
    <n v="0.44"/>
    <n v="23.2"/>
    <n v="37.5"/>
    <n v="77.7"/>
    <n v="1.3"/>
    <n v="169"/>
    <x v="2"/>
    <s v="Unhealthy"/>
    <s v="Hot"/>
    <s v="High Humidity"/>
    <s v="Low Wind"/>
  </r>
  <r>
    <s v="AQ100824"/>
    <d v="2025-03-07T00:00:00"/>
    <x v="0"/>
    <x v="0"/>
    <s v="Station-01"/>
    <n v="53.5"/>
    <n v="92.8"/>
    <n v="10.1"/>
    <n v="7.8"/>
    <n v="0.56000000000000005"/>
    <n v="24"/>
    <n v="28.1"/>
    <n v="68.400000000000006"/>
    <n v="2.2000000000000002"/>
    <n v="184"/>
    <x v="2"/>
    <s v="Moderate"/>
    <s v="Normal"/>
    <s v="High Humidity"/>
    <s v="Moderate Wind"/>
  </r>
  <r>
    <s v="AQ100825"/>
    <d v="2025-02-21T00:00:00"/>
    <x v="6"/>
    <x v="1"/>
    <s v="Station-12"/>
    <n v="10.9"/>
    <n v="96.6"/>
    <n v="7.7"/>
    <n v="45.5"/>
    <n v="0.82"/>
    <n v="39.299999999999997"/>
    <n v="20.3"/>
    <n v="41.3"/>
    <n v="1.8"/>
    <n v="156"/>
    <x v="2"/>
    <s v="Moderate"/>
    <s v="Normal"/>
    <s v="Normal Humidity"/>
    <s v="Low Wind"/>
  </r>
  <r>
    <s v="AQ100826"/>
    <d v="2025-01-17T00:00:00"/>
    <x v="9"/>
    <x v="0"/>
    <s v="Station-11"/>
    <n v="84.8"/>
    <n v="88.9"/>
    <n v="27.8"/>
    <n v="10.4"/>
    <n v="1.51"/>
    <n v="32.700000000000003"/>
    <n v="21.8"/>
    <n v="52.3"/>
    <n v="2.6"/>
    <n v="275"/>
    <x v="1"/>
    <s v="Moderate"/>
    <s v="Normal"/>
    <s v="Normal Humidity"/>
    <s v="Moderate Wind"/>
  </r>
  <r>
    <s v="AQ100827"/>
    <d v="2025-02-04T00:00:00"/>
    <x v="15"/>
    <x v="3"/>
    <s v="Station-12"/>
    <n v="48.6"/>
    <n v="74.8"/>
    <n v="42"/>
    <n v="20.8"/>
    <n v="0.92"/>
    <n v="70.400000000000006"/>
    <n v="24.1"/>
    <n v="54.4"/>
    <n v="2.9"/>
    <n v="229"/>
    <x v="1"/>
    <s v="Moderate"/>
    <s v="Normal"/>
    <s v="Normal Humidity"/>
    <s v="Moderate Wind"/>
  </r>
  <r>
    <s v="AQ100828"/>
    <d v="2025-01-07T00:00:00"/>
    <x v="8"/>
    <x v="2"/>
    <s v="Station-14"/>
    <n v="33.799999999999997"/>
    <n v="71"/>
    <n v="30.5"/>
    <n v="9"/>
    <n v="1.65"/>
    <n v="20.100000000000001"/>
    <n v="28"/>
    <n v="71.599999999999994"/>
    <n v="2.8"/>
    <n v="181"/>
    <x v="2"/>
    <s v="Moderate"/>
    <s v="Normal"/>
    <s v="High Humidity"/>
    <s v="Moderate Wind"/>
  </r>
  <r>
    <s v="AQ100829"/>
    <d v="2025-05-07T00:00:00"/>
    <x v="5"/>
    <x v="4"/>
    <s v="Station-14"/>
    <n v="74.099999999999994"/>
    <n v="114.4"/>
    <n v="50.2"/>
    <n v="2.9"/>
    <n v="0.5"/>
    <n v="32.799999999999997"/>
    <n v="25.1"/>
    <n v="57.2"/>
    <n v="2.6"/>
    <n v="262"/>
    <x v="1"/>
    <s v="Unhealthy"/>
    <s v="Normal"/>
    <s v="Normal Humidity"/>
    <s v="Moderate Wind"/>
  </r>
  <r>
    <s v="AQ100830"/>
    <d v="2025-03-04T00:00:00"/>
    <x v="15"/>
    <x v="3"/>
    <s v="Station-03"/>
    <n v="65.3"/>
    <n v="80.5"/>
    <n v="38.299999999999997"/>
    <n v="9.1999999999999993"/>
    <n v="0.83"/>
    <n v="36.799999999999997"/>
    <n v="32.9"/>
    <n v="48.9"/>
    <n v="2"/>
    <n v="231"/>
    <x v="1"/>
    <s v="Moderate"/>
    <s v="Hot"/>
    <s v="Normal Humidity"/>
    <s v="Moderate Wind"/>
  </r>
  <r>
    <s v="AQ100831"/>
    <d v="2025-09-06T00:00:00"/>
    <x v="15"/>
    <x v="3"/>
    <s v="Station-11"/>
    <n v="57.6"/>
    <n v="74.099999999999994"/>
    <n v="63.4"/>
    <n v="6.5"/>
    <n v="1.03"/>
    <n v="56"/>
    <n v="36.700000000000003"/>
    <n v="39.1"/>
    <n v="0.1"/>
    <n v="247"/>
    <x v="1"/>
    <s v="Moderate"/>
    <s v="Hot"/>
    <s v="Normal Humidity"/>
    <s v="Low Wind"/>
  </r>
  <r>
    <s v="AQ100832"/>
    <d v="2025-12-09T00:00:00"/>
    <x v="2"/>
    <x v="1"/>
    <s v="Station-14"/>
    <n v="73.900000000000006"/>
    <n v="105.7"/>
    <n v="33.299999999999997"/>
    <n v="16.899999999999999"/>
    <n v="1.55"/>
    <n v="37.200000000000003"/>
    <n v="37.299999999999997"/>
    <n v="81.400000000000006"/>
    <n v="3.4"/>
    <n v="281"/>
    <x v="1"/>
    <s v="Unhealthy"/>
    <s v="Hot"/>
    <s v="High Humidity"/>
    <s v="Moderate Wind"/>
  </r>
  <r>
    <s v="AQ100833"/>
    <d v="2025-12-25T00:00:00"/>
    <x v="9"/>
    <x v="0"/>
    <s v="Station-09"/>
    <n v="18.100000000000001"/>
    <n v="50.2"/>
    <n v="38.5"/>
    <n v="16.7"/>
    <n v="1.1599999999999999"/>
    <n v="11.5"/>
    <n v="22.2"/>
    <n v="77.2"/>
    <n v="0.8"/>
    <n v="138"/>
    <x v="2"/>
    <s v="Moderate"/>
    <s v="Normal"/>
    <s v="High Humidity"/>
    <s v="Low Wind"/>
  </r>
  <r>
    <s v="AQ100834"/>
    <d v="2025-04-30T00:00:00"/>
    <x v="7"/>
    <x v="2"/>
    <s v="Station-04"/>
    <n v="71.900000000000006"/>
    <n v="43.5"/>
    <n v="12"/>
    <n v="15.9"/>
    <n v="0.46"/>
    <n v="31.8"/>
    <n v="28.3"/>
    <n v="62"/>
    <n v="2.9"/>
    <n v="190"/>
    <x v="2"/>
    <s v="Good"/>
    <s v="Normal"/>
    <s v="High Humidity"/>
    <s v="Moderate Wind"/>
  </r>
  <r>
    <s v="AQ100835"/>
    <d v="2025-11-19T00:00:00"/>
    <x v="9"/>
    <x v="0"/>
    <s v="Station-06"/>
    <n v="1.2"/>
    <n v="19.7"/>
    <n v="10"/>
    <n v="9.4"/>
    <n v="1.92"/>
    <n v="35.700000000000003"/>
    <n v="34.4"/>
    <n v="82.3"/>
    <n v="2.5"/>
    <n v="93"/>
    <x v="3"/>
    <s v="Good"/>
    <s v="Hot"/>
    <s v="High Humidity"/>
    <s v="Moderate Wind"/>
  </r>
  <r>
    <s v="AQ100836"/>
    <d v="2025-12-09T00:00:00"/>
    <x v="12"/>
    <x v="4"/>
    <s v="Station-01"/>
    <n v="83.8"/>
    <n v="76.2"/>
    <n v="35.700000000000003"/>
    <n v="18.899999999999999"/>
    <n v="0.44"/>
    <n v="22.4"/>
    <n v="31.7"/>
    <n v="20"/>
    <n v="2.6"/>
    <n v="246"/>
    <x v="1"/>
    <s v="Moderate"/>
    <s v="Hot"/>
    <s v="Low Humidity"/>
    <s v="Moderate Wind"/>
  </r>
  <r>
    <s v="AQ100837"/>
    <d v="2025-08-04T00:00:00"/>
    <x v="11"/>
    <x v="0"/>
    <s v="Station-13"/>
    <n v="50.6"/>
    <n v="102.7"/>
    <n v="12.2"/>
    <n v="4.5"/>
    <n v="0.54"/>
    <n v="4.9000000000000004"/>
    <n v="28.9"/>
    <n v="76"/>
    <n v="2.4"/>
    <n v="176"/>
    <x v="2"/>
    <s v="Unhealthy"/>
    <s v="Normal"/>
    <s v="High Humidity"/>
    <s v="Moderate Wind"/>
  </r>
  <r>
    <s v="AQ100838"/>
    <d v="2025-02-05T00:00:00"/>
    <x v="6"/>
    <x v="1"/>
    <s v="Station-05"/>
    <n v="83"/>
    <n v="113.3"/>
    <n v="133.1"/>
    <n v="11.3"/>
    <n v="0.55000000000000004"/>
    <n v="9"/>
    <n v="13.6"/>
    <n v="65.900000000000006"/>
    <n v="2.9"/>
    <n v="339"/>
    <x v="0"/>
    <s v="Unhealthy"/>
    <s v="Cool"/>
    <s v="High Humidity"/>
    <s v="Moderate Wind"/>
  </r>
  <r>
    <s v="AQ100839"/>
    <d v="2025-01-22T00:00:00"/>
    <x v="4"/>
    <x v="3"/>
    <s v="Station-02"/>
    <n v="159.80000000000001"/>
    <n v="92.7"/>
    <n v="39.200000000000003"/>
    <n v="9.8000000000000007"/>
    <n v="0.19"/>
    <n v="33.6"/>
    <n v="26.8"/>
    <n v="45.1"/>
    <n v="3.1"/>
    <n v="374"/>
    <x v="0"/>
    <s v="Moderate"/>
    <s v="Normal"/>
    <s v="Normal Humidity"/>
    <s v="Moderate Wind"/>
  </r>
  <r>
    <s v="AQ100840"/>
    <d v="2025-08-09T00:00:00"/>
    <x v="12"/>
    <x v="4"/>
    <s v="Station-07"/>
    <n v="51"/>
    <n v="118.9"/>
    <n v="55.4"/>
    <n v="21.5"/>
    <n v="0.44"/>
    <n v="18.100000000000001"/>
    <n v="39.9"/>
    <n v="65.599999999999994"/>
    <n v="3.8"/>
    <n v="237"/>
    <x v="1"/>
    <s v="Unhealthy"/>
    <s v="Hot"/>
    <s v="High Humidity"/>
    <s v="Moderate Wind"/>
  </r>
  <r>
    <s v="AQ100841"/>
    <d v="2025-08-11T00:00:00"/>
    <x v="5"/>
    <x v="4"/>
    <s v="Station-10"/>
    <n v="21.8"/>
    <n v="59.3"/>
    <n v="29.6"/>
    <n v="21.8"/>
    <n v="0.76"/>
    <n v="13.1"/>
    <n v="31.7"/>
    <n v="60"/>
    <n v="1.5"/>
    <n v="137"/>
    <x v="2"/>
    <s v="Moderate"/>
    <s v="Hot"/>
    <s v="Normal Humidity"/>
    <s v="Low Wind"/>
  </r>
  <r>
    <s v="AQ100842"/>
    <d v="2025-07-13T00:00:00"/>
    <x v="2"/>
    <x v="1"/>
    <s v="Station-13"/>
    <n v="69"/>
    <n v="109.2"/>
    <n v="11.6"/>
    <n v="8.4"/>
    <n v="1.1299999999999999"/>
    <n v="48.9"/>
    <n v="28"/>
    <n v="57"/>
    <n v="3"/>
    <n v="247"/>
    <x v="1"/>
    <s v="Unhealthy"/>
    <s v="Normal"/>
    <s v="Normal Humidity"/>
    <s v="Moderate Wind"/>
  </r>
  <r>
    <s v="AQ100843"/>
    <d v="2025-08-02T00:00:00"/>
    <x v="6"/>
    <x v="1"/>
    <s v="Station-03"/>
    <n v="33.700000000000003"/>
    <n v="117.6"/>
    <n v="57.9"/>
    <n v="13"/>
    <n v="0.35"/>
    <n v="35.9"/>
    <n v="23.7"/>
    <n v="71.400000000000006"/>
    <n v="1.1000000000000001"/>
    <n v="211"/>
    <x v="1"/>
    <s v="Unhealthy"/>
    <s v="Normal"/>
    <s v="High Humidity"/>
    <s v="Low Wind"/>
  </r>
  <r>
    <s v="AQ100844"/>
    <d v="2025-08-20T00:00:00"/>
    <x v="5"/>
    <x v="4"/>
    <s v="Station-09"/>
    <n v="20.8"/>
    <n v="89.6"/>
    <n v="36.5"/>
    <n v="37.700000000000003"/>
    <n v="1.02"/>
    <n v="14.6"/>
    <n v="26.7"/>
    <n v="92.5"/>
    <n v="3.6"/>
    <n v="179"/>
    <x v="2"/>
    <s v="Moderate"/>
    <s v="Normal"/>
    <s v="High Humidity"/>
    <s v="Moderate Wind"/>
  </r>
  <r>
    <s v="AQ100845"/>
    <d v="2025-05-14T00:00:00"/>
    <x v="0"/>
    <x v="0"/>
    <s v="Station-07"/>
    <n v="85.2"/>
    <n v="51"/>
    <n v="26"/>
    <n v="1"/>
    <n v="0.6"/>
    <n v="29.9"/>
    <n v="23.9"/>
    <n v="63"/>
    <n v="3.3"/>
    <n v="219"/>
    <x v="1"/>
    <s v="Moderate"/>
    <s v="Normal"/>
    <s v="High Humidity"/>
    <s v="Moderate Wind"/>
  </r>
  <r>
    <s v="AQ100846"/>
    <d v="2025-11-06T00:00:00"/>
    <x v="12"/>
    <x v="4"/>
    <s v="Station-02"/>
    <n v="29.6"/>
    <n v="83.3"/>
    <n v="19.600000000000001"/>
    <n v="29"/>
    <n v="0.5"/>
    <n v="6.4"/>
    <n v="38.4"/>
    <n v="81.7"/>
    <n v="0.3"/>
    <n v="153"/>
    <x v="2"/>
    <s v="Moderate"/>
    <s v="Hot"/>
    <s v="High Humidity"/>
    <s v="Low Wind"/>
  </r>
  <r>
    <s v="AQ100847"/>
    <d v="2025-09-23T00:00:00"/>
    <x v="10"/>
    <x v="3"/>
    <s v="Station-11"/>
    <n v="21.1"/>
    <n v="67.099999999999994"/>
    <n v="16.899999999999999"/>
    <n v="11.4"/>
    <n v="0.38"/>
    <n v="31.4"/>
    <n v="24.6"/>
    <n v="48.8"/>
    <n v="3.4"/>
    <n v="123"/>
    <x v="2"/>
    <s v="Moderate"/>
    <s v="Normal"/>
    <s v="Normal Humidity"/>
    <s v="Moderate Wind"/>
  </r>
  <r>
    <s v="AQ100848"/>
    <d v="2025-05-23T00:00:00"/>
    <x v="7"/>
    <x v="2"/>
    <s v="Station-04"/>
    <n v="15.9"/>
    <n v="16"/>
    <n v="15.7"/>
    <n v="5.4"/>
    <n v="0.2"/>
    <n v="50.9"/>
    <n v="15.1"/>
    <n v="60.7"/>
    <n v="2.8"/>
    <n v="80"/>
    <x v="3"/>
    <s v="Good"/>
    <s v="Cool"/>
    <s v="High Humidity"/>
    <s v="Moderate Wind"/>
  </r>
  <r>
    <s v="AQ100849"/>
    <d v="2025-09-22T00:00:00"/>
    <x v="9"/>
    <x v="0"/>
    <s v="Station-05"/>
    <n v="69.2"/>
    <n v="192.4"/>
    <n v="17.5"/>
    <n v="4.0999999999999996"/>
    <n v="0.98"/>
    <n v="28"/>
    <n v="19.399999999999999"/>
    <n v="54.5"/>
    <n v="0.9"/>
    <n v="290"/>
    <x v="1"/>
    <s v="VeryUnhealthy"/>
    <s v="Cool"/>
    <s v="Normal Humidity"/>
    <s v="Low Wind"/>
  </r>
  <r>
    <s v="AQ100850"/>
    <d v="2025-08-31T00:00:00"/>
    <x v="10"/>
    <x v="3"/>
    <s v="Station-11"/>
    <n v="54"/>
    <n v="49.7"/>
    <n v="7.5"/>
    <n v="8.6"/>
    <n v="0.85"/>
    <n v="13.1"/>
    <n v="14.6"/>
    <n v="82.7"/>
    <n v="1.3"/>
    <n v="158"/>
    <x v="2"/>
    <s v="Good"/>
    <s v="Cool"/>
    <s v="High Humidity"/>
    <s v="Low Wind"/>
  </r>
  <r>
    <s v="AQ100851"/>
    <d v="2025-04-18T00:00:00"/>
    <x v="9"/>
    <x v="0"/>
    <s v="Station-11"/>
    <n v="102.4"/>
    <n v="88.3"/>
    <n v="38.700000000000003"/>
    <n v="12.3"/>
    <n v="0.4"/>
    <n v="51.7"/>
    <n v="13.6"/>
    <n v="75.599999999999994"/>
    <n v="1.6"/>
    <n v="294"/>
    <x v="1"/>
    <s v="Moderate"/>
    <s v="Cool"/>
    <s v="High Humidity"/>
    <s v="Low Wind"/>
  </r>
  <r>
    <s v="AQ100852"/>
    <d v="2025-03-19T00:00:00"/>
    <x v="14"/>
    <x v="3"/>
    <s v="Station-08"/>
    <n v="48.2"/>
    <n v="90.9"/>
    <n v="29.6"/>
    <n v="3.6"/>
    <n v="0.51"/>
    <n v="25"/>
    <n v="22.2"/>
    <n v="71.5"/>
    <n v="4.7"/>
    <n v="186"/>
    <x v="2"/>
    <s v="Moderate"/>
    <s v="Normal"/>
    <s v="High Humidity"/>
    <s v="Moderate Wind"/>
  </r>
  <r>
    <s v="AQ100853"/>
    <d v="2025-04-18T00:00:00"/>
    <x v="12"/>
    <x v="4"/>
    <s v="Station-10"/>
    <n v="55.8"/>
    <n v="60.7"/>
    <n v="56.6"/>
    <n v="7"/>
    <n v="0.79"/>
    <n v="31.7"/>
    <n v="23.5"/>
    <n v="47.8"/>
    <n v="1.1000000000000001"/>
    <n v="213"/>
    <x v="1"/>
    <s v="Moderate"/>
    <s v="Normal"/>
    <s v="Normal Humidity"/>
    <s v="Low Wind"/>
  </r>
  <r>
    <s v="AQ100854"/>
    <d v="2025-10-14T00:00:00"/>
    <x v="4"/>
    <x v="3"/>
    <s v="Station-10"/>
    <n v="86.9"/>
    <n v="59.7"/>
    <n v="43.6"/>
    <n v="21.3"/>
    <n v="0.35"/>
    <n v="54.8"/>
    <n v="24.9"/>
    <n v="30.4"/>
    <n v="0.1"/>
    <n v="261"/>
    <x v="1"/>
    <s v="Moderate"/>
    <s v="Normal"/>
    <s v="Normal Humidity"/>
    <s v="Low Wind"/>
  </r>
  <r>
    <s v="AQ100855"/>
    <d v="2025-02-25T00:00:00"/>
    <x v="8"/>
    <x v="2"/>
    <s v="Station-14"/>
    <n v="54.7"/>
    <n v="44.6"/>
    <n v="32.1"/>
    <n v="4.7"/>
    <n v="1.62"/>
    <n v="23.9"/>
    <n v="25.6"/>
    <n v="58.1"/>
    <n v="2.5"/>
    <n v="197"/>
    <x v="2"/>
    <s v="Good"/>
    <s v="Normal"/>
    <s v="Normal Humidity"/>
    <s v="Moderate Wind"/>
  </r>
  <r>
    <s v="AQ100856"/>
    <d v="2025-07-15T00:00:00"/>
    <x v="2"/>
    <x v="1"/>
    <s v="Station-03"/>
    <n v="86.7"/>
    <n v="67.5"/>
    <n v="36"/>
    <n v="23.5"/>
    <n v="0.22"/>
    <n v="23.3"/>
    <n v="27.1"/>
    <n v="79.5"/>
    <n v="0.1"/>
    <n v="244"/>
    <x v="1"/>
    <s v="Moderate"/>
    <s v="Normal"/>
    <s v="High Humidity"/>
    <s v="Low Wind"/>
  </r>
  <r>
    <s v="AQ100857"/>
    <d v="2025-12-17T00:00:00"/>
    <x v="2"/>
    <x v="1"/>
    <s v="Station-01"/>
    <n v="49.6"/>
    <n v="21.1"/>
    <n v="42.3"/>
    <n v="9.1999999999999993"/>
    <n v="0.43"/>
    <n v="67.2"/>
    <n v="33.5"/>
    <n v="59.1"/>
    <n v="1.3"/>
    <n v="174"/>
    <x v="2"/>
    <s v="Good"/>
    <s v="Hot"/>
    <s v="Normal Humidity"/>
    <s v="Low Wind"/>
  </r>
  <r>
    <s v="AQ100858"/>
    <d v="2025-01-30T00:00:00"/>
    <x v="9"/>
    <x v="0"/>
    <s v="Station-09"/>
    <n v="143.9"/>
    <n v="121.4"/>
    <n v="38.4"/>
    <n v="11.6"/>
    <n v="0.51"/>
    <n v="20"/>
    <n v="34.200000000000003"/>
    <n v="81.3"/>
    <n v="1.9"/>
    <n v="370"/>
    <x v="0"/>
    <s v="Unhealthy"/>
    <s v="Hot"/>
    <s v="High Humidity"/>
    <s v="Low Wind"/>
  </r>
  <r>
    <s v="AQ100859"/>
    <d v="2025-07-19T00:00:00"/>
    <x v="1"/>
    <x v="1"/>
    <s v="Station-05"/>
    <n v="21.8"/>
    <n v="117.1"/>
    <n v="52.5"/>
    <n v="27.3"/>
    <n v="0.64"/>
    <n v="10.1"/>
    <n v="29.3"/>
    <n v="56.4"/>
    <n v="2.6"/>
    <n v="193"/>
    <x v="2"/>
    <s v="Unhealthy"/>
    <s v="Normal"/>
    <s v="Normal Humidity"/>
    <s v="Moderate Wind"/>
  </r>
  <r>
    <s v="AQ100860"/>
    <d v="2025-04-17T00:00:00"/>
    <x v="9"/>
    <x v="0"/>
    <s v="Station-05"/>
    <n v="10.6"/>
    <n v="91.1"/>
    <n v="16.600000000000001"/>
    <n v="8.4"/>
    <n v="1.03"/>
    <n v="22.4"/>
    <n v="25.7"/>
    <n v="60"/>
    <n v="1.7"/>
    <n v="131"/>
    <x v="2"/>
    <s v="Moderate"/>
    <s v="Normal"/>
    <s v="Normal Humidity"/>
    <s v="Low Wind"/>
  </r>
  <r>
    <s v="AQ100861"/>
    <d v="2025-11-01T00:00:00"/>
    <x v="3"/>
    <x v="2"/>
    <s v="Station-11"/>
    <n v="31.2"/>
    <n v="23"/>
    <n v="28.3"/>
    <n v="40.799999999999997"/>
    <n v="0.84"/>
    <n v="36.700000000000003"/>
    <n v="35"/>
    <n v="52.8"/>
    <n v="2.7"/>
    <n v="154"/>
    <x v="2"/>
    <s v="Good"/>
    <s v="Hot"/>
    <s v="Normal Humidity"/>
    <s v="Moderate Wind"/>
  </r>
  <r>
    <s v="AQ100862"/>
    <d v="2025-02-19T00:00:00"/>
    <x v="12"/>
    <x v="4"/>
    <s v="Station-01"/>
    <n v="12.8"/>
    <n v="81.5"/>
    <n v="29.9"/>
    <n v="16.399999999999999"/>
    <n v="0.93"/>
    <n v="20.100000000000001"/>
    <n v="24.9"/>
    <n v="61.7"/>
    <n v="0.3"/>
    <n v="141"/>
    <x v="2"/>
    <s v="Moderate"/>
    <s v="Normal"/>
    <s v="High Humidity"/>
    <s v="Low Wind"/>
  </r>
  <r>
    <s v="AQ100863"/>
    <d v="2025-08-07T00:00:00"/>
    <x v="8"/>
    <x v="2"/>
    <s v="Station-08"/>
    <n v="18.5"/>
    <n v="92.5"/>
    <n v="18.5"/>
    <n v="15.5"/>
    <n v="1.23"/>
    <n v="44.4"/>
    <n v="38.1"/>
    <n v="46.6"/>
    <n v="2.4"/>
    <n v="166"/>
    <x v="2"/>
    <s v="Moderate"/>
    <s v="Hot"/>
    <s v="Normal Humidity"/>
    <s v="Moderate Wind"/>
  </r>
  <r>
    <s v="AQ100864"/>
    <d v="2025-09-29T00:00:00"/>
    <x v="6"/>
    <x v="1"/>
    <s v="Station-06"/>
    <n v="60.1"/>
    <n v="113.1"/>
    <n v="21.5"/>
    <n v="20.9"/>
    <n v="0.42"/>
    <n v="23.6"/>
    <n v="33.299999999999997"/>
    <n v="76.599999999999994"/>
    <n v="3.7"/>
    <n v="223"/>
    <x v="1"/>
    <s v="Unhealthy"/>
    <s v="Hot"/>
    <s v="High Humidity"/>
    <s v="Moderate Wind"/>
  </r>
  <r>
    <s v="AQ100865"/>
    <d v="2025-02-17T00:00:00"/>
    <x v="2"/>
    <x v="1"/>
    <s v="Station-13"/>
    <n v="79.3"/>
    <n v="53.7"/>
    <n v="21.1"/>
    <n v="9.8000000000000007"/>
    <n v="1.89"/>
    <n v="34.700000000000003"/>
    <n v="30.6"/>
    <n v="52.8"/>
    <n v="1.7"/>
    <n v="248"/>
    <x v="1"/>
    <s v="Moderate"/>
    <s v="Hot"/>
    <s v="Normal Humidity"/>
    <s v="Low Wind"/>
  </r>
  <r>
    <s v="AQ100866"/>
    <d v="2025-05-28T00:00:00"/>
    <x v="6"/>
    <x v="1"/>
    <s v="Station-09"/>
    <n v="9.1"/>
    <n v="172.2"/>
    <n v="14.2"/>
    <n v="3.2"/>
    <n v="0.22"/>
    <n v="73.3"/>
    <n v="16.3"/>
    <n v="52.7"/>
    <n v="4.5999999999999996"/>
    <n v="179"/>
    <x v="2"/>
    <s v="VeryUnhealthy"/>
    <s v="Cool"/>
    <s v="Normal Humidity"/>
    <s v="Moderate Wind"/>
  </r>
  <r>
    <s v="AQ100867"/>
    <d v="2025-02-22T00:00:00"/>
    <x v="2"/>
    <x v="1"/>
    <s v="Station-15"/>
    <n v="25.4"/>
    <n v="162.9"/>
    <n v="35"/>
    <n v="1.3"/>
    <n v="0.35"/>
    <n v="11.2"/>
    <n v="23.1"/>
    <n v="47.8"/>
    <n v="2.7"/>
    <n v="189"/>
    <x v="2"/>
    <s v="VeryUnhealthy"/>
    <s v="Normal"/>
    <s v="Normal Humidity"/>
    <s v="Moderate Wind"/>
  </r>
  <r>
    <s v="AQ100868"/>
    <d v="2025-07-11T00:00:00"/>
    <x v="9"/>
    <x v="0"/>
    <s v="Station-09"/>
    <n v="17.399999999999999"/>
    <n v="38.4"/>
    <n v="25.1"/>
    <n v="1"/>
    <n v="0.57999999999999996"/>
    <n v="73.599999999999994"/>
    <n v="21.5"/>
    <n v="52.9"/>
    <n v="1.2"/>
    <n v="121"/>
    <x v="2"/>
    <s v="Good"/>
    <s v="Normal"/>
    <s v="Normal Humidity"/>
    <s v="Low Wind"/>
  </r>
  <r>
    <s v="AQ100869"/>
    <d v="2025-01-01T00:00:00"/>
    <x v="5"/>
    <x v="4"/>
    <s v="Station-01"/>
    <n v="18.8"/>
    <n v="38.299999999999997"/>
    <n v="40.5"/>
    <n v="34.299999999999997"/>
    <n v="0.95"/>
    <n v="23"/>
    <n v="18.5"/>
    <n v="82.5"/>
    <n v="1.8"/>
    <n v="145"/>
    <x v="2"/>
    <s v="Good"/>
    <s v="Cool"/>
    <s v="High Humidity"/>
    <s v="Low Wind"/>
  </r>
  <r>
    <s v="AQ100870"/>
    <d v="2025-08-11T00:00:00"/>
    <x v="6"/>
    <x v="1"/>
    <s v="Station-05"/>
    <n v="93.5"/>
    <n v="230.4"/>
    <n v="52.3"/>
    <n v="18.899999999999999"/>
    <n v="0.7"/>
    <n v="23.8"/>
    <n v="23.6"/>
    <n v="94.1"/>
    <n v="0.8"/>
    <n v="383"/>
    <x v="0"/>
    <s v="VeryUnhealthy"/>
    <s v="Normal"/>
    <s v="High Humidity"/>
    <s v="Low Wind"/>
  </r>
  <r>
    <s v="AQ100871"/>
    <d v="2025-04-19T00:00:00"/>
    <x v="4"/>
    <x v="3"/>
    <s v="Station-08"/>
    <n v="49.8"/>
    <n v="84.6"/>
    <n v="26.1"/>
    <n v="40.6"/>
    <n v="1.03"/>
    <n v="14"/>
    <n v="27"/>
    <n v="76"/>
    <n v="2.8"/>
    <n v="216"/>
    <x v="1"/>
    <s v="Moderate"/>
    <s v="Normal"/>
    <s v="High Humidity"/>
    <s v="Moderate Wind"/>
  </r>
  <r>
    <s v="AQ100872"/>
    <d v="2025-05-17T00:00:00"/>
    <x v="1"/>
    <x v="1"/>
    <s v="Station-07"/>
    <n v="126.9"/>
    <n v="66.5"/>
    <n v="51.9"/>
    <n v="23.9"/>
    <n v="2.16"/>
    <n v="10.7"/>
    <n v="27.5"/>
    <n v="68.7"/>
    <n v="1.5"/>
    <n v="363"/>
    <x v="0"/>
    <s v="Moderate"/>
    <s v="Normal"/>
    <s v="High Humidity"/>
    <s v="Low Wind"/>
  </r>
  <r>
    <s v="AQ100873"/>
    <d v="2025-10-15T00:00:00"/>
    <x v="9"/>
    <x v="0"/>
    <s v="Station-01"/>
    <n v="22.2"/>
    <n v="86"/>
    <n v="19.8"/>
    <n v="3.5"/>
    <n v="0.18"/>
    <n v="23.9"/>
    <n v="30.3"/>
    <n v="58.5"/>
    <n v="1.2"/>
    <n v="125"/>
    <x v="2"/>
    <s v="Moderate"/>
    <s v="Hot"/>
    <s v="Normal Humidity"/>
    <s v="Low Wind"/>
  </r>
  <r>
    <s v="AQ100874"/>
    <d v="2025-12-26T00:00:00"/>
    <x v="7"/>
    <x v="2"/>
    <s v="Station-05"/>
    <n v="56"/>
    <n v="44.7"/>
    <n v="9.4"/>
    <n v="45.4"/>
    <n v="0.34"/>
    <n v="57.1"/>
    <n v="26.1"/>
    <n v="56.8"/>
    <n v="2.4"/>
    <n v="192"/>
    <x v="2"/>
    <s v="Good"/>
    <s v="Normal"/>
    <s v="Normal Humidity"/>
    <s v="Moderate Wind"/>
  </r>
  <r>
    <s v="AQ100875"/>
    <d v="2025-06-28T00:00:00"/>
    <x v="2"/>
    <x v="1"/>
    <s v="Station-04"/>
    <n v="68"/>
    <n v="43"/>
    <n v="27.4"/>
    <n v="13.4"/>
    <n v="0.49"/>
    <n v="57.7"/>
    <n v="22.3"/>
    <n v="98"/>
    <n v="3.5"/>
    <n v="206"/>
    <x v="1"/>
    <s v="Good"/>
    <s v="Normal"/>
    <s v="High Humidity"/>
    <s v="Moderate Wind"/>
  </r>
  <r>
    <s v="AQ100876"/>
    <d v="2025-10-02T00:00:00"/>
    <x v="10"/>
    <x v="3"/>
    <s v="Station-08"/>
    <n v="120.1"/>
    <n v="88"/>
    <n v="17.399999999999999"/>
    <n v="18.2"/>
    <n v="2.0099999999999998"/>
    <n v="46.8"/>
    <n v="29.2"/>
    <n v="66.2"/>
    <n v="3.8"/>
    <n v="347"/>
    <x v="0"/>
    <s v="Moderate"/>
    <s v="Normal"/>
    <s v="High Humidity"/>
    <s v="Moderate Wind"/>
  </r>
  <r>
    <s v="AQ100877"/>
    <d v="2025-05-22T00:00:00"/>
    <x v="3"/>
    <x v="2"/>
    <s v="Station-06"/>
    <n v="14.5"/>
    <n v="58"/>
    <n v="41.9"/>
    <n v="26.1"/>
    <n v="0.63"/>
    <n v="43.5"/>
    <n v="23.1"/>
    <n v="84.3"/>
    <n v="0.7"/>
    <n v="148"/>
    <x v="2"/>
    <s v="Moderate"/>
    <s v="Normal"/>
    <s v="High Humidity"/>
    <s v="Low Wind"/>
  </r>
  <r>
    <s v="AQ100878"/>
    <d v="2025-08-25T00:00:00"/>
    <x v="15"/>
    <x v="3"/>
    <s v="Station-12"/>
    <n v="70.400000000000006"/>
    <n v="75.2"/>
    <n v="15.3"/>
    <n v="7.4"/>
    <n v="0.43"/>
    <n v="58.8"/>
    <n v="27.7"/>
    <n v="68.8"/>
    <n v="2.9"/>
    <n v="216"/>
    <x v="1"/>
    <s v="Moderate"/>
    <s v="Normal"/>
    <s v="High Humidity"/>
    <s v="Moderate Wind"/>
  </r>
  <r>
    <s v="AQ100879"/>
    <d v="2025-05-23T00:00:00"/>
    <x v="14"/>
    <x v="3"/>
    <s v="Station-10"/>
    <n v="106"/>
    <n v="125.8"/>
    <n v="24.2"/>
    <n v="11.7"/>
    <n v="0.6"/>
    <n v="15.5"/>
    <n v="18.7"/>
    <n v="37.200000000000003"/>
    <n v="3.3"/>
    <n v="301"/>
    <x v="0"/>
    <s v="Unhealthy"/>
    <s v="Cool"/>
    <s v="Normal Humidity"/>
    <s v="Moderate Wind"/>
  </r>
  <r>
    <s v="AQ100880"/>
    <d v="2025-02-25T00:00:00"/>
    <x v="15"/>
    <x v="3"/>
    <s v="Station-10"/>
    <n v="15.2"/>
    <n v="43.2"/>
    <n v="17.7"/>
    <n v="9.5"/>
    <n v="0.18"/>
    <n v="48.6"/>
    <n v="34.200000000000003"/>
    <n v="52.4"/>
    <n v="4.3"/>
    <n v="100"/>
    <x v="3"/>
    <s v="Good"/>
    <s v="Hot"/>
    <s v="Normal Humidity"/>
    <s v="Moderate Wind"/>
  </r>
  <r>
    <s v="AQ100881"/>
    <d v="2025-11-13T00:00:00"/>
    <x v="15"/>
    <x v="3"/>
    <s v="Station-11"/>
    <n v="35.700000000000003"/>
    <n v="34.5"/>
    <n v="17.100000000000001"/>
    <n v="19"/>
    <n v="0.2"/>
    <n v="38.5"/>
    <n v="32.6"/>
    <n v="70.3"/>
    <n v="3.7"/>
    <n v="129"/>
    <x v="2"/>
    <s v="Good"/>
    <s v="Hot"/>
    <s v="High Humidity"/>
    <s v="Moderate Wind"/>
  </r>
  <r>
    <s v="AQ100882"/>
    <d v="2025-05-16T00:00:00"/>
    <x v="8"/>
    <x v="2"/>
    <s v="Station-07"/>
    <n v="74.900000000000006"/>
    <n v="41.9"/>
    <n v="21.2"/>
    <n v="10.1"/>
    <n v="0.64"/>
    <n v="38.9"/>
    <n v="23.1"/>
    <n v="55.2"/>
    <n v="3"/>
    <n v="205"/>
    <x v="1"/>
    <s v="Good"/>
    <s v="Normal"/>
    <s v="Normal Humidity"/>
    <s v="Moderate Wind"/>
  </r>
  <r>
    <s v="AQ100883"/>
    <d v="2025-05-11T00:00:00"/>
    <x v="13"/>
    <x v="4"/>
    <s v="Station-06"/>
    <n v="18.100000000000001"/>
    <n v="118.6"/>
    <n v="46.9"/>
    <n v="3.1"/>
    <n v="1.28"/>
    <n v="46.5"/>
    <n v="24.3"/>
    <n v="55.5"/>
    <n v="2"/>
    <n v="199"/>
    <x v="2"/>
    <s v="Unhealthy"/>
    <s v="Normal"/>
    <s v="Normal Humidity"/>
    <s v="Moderate Wind"/>
  </r>
  <r>
    <s v="AQ100884"/>
    <d v="2025-05-19T00:00:00"/>
    <x v="5"/>
    <x v="4"/>
    <s v="Station-03"/>
    <n v="69.3"/>
    <n v="80.599999999999994"/>
    <n v="29"/>
    <n v="7.5"/>
    <n v="1.88"/>
    <n v="25.6"/>
    <n v="31.3"/>
    <n v="46.2"/>
    <n v="2.2999999999999998"/>
    <n v="250"/>
    <x v="1"/>
    <s v="Moderate"/>
    <s v="Hot"/>
    <s v="Normal Humidity"/>
    <s v="Moderate Wind"/>
  </r>
  <r>
    <s v="AQ100885"/>
    <d v="2025-10-23T00:00:00"/>
    <x v="12"/>
    <x v="4"/>
    <s v="Station-06"/>
    <n v="28.5"/>
    <n v="44"/>
    <n v="14.9"/>
    <n v="9.4"/>
    <n v="1.1599999999999999"/>
    <n v="3.7"/>
    <n v="31.9"/>
    <n v="73.7"/>
    <n v="2.2000000000000002"/>
    <n v="123"/>
    <x v="2"/>
    <s v="Good"/>
    <s v="Hot"/>
    <s v="High Humidity"/>
    <s v="Moderate Wind"/>
  </r>
  <r>
    <s v="AQ100886"/>
    <d v="2025-09-14T00:00:00"/>
    <x v="7"/>
    <x v="2"/>
    <s v="Station-04"/>
    <n v="68.2"/>
    <n v="105.3"/>
    <n v="56.1"/>
    <n v="4.8"/>
    <n v="2.38"/>
    <n v="62.2"/>
    <n v="21.6"/>
    <n v="67.099999999999994"/>
    <n v="1.2"/>
    <n v="313"/>
    <x v="0"/>
    <s v="Unhealthy"/>
    <s v="Normal"/>
    <s v="High Humidity"/>
    <s v="Low Wind"/>
  </r>
  <r>
    <s v="AQ100887"/>
    <d v="2025-03-06T00:00:00"/>
    <x v="6"/>
    <x v="1"/>
    <s v="Station-07"/>
    <n v="66.900000000000006"/>
    <n v="143.30000000000001"/>
    <n v="17.899999999999999"/>
    <n v="10.5"/>
    <n v="0.43"/>
    <n v="18.5"/>
    <n v="26.7"/>
    <n v="50"/>
    <n v="1.9"/>
    <n v="241"/>
    <x v="1"/>
    <s v="Unhealthy"/>
    <s v="Normal"/>
    <s v="Normal Humidity"/>
    <s v="Low Wind"/>
  </r>
  <r>
    <s v="AQ100888"/>
    <d v="2025-01-30T00:00:00"/>
    <x v="5"/>
    <x v="4"/>
    <s v="Station-12"/>
    <n v="54.7"/>
    <n v="112.6"/>
    <n v="27.4"/>
    <n v="12.7"/>
    <n v="0.73"/>
    <n v="38.4"/>
    <n v="37"/>
    <n v="55.3"/>
    <n v="1.5"/>
    <n v="227"/>
    <x v="1"/>
    <s v="Unhealthy"/>
    <s v="Hot"/>
    <s v="Normal Humidity"/>
    <s v="Low Wind"/>
  </r>
  <r>
    <s v="AQ100889"/>
    <d v="2025-08-15T00:00:00"/>
    <x v="7"/>
    <x v="2"/>
    <s v="Station-14"/>
    <n v="56.1"/>
    <n v="49.3"/>
    <n v="27.9"/>
    <n v="8.8000000000000007"/>
    <n v="0.08"/>
    <n v="37.200000000000003"/>
    <n v="26.3"/>
    <n v="61.8"/>
    <n v="2.1"/>
    <n v="169"/>
    <x v="2"/>
    <s v="Good"/>
    <s v="Normal"/>
    <s v="High Humidity"/>
    <s v="Moderate Wind"/>
  </r>
  <r>
    <s v="AQ100890"/>
    <d v="2025-02-21T00:00:00"/>
    <x v="10"/>
    <x v="3"/>
    <s v="Station-05"/>
    <n v="27.6"/>
    <n v="203.1"/>
    <n v="16.600000000000001"/>
    <n v="2.6"/>
    <n v="1.23"/>
    <n v="34.4"/>
    <n v="23"/>
    <n v="59.5"/>
    <n v="2.2000000000000002"/>
    <n v="238"/>
    <x v="1"/>
    <s v="VeryUnhealthy"/>
    <s v="Normal"/>
    <s v="Normal Humidity"/>
    <s v="Moderate Wind"/>
  </r>
  <r>
    <s v="AQ100891"/>
    <d v="2025-03-01T00:00:00"/>
    <x v="0"/>
    <x v="0"/>
    <s v="Station-06"/>
    <n v="101.3"/>
    <n v="54.3"/>
    <n v="4.0999999999999996"/>
    <n v="14"/>
    <n v="0.5"/>
    <n v="58.5"/>
    <n v="24"/>
    <n v="45.5"/>
    <n v="2.7"/>
    <n v="249"/>
    <x v="1"/>
    <s v="Moderate"/>
    <s v="Normal"/>
    <s v="Normal Humidity"/>
    <s v="Moderate Wind"/>
  </r>
  <r>
    <s v="AQ100892"/>
    <d v="2025-10-17T00:00:00"/>
    <x v="14"/>
    <x v="3"/>
    <s v="Station-11"/>
    <n v="29.3"/>
    <n v="65.7"/>
    <n v="37.1"/>
    <n v="15.6"/>
    <n v="0.28999999999999998"/>
    <n v="22.4"/>
    <n v="30.8"/>
    <n v="47.5"/>
    <n v="2.9"/>
    <n v="148"/>
    <x v="2"/>
    <s v="Moderate"/>
    <s v="Hot"/>
    <s v="Normal Humidity"/>
    <s v="Moderate Wind"/>
  </r>
  <r>
    <s v="AQ100893"/>
    <d v="2025-09-22T00:00:00"/>
    <x v="2"/>
    <x v="1"/>
    <s v="Station-14"/>
    <n v="48.7"/>
    <n v="40"/>
    <n v="9.6"/>
    <n v="0.9"/>
    <n v="0.63"/>
    <n v="52.2"/>
    <n v="26.9"/>
    <n v="62.3"/>
    <n v="0.9"/>
    <n v="151"/>
    <x v="2"/>
    <s v="Good"/>
    <s v="Normal"/>
    <s v="High Humidity"/>
    <s v="Low Wind"/>
  </r>
  <r>
    <s v="AQ100894"/>
    <d v="2025-05-20T00:00:00"/>
    <x v="7"/>
    <x v="2"/>
    <s v="Station-03"/>
    <n v="81.3"/>
    <n v="147.1"/>
    <n v="87.1"/>
    <n v="19.600000000000001"/>
    <n v="0.82"/>
    <n v="32.1"/>
    <n v="20"/>
    <n v="57.8"/>
    <n v="2.8"/>
    <n v="344"/>
    <x v="0"/>
    <s v="Unhealthy"/>
    <s v="Normal"/>
    <s v="Normal Humidity"/>
    <s v="Moderate Wind"/>
  </r>
  <r>
    <s v="AQ100895"/>
    <d v="2025-09-24T00:00:00"/>
    <x v="7"/>
    <x v="2"/>
    <s v="Station-08"/>
    <n v="33.200000000000003"/>
    <n v="88.2"/>
    <n v="53.6"/>
    <n v="2.2000000000000002"/>
    <n v="0.51"/>
    <n v="30.3"/>
    <n v="34.299999999999997"/>
    <n v="57.2"/>
    <n v="2"/>
    <n v="181"/>
    <x v="2"/>
    <s v="Moderate"/>
    <s v="Hot"/>
    <s v="Normal Humidity"/>
    <s v="Moderate Wind"/>
  </r>
  <r>
    <s v="AQ100896"/>
    <d v="2025-04-20T00:00:00"/>
    <x v="14"/>
    <x v="3"/>
    <s v="Station-03"/>
    <n v="27.4"/>
    <n v="124.9"/>
    <n v="80.5"/>
    <n v="9.6999999999999993"/>
    <n v="0.13"/>
    <n v="69.5"/>
    <n v="28.4"/>
    <n v="40.799999999999997"/>
    <n v="2"/>
    <n v="231"/>
    <x v="1"/>
    <s v="Unhealthy"/>
    <s v="Normal"/>
    <s v="Normal Humidity"/>
    <s v="Moderate Wind"/>
  </r>
  <r>
    <s v="AQ100897"/>
    <d v="2025-06-20T00:00:00"/>
    <x v="11"/>
    <x v="0"/>
    <s v="Station-05"/>
    <n v="32"/>
    <n v="43.1"/>
    <n v="12.9"/>
    <n v="13.3"/>
    <n v="1.18"/>
    <n v="38.799999999999997"/>
    <n v="21.6"/>
    <n v="76.7"/>
    <n v="1.8"/>
    <n v="146"/>
    <x v="2"/>
    <s v="Good"/>
    <s v="Normal"/>
    <s v="High Humidity"/>
    <s v="Low Wind"/>
  </r>
  <r>
    <s v="AQ100898"/>
    <d v="2025-02-08T00:00:00"/>
    <x v="12"/>
    <x v="4"/>
    <s v="Station-13"/>
    <n v="80.2"/>
    <n v="18.5"/>
    <n v="62.2"/>
    <n v="16.7"/>
    <n v="0.45"/>
    <n v="34.4"/>
    <n v="20.2"/>
    <n v="67.2"/>
    <n v="1.6"/>
    <n v="229"/>
    <x v="1"/>
    <s v="Good"/>
    <s v="Normal"/>
    <s v="High Humidity"/>
    <s v="Low Wind"/>
  </r>
  <r>
    <s v="AQ100899"/>
    <d v="2025-10-27T00:00:00"/>
    <x v="2"/>
    <x v="1"/>
    <s v="Station-07"/>
    <n v="87.9"/>
    <n v="107.7"/>
    <n v="33"/>
    <n v="29.7"/>
    <n v="0.52"/>
    <n v="63.3"/>
    <n v="19.600000000000001"/>
    <n v="68.599999999999994"/>
    <n v="1.3"/>
    <n v="299"/>
    <x v="1"/>
    <s v="Unhealthy"/>
    <s v="Cool"/>
    <s v="High Humidity"/>
    <s v="Low Wind"/>
  </r>
  <r>
    <s v="AQ100900"/>
    <d v="2025-01-31T00:00:00"/>
    <x v="12"/>
    <x v="4"/>
    <s v="Station-10"/>
    <n v="13.4"/>
    <n v="122.7"/>
    <n v="16"/>
    <n v="9.1"/>
    <n v="0.21"/>
    <n v="15.9"/>
    <n v="35.5"/>
    <n v="79.3"/>
    <n v="2.2000000000000002"/>
    <n v="133"/>
    <x v="2"/>
    <s v="Unhealthy"/>
    <s v="Hot"/>
    <s v="High Humidity"/>
    <s v="Moderate Wind"/>
  </r>
  <r>
    <s v="AQ100901"/>
    <d v="2025-12-10T00:00:00"/>
    <x v="4"/>
    <x v="3"/>
    <s v="Station-08"/>
    <n v="49.6"/>
    <n v="110.9"/>
    <n v="23.3"/>
    <n v="40.6"/>
    <n v="1.32"/>
    <n v="41.1"/>
    <n v="21.7"/>
    <n v="54.1"/>
    <n v="1.2"/>
    <n v="250"/>
    <x v="1"/>
    <s v="Unhealthy"/>
    <s v="Normal"/>
    <s v="Normal Humidity"/>
    <s v="Low Wind"/>
  </r>
  <r>
    <s v="AQ100902"/>
    <d v="2025-06-02T00:00:00"/>
    <x v="11"/>
    <x v="0"/>
    <s v="Station-03"/>
    <n v="14.9"/>
    <n v="39"/>
    <n v="10"/>
    <n v="21.8"/>
    <n v="0.75"/>
    <n v="15.1"/>
    <n v="33.5"/>
    <n v="79.3"/>
    <n v="2.9"/>
    <n v="98"/>
    <x v="3"/>
    <s v="Good"/>
    <s v="Hot"/>
    <s v="High Humidity"/>
    <s v="Moderate Wind"/>
  </r>
  <r>
    <s v="AQ100903"/>
    <d v="2025-04-19T00:00:00"/>
    <x v="10"/>
    <x v="3"/>
    <s v="Station-08"/>
    <n v="29.3"/>
    <n v="148.30000000000001"/>
    <n v="13.4"/>
    <n v="18"/>
    <n v="0.94"/>
    <n v="41.4"/>
    <n v="30.2"/>
    <n v="55.3"/>
    <n v="1.2"/>
    <n v="209"/>
    <x v="1"/>
    <s v="Unhealthy"/>
    <s v="Hot"/>
    <s v="Normal Humidity"/>
    <s v="Low Wind"/>
  </r>
  <r>
    <s v="AQ100904"/>
    <d v="2025-06-17T00:00:00"/>
    <x v="6"/>
    <x v="1"/>
    <s v="Station-14"/>
    <n v="40.6"/>
    <n v="105.4"/>
    <n v="26.5"/>
    <n v="9.1999999999999993"/>
    <n v="2.2400000000000002"/>
    <n v="37.6"/>
    <n v="26.2"/>
    <n v="48.6"/>
    <n v="3.1"/>
    <n v="234"/>
    <x v="1"/>
    <s v="Unhealthy"/>
    <s v="Normal"/>
    <s v="Normal Humidity"/>
    <s v="Moderate Wind"/>
  </r>
  <r>
    <s v="AQ100905"/>
    <d v="2025-08-16T00:00:00"/>
    <x v="9"/>
    <x v="0"/>
    <s v="Station-13"/>
    <n v="65.900000000000006"/>
    <n v="85.9"/>
    <n v="60.4"/>
    <n v="13.6"/>
    <n v="0.41"/>
    <n v="91.6"/>
    <n v="25"/>
    <n v="65.5"/>
    <n v="1.3"/>
    <n v="271"/>
    <x v="1"/>
    <s v="Moderate"/>
    <s v="Normal"/>
    <s v="High Humidity"/>
    <s v="Low Wind"/>
  </r>
  <r>
    <s v="AQ100906"/>
    <d v="2025-12-21T00:00:00"/>
    <x v="14"/>
    <x v="3"/>
    <s v="Station-13"/>
    <n v="33.5"/>
    <n v="54.6"/>
    <n v="50.2"/>
    <n v="9.6999999999999993"/>
    <n v="1.51"/>
    <n v="44"/>
    <n v="29.1"/>
    <n v="72.599999999999994"/>
    <n v="2"/>
    <n v="194"/>
    <x v="2"/>
    <s v="Moderate"/>
    <s v="Normal"/>
    <s v="High Humidity"/>
    <s v="Moderate Wind"/>
  </r>
  <r>
    <s v="AQ100907"/>
    <d v="2025-12-14T00:00:00"/>
    <x v="4"/>
    <x v="3"/>
    <s v="Station-03"/>
    <n v="62.3"/>
    <n v="50.2"/>
    <n v="34.1"/>
    <n v="18.3"/>
    <n v="0.16"/>
    <n v="21.6"/>
    <n v="27"/>
    <n v="57.7"/>
    <n v="0.6"/>
    <n v="186"/>
    <x v="2"/>
    <s v="Moderate"/>
    <s v="Normal"/>
    <s v="Normal Humidity"/>
    <s v="Low Wind"/>
  </r>
  <r>
    <s v="AQ100908"/>
    <d v="2025-08-31T00:00:00"/>
    <x v="3"/>
    <x v="2"/>
    <s v="Station-09"/>
    <n v="25.2"/>
    <n v="122.5"/>
    <n v="72.8"/>
    <n v="18.600000000000001"/>
    <n v="0.19"/>
    <n v="23.6"/>
    <n v="21.3"/>
    <n v="61.3"/>
    <n v="1.7"/>
    <n v="207"/>
    <x v="1"/>
    <s v="Unhealthy"/>
    <s v="Normal"/>
    <s v="High Humidity"/>
    <s v="Low Wind"/>
  </r>
  <r>
    <s v="AQ100909"/>
    <d v="2025-12-23T00:00:00"/>
    <x v="4"/>
    <x v="3"/>
    <s v="Station-01"/>
    <n v="23.9"/>
    <n v="119.5"/>
    <n v="23.4"/>
    <n v="5.8"/>
    <n v="0.25"/>
    <n v="29.7"/>
    <n v="21.5"/>
    <n v="56"/>
    <n v="2.9"/>
    <n v="158"/>
    <x v="2"/>
    <s v="Unhealthy"/>
    <s v="Normal"/>
    <s v="Normal Humidity"/>
    <s v="Moderate Wind"/>
  </r>
  <r>
    <s v="AQ100910"/>
    <d v="2025-03-23T00:00:00"/>
    <x v="4"/>
    <x v="3"/>
    <s v="Station-06"/>
    <n v="15"/>
    <n v="90.2"/>
    <n v="23.5"/>
    <n v="4.8"/>
    <n v="0.83"/>
    <n v="70.8"/>
    <n v="31.3"/>
    <n v="81.7"/>
    <n v="2.1"/>
    <n v="157"/>
    <x v="2"/>
    <s v="Moderate"/>
    <s v="Hot"/>
    <s v="High Humidity"/>
    <s v="Moderate Wind"/>
  </r>
  <r>
    <s v="AQ100911"/>
    <d v="2025-01-08T00:00:00"/>
    <x v="5"/>
    <x v="4"/>
    <s v="Station-09"/>
    <n v="46.7"/>
    <n v="55.5"/>
    <n v="16.399999999999999"/>
    <n v="3.9"/>
    <n v="0.33"/>
    <n v="19.600000000000001"/>
    <n v="20.5"/>
    <n v="90.6"/>
    <n v="2.2000000000000002"/>
    <n v="144"/>
    <x v="2"/>
    <s v="Moderate"/>
    <s v="Normal"/>
    <s v="High Humidity"/>
    <s v="Moderate Wind"/>
  </r>
  <r>
    <s v="AQ100912"/>
    <d v="2025-09-07T00:00:00"/>
    <x v="1"/>
    <x v="1"/>
    <s v="Station-04"/>
    <n v="55.2"/>
    <n v="122.1"/>
    <n v="35.6"/>
    <n v="9"/>
    <n v="1.08"/>
    <n v="28.4"/>
    <n v="33.299999999999997"/>
    <n v="71.8"/>
    <n v="2"/>
    <n v="242"/>
    <x v="1"/>
    <s v="Unhealthy"/>
    <s v="Hot"/>
    <s v="High Humidity"/>
    <s v="Moderate Wind"/>
  </r>
  <r>
    <s v="AQ100913"/>
    <d v="2025-12-12T00:00:00"/>
    <x v="13"/>
    <x v="4"/>
    <s v="Station-15"/>
    <n v="7.1"/>
    <n v="230.4"/>
    <n v="48.1"/>
    <n v="3.1"/>
    <n v="0.73"/>
    <n v="48.4"/>
    <n v="23.3"/>
    <n v="69.599999999999994"/>
    <n v="0.6"/>
    <n v="242"/>
    <x v="1"/>
    <s v="VeryUnhealthy"/>
    <s v="Normal"/>
    <s v="High Humidity"/>
    <s v="Low Wind"/>
  </r>
  <r>
    <s v="AQ100914"/>
    <d v="2025-01-05T00:00:00"/>
    <x v="9"/>
    <x v="0"/>
    <s v="Station-06"/>
    <n v="82.4"/>
    <n v="82.1"/>
    <n v="5"/>
    <n v="8.3000000000000007"/>
    <n v="1.02"/>
    <n v="13.9"/>
    <n v="26.3"/>
    <n v="30.1"/>
    <n v="3.3"/>
    <n v="227"/>
    <x v="1"/>
    <s v="Moderate"/>
    <s v="Normal"/>
    <s v="Normal Humidity"/>
    <s v="Moderate Wind"/>
  </r>
  <r>
    <s v="AQ100915"/>
    <d v="2025-11-20T00:00:00"/>
    <x v="11"/>
    <x v="0"/>
    <s v="Station-10"/>
    <n v="63"/>
    <n v="92.6"/>
    <n v="7.3"/>
    <n v="23.5"/>
    <n v="0.66"/>
    <n v="84.6"/>
    <n v="30.1"/>
    <n v="75.400000000000006"/>
    <n v="1.7"/>
    <n v="238"/>
    <x v="1"/>
    <s v="Moderate"/>
    <s v="Hot"/>
    <s v="High Humidity"/>
    <s v="Low Wind"/>
  </r>
  <r>
    <s v="AQ100916"/>
    <d v="2025-09-29T00:00:00"/>
    <x v="8"/>
    <x v="2"/>
    <s v="Station-11"/>
    <n v="32.9"/>
    <n v="97.7"/>
    <n v="41.6"/>
    <n v="2.6"/>
    <n v="0.46"/>
    <n v="60.8"/>
    <n v="34.700000000000003"/>
    <n v="28.8"/>
    <n v="1.9"/>
    <n v="190"/>
    <x v="2"/>
    <s v="Moderate"/>
    <s v="Hot"/>
    <s v="Low Humidity"/>
    <s v="Low Wind"/>
  </r>
  <r>
    <s v="AQ100917"/>
    <d v="2025-09-30T00:00:00"/>
    <x v="12"/>
    <x v="4"/>
    <s v="Station-05"/>
    <n v="39"/>
    <n v="69"/>
    <n v="23.6"/>
    <n v="3.6"/>
    <n v="0.88"/>
    <n v="44.5"/>
    <n v="32.299999999999997"/>
    <n v="46.2"/>
    <n v="2.7"/>
    <n v="171"/>
    <x v="2"/>
    <s v="Moderate"/>
    <s v="Hot"/>
    <s v="Normal Humidity"/>
    <s v="Moderate Wind"/>
  </r>
  <r>
    <s v="AQ100918"/>
    <d v="2025-04-25T00:00:00"/>
    <x v="14"/>
    <x v="3"/>
    <s v="Station-04"/>
    <n v="60.9"/>
    <n v="92.4"/>
    <n v="6.8"/>
    <n v="15.7"/>
    <n v="0.23"/>
    <n v="10.199999999999999"/>
    <n v="22.8"/>
    <n v="48.5"/>
    <n v="3.4"/>
    <n v="184"/>
    <x v="2"/>
    <s v="Moderate"/>
    <s v="Normal"/>
    <s v="Normal Humidity"/>
    <s v="Moderate Wind"/>
  </r>
  <r>
    <s v="AQ100919"/>
    <d v="2025-10-28T00:00:00"/>
    <x v="0"/>
    <x v="0"/>
    <s v="Station-01"/>
    <n v="77.8"/>
    <n v="56.5"/>
    <n v="57.1"/>
    <n v="13"/>
    <n v="0.27"/>
    <n v="21.4"/>
    <n v="32.4"/>
    <n v="70"/>
    <n v="5.2"/>
    <n v="232"/>
    <x v="1"/>
    <s v="Moderate"/>
    <s v="Hot"/>
    <s v="High Humidity"/>
    <s v="High Wind"/>
  </r>
  <r>
    <s v="AQ100920"/>
    <d v="2025-09-05T00:00:00"/>
    <x v="6"/>
    <x v="1"/>
    <s v="Station-12"/>
    <n v="70.2"/>
    <n v="69.400000000000006"/>
    <n v="31.5"/>
    <n v="12.4"/>
    <n v="0.46"/>
    <n v="42.1"/>
    <n v="28.7"/>
    <n v="59.4"/>
    <n v="2.8"/>
    <n v="222"/>
    <x v="1"/>
    <s v="Moderate"/>
    <s v="Normal"/>
    <s v="Normal Humidity"/>
    <s v="Moderate Wind"/>
  </r>
  <r>
    <s v="AQ100921"/>
    <d v="2025-10-27T00:00:00"/>
    <x v="8"/>
    <x v="2"/>
    <s v="Station-04"/>
    <n v="20.2"/>
    <n v="130.6"/>
    <n v="30.7"/>
    <n v="19.399999999999999"/>
    <n v="1.0900000000000001"/>
    <n v="105"/>
    <n v="22.9"/>
    <n v="49.8"/>
    <n v="3.6"/>
    <n v="230"/>
    <x v="1"/>
    <s v="Unhealthy"/>
    <s v="Normal"/>
    <s v="Normal Humidity"/>
    <s v="Moderate Wind"/>
  </r>
  <r>
    <s v="AQ100922"/>
    <d v="2025-12-15T00:00:00"/>
    <x v="0"/>
    <x v="0"/>
    <s v="Station-15"/>
    <n v="53.9"/>
    <n v="138.30000000000001"/>
    <n v="45.6"/>
    <n v="13.4"/>
    <n v="0.46"/>
    <n v="46.4"/>
    <n v="36.6"/>
    <n v="83.4"/>
    <n v="3.9"/>
    <n v="254"/>
    <x v="1"/>
    <s v="Unhealthy"/>
    <s v="Hot"/>
    <s v="High Humidity"/>
    <s v="Moderate Wind"/>
  </r>
  <r>
    <s v="AQ100923"/>
    <d v="2025-07-10T00:00:00"/>
    <x v="5"/>
    <x v="4"/>
    <s v="Station-08"/>
    <n v="37.299999999999997"/>
    <n v="170.1"/>
    <n v="26.4"/>
    <n v="5.5"/>
    <n v="0.48"/>
    <n v="56.6"/>
    <n v="29.8"/>
    <n v="49.9"/>
    <n v="3"/>
    <n v="233"/>
    <x v="1"/>
    <s v="VeryUnhealthy"/>
    <s v="Normal"/>
    <s v="Normal Humidity"/>
    <s v="Moderate Wind"/>
  </r>
  <r>
    <s v="AQ100924"/>
    <d v="2025-12-28T00:00:00"/>
    <x v="12"/>
    <x v="4"/>
    <s v="Station-11"/>
    <n v="87.9"/>
    <n v="54.2"/>
    <n v="24.3"/>
    <n v="2.5"/>
    <n v="1.08"/>
    <n v="25.6"/>
    <n v="34.200000000000003"/>
    <n v="57.8"/>
    <n v="4.5999999999999996"/>
    <n v="236"/>
    <x v="1"/>
    <s v="Moderate"/>
    <s v="Hot"/>
    <s v="Normal Humidity"/>
    <s v="Moderate Wind"/>
  </r>
  <r>
    <s v="AQ100925"/>
    <d v="2025-05-02T00:00:00"/>
    <x v="7"/>
    <x v="2"/>
    <s v="Station-03"/>
    <n v="51.8"/>
    <n v="57"/>
    <n v="34.299999999999997"/>
    <n v="55.8"/>
    <n v="0.28000000000000003"/>
    <n v="29.9"/>
    <n v="26.8"/>
    <n v="38.9"/>
    <n v="2.2000000000000002"/>
    <n v="207"/>
    <x v="1"/>
    <s v="Moderate"/>
    <s v="Normal"/>
    <s v="Normal Humidity"/>
    <s v="Moderate Wind"/>
  </r>
  <r>
    <s v="AQ100926"/>
    <d v="2025-07-22T00:00:00"/>
    <x v="9"/>
    <x v="0"/>
    <s v="Station-02"/>
    <n v="62.1"/>
    <n v="56.2"/>
    <n v="20.6"/>
    <n v="14.9"/>
    <n v="0.2"/>
    <n v="9.6999999999999993"/>
    <n v="24.7"/>
    <n v="47.6"/>
    <n v="1.3"/>
    <n v="172"/>
    <x v="2"/>
    <s v="Moderate"/>
    <s v="Normal"/>
    <s v="Normal Humidity"/>
    <s v="Low Wind"/>
  </r>
  <r>
    <s v="AQ100927"/>
    <d v="2025-12-02T00:00:00"/>
    <x v="2"/>
    <x v="1"/>
    <s v="Station-15"/>
    <n v="25.5"/>
    <n v="83.2"/>
    <n v="27.1"/>
    <n v="21.4"/>
    <n v="0.81"/>
    <n v="49.3"/>
    <n v="20"/>
    <n v="78.3"/>
    <n v="1.9"/>
    <n v="174"/>
    <x v="2"/>
    <s v="Moderate"/>
    <s v="Normal"/>
    <s v="High Humidity"/>
    <s v="Low Wind"/>
  </r>
  <r>
    <s v="AQ100928"/>
    <d v="2025-01-26T00:00:00"/>
    <x v="13"/>
    <x v="4"/>
    <s v="Station-04"/>
    <n v="122.2"/>
    <n v="29.5"/>
    <n v="14.4"/>
    <n v="17.7"/>
    <n v="1.25"/>
    <n v="61.1"/>
    <n v="28"/>
    <n v="36.4"/>
    <n v="1.2"/>
    <n v="297"/>
    <x v="1"/>
    <s v="Good"/>
    <s v="Normal"/>
    <s v="Normal Humidity"/>
    <s v="Low Wind"/>
  </r>
  <r>
    <s v="AQ100929"/>
    <d v="2025-04-05T00:00:00"/>
    <x v="15"/>
    <x v="3"/>
    <s v="Station-01"/>
    <n v="80.7"/>
    <n v="57.4"/>
    <n v="35.200000000000003"/>
    <n v="12.6"/>
    <n v="0.34"/>
    <n v="49.3"/>
    <n v="17.399999999999999"/>
    <n v="69.5"/>
    <n v="2.5"/>
    <n v="234"/>
    <x v="1"/>
    <s v="Moderate"/>
    <s v="Cool"/>
    <s v="High Humidity"/>
    <s v="Moderate Wind"/>
  </r>
  <r>
    <s v="AQ100930"/>
    <d v="2025-01-23T00:00:00"/>
    <x v="14"/>
    <x v="3"/>
    <s v="Station-02"/>
    <n v="115"/>
    <n v="55.3"/>
    <n v="48.1"/>
    <n v="8.3000000000000007"/>
    <n v="1.32"/>
    <n v="8.1999999999999993"/>
    <n v="28"/>
    <n v="65.3"/>
    <n v="2.1"/>
    <n v="301"/>
    <x v="0"/>
    <s v="Moderate"/>
    <s v="Normal"/>
    <s v="High Humidity"/>
    <s v="Moderate Wind"/>
  </r>
  <r>
    <s v="AQ100931"/>
    <d v="2025-09-15T00:00:00"/>
    <x v="0"/>
    <x v="0"/>
    <s v="Station-14"/>
    <n v="42.9"/>
    <n v="103.6"/>
    <n v="39.200000000000003"/>
    <n v="15.7"/>
    <n v="0.68"/>
    <n v="36"/>
    <n v="21.1"/>
    <n v="71.5"/>
    <n v="0.8"/>
    <n v="212"/>
    <x v="1"/>
    <s v="Unhealthy"/>
    <s v="Normal"/>
    <s v="High Humidity"/>
    <s v="Low Wind"/>
  </r>
  <r>
    <s v="AQ100932"/>
    <d v="2025-04-10T00:00:00"/>
    <x v="1"/>
    <x v="1"/>
    <s v="Station-09"/>
    <n v="111.3"/>
    <n v="78.5"/>
    <n v="23.5"/>
    <n v="8.6"/>
    <n v="0.75"/>
    <n v="25.7"/>
    <n v="29.1"/>
    <n v="44.9"/>
    <n v="1.1000000000000001"/>
    <n v="284"/>
    <x v="1"/>
    <s v="Moderate"/>
    <s v="Normal"/>
    <s v="Normal Humidity"/>
    <s v="Low Wind"/>
  </r>
  <r>
    <s v="AQ100933"/>
    <d v="2025-02-28T00:00:00"/>
    <x v="4"/>
    <x v="3"/>
    <s v="Station-10"/>
    <n v="22"/>
    <n v="46.1"/>
    <n v="22.9"/>
    <n v="16.5"/>
    <n v="0.74"/>
    <n v="46"/>
    <n v="27.7"/>
    <n v="52.1"/>
    <n v="0.9"/>
    <n v="134"/>
    <x v="2"/>
    <s v="Good"/>
    <s v="Normal"/>
    <s v="Normal Humidity"/>
    <s v="Low Wind"/>
  </r>
  <r>
    <s v="AQ100934"/>
    <d v="2025-02-04T00:00:00"/>
    <x v="15"/>
    <x v="3"/>
    <s v="Station-04"/>
    <n v="39.6"/>
    <n v="110.7"/>
    <n v="37.4"/>
    <n v="33"/>
    <n v="0.43"/>
    <n v="12.7"/>
    <n v="17.7"/>
    <n v="60.8"/>
    <n v="1.5"/>
    <n v="205"/>
    <x v="1"/>
    <s v="Unhealthy"/>
    <s v="Cool"/>
    <s v="High Humidity"/>
    <s v="Low Wind"/>
  </r>
  <r>
    <s v="AQ100935"/>
    <d v="2025-09-27T00:00:00"/>
    <x v="14"/>
    <x v="3"/>
    <s v="Station-13"/>
    <n v="37.6"/>
    <n v="124.9"/>
    <n v="26.8"/>
    <n v="2"/>
    <n v="0.41"/>
    <n v="31.7"/>
    <n v="22.8"/>
    <n v="65.599999999999994"/>
    <n v="2.8"/>
    <n v="189"/>
    <x v="2"/>
    <s v="Unhealthy"/>
    <s v="Normal"/>
    <s v="High Humidity"/>
    <s v="Moderate Wind"/>
  </r>
  <r>
    <s v="AQ100936"/>
    <d v="2025-04-16T00:00:00"/>
    <x v="3"/>
    <x v="2"/>
    <s v="Station-05"/>
    <n v="34"/>
    <n v="81.599999999999994"/>
    <n v="27.6"/>
    <n v="11.1"/>
    <n v="0.52"/>
    <n v="57.6"/>
    <n v="28.6"/>
    <n v="68.2"/>
    <n v="1.4"/>
    <n v="176"/>
    <x v="2"/>
    <s v="Moderate"/>
    <s v="Normal"/>
    <s v="High Humidity"/>
    <s v="Low Wind"/>
  </r>
  <r>
    <s v="AQ100937"/>
    <d v="2025-12-10T00:00:00"/>
    <x v="3"/>
    <x v="2"/>
    <s v="Station-01"/>
    <n v="21.6"/>
    <n v="109.2"/>
    <n v="36.5"/>
    <n v="9.3000000000000007"/>
    <n v="0.63"/>
    <n v="10.3"/>
    <n v="27.9"/>
    <n v="42.9"/>
    <n v="1.2"/>
    <n v="162"/>
    <x v="2"/>
    <s v="Unhealthy"/>
    <s v="Normal"/>
    <s v="Normal Humidity"/>
    <s v="Low Wind"/>
  </r>
  <r>
    <s v="AQ100938"/>
    <d v="2025-11-20T00:00:00"/>
    <x v="2"/>
    <x v="1"/>
    <s v="Station-01"/>
    <n v="9.6999999999999993"/>
    <n v="71.7"/>
    <n v="34.700000000000003"/>
    <n v="18.5"/>
    <n v="0.44"/>
    <n v="20.7"/>
    <n v="32.6"/>
    <n v="85.1"/>
    <n v="2.8"/>
    <n v="123"/>
    <x v="2"/>
    <s v="Moderate"/>
    <s v="Hot"/>
    <s v="High Humidity"/>
    <s v="Moderate Wind"/>
  </r>
  <r>
    <s v="AQ100939"/>
    <d v="2025-05-05T00:00:00"/>
    <x v="1"/>
    <x v="1"/>
    <s v="Station-12"/>
    <n v="53.4"/>
    <n v="118.5"/>
    <n v="21"/>
    <n v="40.6"/>
    <n v="0.84"/>
    <n v="36.4"/>
    <n v="27"/>
    <n v="61.9"/>
    <n v="2.2999999999999998"/>
    <n v="245"/>
    <x v="1"/>
    <s v="Unhealthy"/>
    <s v="Normal"/>
    <s v="High Humidity"/>
    <s v="Moderate Wind"/>
  </r>
  <r>
    <s v="AQ100940"/>
    <d v="2025-04-23T00:00:00"/>
    <x v="15"/>
    <x v="3"/>
    <s v="Station-10"/>
    <n v="71.2"/>
    <n v="91.2"/>
    <n v="66.2"/>
    <n v="4"/>
    <n v="1.6"/>
    <n v="15.9"/>
    <n v="24.4"/>
    <n v="58.8"/>
    <n v="3"/>
    <n v="276"/>
    <x v="1"/>
    <s v="Moderate"/>
    <s v="Normal"/>
    <s v="Normal Humidity"/>
    <s v="Moderate Wind"/>
  </r>
  <r>
    <s v="AQ100941"/>
    <d v="2025-11-19T00:00:00"/>
    <x v="9"/>
    <x v="0"/>
    <s v="Station-03"/>
    <n v="105.8"/>
    <n v="61.3"/>
    <n v="9.3000000000000007"/>
    <n v="7.1"/>
    <n v="1.66"/>
    <n v="9.8000000000000007"/>
    <n v="31.7"/>
    <n v="95.4"/>
    <n v="0.1"/>
    <n v="267"/>
    <x v="1"/>
    <s v="Moderate"/>
    <s v="Hot"/>
    <s v="High Humidity"/>
    <s v="Low Wind"/>
  </r>
  <r>
    <s v="AQ100942"/>
    <d v="2025-05-01T00:00:00"/>
    <x v="15"/>
    <x v="3"/>
    <s v="Station-11"/>
    <n v="64.2"/>
    <n v="117.4"/>
    <n v="19.5"/>
    <n v="13.1"/>
    <n v="0.49"/>
    <n v="53.8"/>
    <n v="30.9"/>
    <n v="57.8"/>
    <n v="1.6"/>
    <n v="240"/>
    <x v="1"/>
    <s v="Unhealthy"/>
    <s v="Hot"/>
    <s v="Normal Humidity"/>
    <s v="Low Wind"/>
  </r>
  <r>
    <s v="AQ100943"/>
    <d v="2025-08-01T00:00:00"/>
    <x v="15"/>
    <x v="3"/>
    <s v="Station-12"/>
    <n v="85.3"/>
    <n v="42.6"/>
    <n v="41.9"/>
    <n v="9.9"/>
    <n v="0.78"/>
    <n v="75.3"/>
    <n v="35.200000000000003"/>
    <n v="53.2"/>
    <n v="2.2999999999999998"/>
    <n v="258"/>
    <x v="1"/>
    <s v="Good"/>
    <s v="Hot"/>
    <s v="Normal Humidity"/>
    <s v="Moderate Wind"/>
  </r>
  <r>
    <s v="AQ100944"/>
    <d v="2025-10-31T00:00:00"/>
    <x v="3"/>
    <x v="2"/>
    <s v="Station-09"/>
    <n v="38.1"/>
    <n v="132.5"/>
    <n v="26.4"/>
    <n v="14.8"/>
    <n v="0.23"/>
    <n v="8.8000000000000007"/>
    <n v="28.3"/>
    <n v="77.400000000000006"/>
    <n v="1.9"/>
    <n v="188"/>
    <x v="2"/>
    <s v="Unhealthy"/>
    <s v="Normal"/>
    <s v="High Humidity"/>
    <s v="Low Wind"/>
  </r>
  <r>
    <s v="AQ100945"/>
    <d v="2025-11-09T00:00:00"/>
    <x v="7"/>
    <x v="2"/>
    <s v="Station-10"/>
    <n v="25.3"/>
    <n v="75"/>
    <n v="22.7"/>
    <n v="19.3"/>
    <n v="0.86"/>
    <n v="38.700000000000003"/>
    <n v="25.7"/>
    <n v="48.1"/>
    <n v="1.9"/>
    <n v="160"/>
    <x v="2"/>
    <s v="Moderate"/>
    <s v="Normal"/>
    <s v="Normal Humidity"/>
    <s v="Low Wind"/>
  </r>
  <r>
    <s v="AQ100946"/>
    <d v="2025-10-05T00:00:00"/>
    <x v="14"/>
    <x v="3"/>
    <s v="Station-02"/>
    <n v="14.7"/>
    <n v="119.5"/>
    <n v="76.099999999999994"/>
    <n v="4.3"/>
    <n v="0.28000000000000003"/>
    <n v="24.1"/>
    <n v="25.6"/>
    <n v="64.7"/>
    <n v="1.7"/>
    <n v="183"/>
    <x v="2"/>
    <s v="Unhealthy"/>
    <s v="Normal"/>
    <s v="High Humidity"/>
    <s v="Low Wind"/>
  </r>
  <r>
    <s v="AQ100947"/>
    <d v="2025-08-11T00:00:00"/>
    <x v="3"/>
    <x v="2"/>
    <s v="Station-13"/>
    <n v="44"/>
    <n v="37.1"/>
    <n v="9.1999999999999993"/>
    <n v="15.4"/>
    <n v="0.68"/>
    <n v="15.4"/>
    <n v="19.600000000000001"/>
    <n v="67"/>
    <n v="3.1"/>
    <n v="137"/>
    <x v="2"/>
    <s v="Good"/>
    <s v="Cool"/>
    <s v="High Humidity"/>
    <s v="Moderate Wind"/>
  </r>
  <r>
    <s v="AQ100948"/>
    <d v="2025-04-28T00:00:00"/>
    <x v="9"/>
    <x v="0"/>
    <s v="Station-11"/>
    <n v="35.299999999999997"/>
    <n v="71.8"/>
    <n v="18.399999999999999"/>
    <n v="30.4"/>
    <n v="1.68"/>
    <n v="20.7"/>
    <n v="34.4"/>
    <n v="44.1"/>
    <n v="3.6"/>
    <n v="190"/>
    <x v="2"/>
    <s v="Moderate"/>
    <s v="Hot"/>
    <s v="Normal Humidity"/>
    <s v="Moderate Wind"/>
  </r>
  <r>
    <s v="AQ100949"/>
    <d v="2025-03-30T00:00:00"/>
    <x v="9"/>
    <x v="0"/>
    <s v="Station-02"/>
    <n v="44.7"/>
    <n v="88.9"/>
    <n v="14.8"/>
    <n v="8.6"/>
    <n v="0.78"/>
    <n v="23.7"/>
    <n v="22.8"/>
    <n v="78.8"/>
    <n v="4.4000000000000004"/>
    <n v="177"/>
    <x v="2"/>
    <s v="Moderate"/>
    <s v="Normal"/>
    <s v="High Humidity"/>
    <s v="Moderate Wind"/>
  </r>
  <r>
    <s v="AQ100950"/>
    <d v="2025-07-03T00:00:00"/>
    <x v="4"/>
    <x v="3"/>
    <s v="Station-14"/>
    <n v="25.1"/>
    <n v="55.8"/>
    <n v="35.200000000000003"/>
    <n v="4.4000000000000004"/>
    <n v="0.32"/>
    <n v="10.3"/>
    <n v="42.3"/>
    <n v="52.6"/>
    <n v="1.2"/>
    <n v="120"/>
    <x v="2"/>
    <s v="Moderate"/>
    <s v="Hot"/>
    <s v="Normal Humidity"/>
    <s v="Low Wind"/>
  </r>
  <r>
    <s v="AQ100951"/>
    <d v="2025-12-28T00:00:00"/>
    <x v="7"/>
    <x v="2"/>
    <s v="Station-15"/>
    <n v="39.700000000000003"/>
    <n v="64.400000000000006"/>
    <n v="32.299999999999997"/>
    <n v="11.2"/>
    <n v="1.25"/>
    <n v="16.399999999999999"/>
    <n v="24.8"/>
    <n v="55.4"/>
    <n v="2"/>
    <n v="178"/>
    <x v="2"/>
    <s v="Moderate"/>
    <s v="Normal"/>
    <s v="Normal Humidity"/>
    <s v="Moderate Wind"/>
  </r>
  <r>
    <s v="AQ100952"/>
    <d v="2025-07-24T00:00:00"/>
    <x v="0"/>
    <x v="0"/>
    <s v="Station-14"/>
    <n v="36.700000000000003"/>
    <n v="158.4"/>
    <n v="28.7"/>
    <n v="29.1"/>
    <n v="1.52"/>
    <n v="44.3"/>
    <n v="26.7"/>
    <n v="62.2"/>
    <n v="4.4000000000000004"/>
    <n v="263"/>
    <x v="1"/>
    <s v="VeryUnhealthy"/>
    <s v="Normal"/>
    <s v="High Humidity"/>
    <s v="Moderate Wind"/>
  </r>
  <r>
    <s v="AQ100953"/>
    <d v="2025-05-26T00:00:00"/>
    <x v="1"/>
    <x v="1"/>
    <s v="Station-06"/>
    <n v="39.5"/>
    <n v="71.099999999999994"/>
    <n v="30.2"/>
    <n v="4.9000000000000004"/>
    <n v="0.27"/>
    <n v="34.299999999999997"/>
    <n v="34.4"/>
    <n v="53.6"/>
    <n v="2.6"/>
    <n v="159"/>
    <x v="2"/>
    <s v="Moderate"/>
    <s v="Hot"/>
    <s v="Normal Humidity"/>
    <s v="Moderate Wind"/>
  </r>
  <r>
    <s v="AQ100954"/>
    <d v="2025-09-21T00:00:00"/>
    <x v="0"/>
    <x v="0"/>
    <s v="Station-15"/>
    <n v="69.7"/>
    <n v="184.7"/>
    <n v="17.2"/>
    <n v="15.8"/>
    <n v="0.38"/>
    <n v="34"/>
    <n v="39.1"/>
    <n v="98"/>
    <n v="3.5"/>
    <n v="281"/>
    <x v="1"/>
    <s v="VeryUnhealthy"/>
    <s v="Hot"/>
    <s v="High Humidity"/>
    <s v="Moderate Wind"/>
  </r>
  <r>
    <s v="AQ100955"/>
    <d v="2025-02-25T00:00:00"/>
    <x v="9"/>
    <x v="0"/>
    <s v="Station-09"/>
    <n v="46.8"/>
    <n v="146.5"/>
    <n v="43.5"/>
    <n v="2"/>
    <n v="3.08"/>
    <n v="43.1"/>
    <n v="29.8"/>
    <n v="51.3"/>
    <n v="2.2999999999999998"/>
    <n v="303"/>
    <x v="0"/>
    <s v="Unhealthy"/>
    <s v="Normal"/>
    <s v="Normal Humidity"/>
    <s v="Moderate Wind"/>
  </r>
  <r>
    <s v="AQ100956"/>
    <d v="2025-02-18T00:00:00"/>
    <x v="9"/>
    <x v="0"/>
    <s v="Station-14"/>
    <n v="43.5"/>
    <n v="77.599999999999994"/>
    <n v="35.799999999999997"/>
    <n v="16.899999999999999"/>
    <n v="1.37"/>
    <n v="9.1999999999999993"/>
    <n v="29.9"/>
    <n v="56.5"/>
    <n v="3.8"/>
    <n v="199"/>
    <x v="2"/>
    <s v="Moderate"/>
    <s v="Normal"/>
    <s v="Normal Humidity"/>
    <s v="Moderate Wind"/>
  </r>
  <r>
    <s v="AQ100957"/>
    <d v="2025-05-15T00:00:00"/>
    <x v="0"/>
    <x v="0"/>
    <s v="Station-13"/>
    <n v="31.9"/>
    <n v="87.6"/>
    <n v="49.5"/>
    <n v="25.1"/>
    <n v="0.54"/>
    <n v="27.6"/>
    <n v="28.6"/>
    <n v="69.7"/>
    <n v="3.1"/>
    <n v="191"/>
    <x v="2"/>
    <s v="Moderate"/>
    <s v="Normal"/>
    <s v="High Humidity"/>
    <s v="Moderate Wind"/>
  </r>
  <r>
    <s v="AQ100958"/>
    <d v="2025-10-03T00:00:00"/>
    <x v="10"/>
    <x v="3"/>
    <s v="Station-11"/>
    <n v="109.4"/>
    <n v="70.099999999999994"/>
    <n v="16.7"/>
    <n v="37.200000000000003"/>
    <n v="0.86"/>
    <n v="11.1"/>
    <n v="31"/>
    <n v="69.8"/>
    <n v="3.8"/>
    <n v="287"/>
    <x v="1"/>
    <s v="Moderate"/>
    <s v="Hot"/>
    <s v="High Humidity"/>
    <s v="Moderate Wind"/>
  </r>
  <r>
    <s v="AQ100959"/>
    <d v="2025-11-05T00:00:00"/>
    <x v="5"/>
    <x v="4"/>
    <s v="Station-01"/>
    <n v="24.6"/>
    <n v="78.3"/>
    <n v="29"/>
    <n v="9.9"/>
    <n v="0.76"/>
    <n v="28.2"/>
    <n v="23"/>
    <n v="45.9"/>
    <n v="1.4"/>
    <n v="152"/>
    <x v="2"/>
    <s v="Moderate"/>
    <s v="Normal"/>
    <s v="Normal Humidity"/>
    <s v="Low Wind"/>
  </r>
  <r>
    <s v="AQ100960"/>
    <d v="2025-02-05T00:00:00"/>
    <x v="0"/>
    <x v="0"/>
    <s v="Station-03"/>
    <n v="112.6"/>
    <n v="63.5"/>
    <n v="12.2"/>
    <n v="18.100000000000001"/>
    <n v="0.57999999999999996"/>
    <n v="39.1"/>
    <n v="19.8"/>
    <n v="57"/>
    <n v="2.6"/>
    <n v="276"/>
    <x v="1"/>
    <s v="Moderate"/>
    <s v="Cool"/>
    <s v="Normal Humidity"/>
    <s v="Moderate Wind"/>
  </r>
  <r>
    <s v="AQ100961"/>
    <d v="2025-02-21T00:00:00"/>
    <x v="6"/>
    <x v="1"/>
    <s v="Station-11"/>
    <n v="99.7"/>
    <n v="47"/>
    <n v="42.6"/>
    <n v="4.4000000000000004"/>
    <n v="2.79"/>
    <n v="40.5"/>
    <n v="24.5"/>
    <n v="65.3"/>
    <n v="2.8"/>
    <n v="315"/>
    <x v="0"/>
    <s v="Good"/>
    <s v="Normal"/>
    <s v="High Humidity"/>
    <s v="Moderate Wind"/>
  </r>
  <r>
    <s v="AQ100962"/>
    <d v="2025-08-03T00:00:00"/>
    <x v="14"/>
    <x v="3"/>
    <s v="Station-15"/>
    <n v="42.3"/>
    <n v="59.2"/>
    <n v="15.6"/>
    <n v="15.8"/>
    <n v="1.03"/>
    <n v="32.200000000000003"/>
    <n v="29.2"/>
    <n v="61.5"/>
    <n v="2.1"/>
    <n v="170"/>
    <x v="2"/>
    <s v="Moderate"/>
    <s v="Normal"/>
    <s v="High Humidity"/>
    <s v="Moderate Wind"/>
  </r>
  <r>
    <s v="AQ100963"/>
    <d v="2025-09-27T00:00:00"/>
    <x v="14"/>
    <x v="3"/>
    <s v="Station-02"/>
    <n v="54.9"/>
    <n v="208.8"/>
    <n v="23.7"/>
    <n v="28.5"/>
    <n v="0.16"/>
    <n v="27.1"/>
    <n v="21.4"/>
    <n v="48.3"/>
    <n v="1.6"/>
    <n v="279"/>
    <x v="1"/>
    <s v="VeryUnhealthy"/>
    <s v="Normal"/>
    <s v="Normal Humidity"/>
    <s v="Low Wind"/>
  </r>
  <r>
    <s v="AQ100964"/>
    <d v="2025-12-11T00:00:00"/>
    <x v="15"/>
    <x v="3"/>
    <s v="Station-04"/>
    <n v="113.6"/>
    <n v="70.099999999999994"/>
    <n v="7.8"/>
    <n v="9.6999999999999993"/>
    <n v="2.44"/>
    <n v="58.5"/>
    <n v="25.5"/>
    <n v="63.5"/>
    <n v="2.5"/>
    <n v="328"/>
    <x v="0"/>
    <s v="Moderate"/>
    <s v="Normal"/>
    <s v="High Humidity"/>
    <s v="Moderate Wind"/>
  </r>
  <r>
    <s v="AQ100965"/>
    <d v="2025-05-31T00:00:00"/>
    <x v="6"/>
    <x v="1"/>
    <s v="Station-02"/>
    <n v="50.5"/>
    <n v="87.4"/>
    <n v="68.7"/>
    <n v="8.8000000000000007"/>
    <n v="1.6"/>
    <n v="9.3000000000000007"/>
    <n v="33.6"/>
    <n v="65"/>
    <n v="1.6"/>
    <n v="243"/>
    <x v="1"/>
    <s v="Moderate"/>
    <s v="Hot"/>
    <s v="High Humidity"/>
    <s v="Low Wind"/>
  </r>
  <r>
    <s v="AQ100966"/>
    <d v="2025-03-04T00:00:00"/>
    <x v="1"/>
    <x v="1"/>
    <s v="Station-06"/>
    <n v="27.3"/>
    <n v="58.5"/>
    <n v="8"/>
    <n v="14.4"/>
    <n v="0.6"/>
    <n v="51.1"/>
    <n v="25"/>
    <n v="74.2"/>
    <n v="0.6"/>
    <n v="136"/>
    <x v="2"/>
    <s v="Moderate"/>
    <s v="Normal"/>
    <s v="High Humidity"/>
    <s v="Low Wind"/>
  </r>
  <r>
    <s v="AQ100967"/>
    <d v="2025-04-03T00:00:00"/>
    <x v="11"/>
    <x v="0"/>
    <s v="Station-11"/>
    <n v="92"/>
    <n v="95.8"/>
    <n v="11.9"/>
    <n v="2.6"/>
    <n v="0.49"/>
    <n v="27.7"/>
    <n v="25.3"/>
    <n v="71.3"/>
    <n v="3.2"/>
    <n v="246"/>
    <x v="1"/>
    <s v="Moderate"/>
    <s v="Normal"/>
    <s v="High Humidity"/>
    <s v="Moderate Wind"/>
  </r>
  <r>
    <s v="AQ100968"/>
    <d v="2025-10-10T00:00:00"/>
    <x v="5"/>
    <x v="4"/>
    <s v="Station-15"/>
    <n v="90.2"/>
    <n v="121.9"/>
    <n v="31.7"/>
    <n v="17.8"/>
    <n v="1"/>
    <n v="45.4"/>
    <n v="25.2"/>
    <n v="72.3"/>
    <n v="1.1000000000000001"/>
    <n v="307"/>
    <x v="0"/>
    <s v="Unhealthy"/>
    <s v="Normal"/>
    <s v="High Humidity"/>
    <s v="Low Wind"/>
  </r>
  <r>
    <s v="AQ100969"/>
    <d v="2025-08-28T00:00:00"/>
    <x v="0"/>
    <x v="0"/>
    <s v="Station-05"/>
    <n v="52.8"/>
    <n v="53.4"/>
    <n v="60.5"/>
    <n v="0.8"/>
    <n v="1.29"/>
    <n v="13.5"/>
    <n v="27.6"/>
    <n v="79.7"/>
    <n v="2.9"/>
    <n v="206"/>
    <x v="1"/>
    <s v="Moderate"/>
    <s v="Normal"/>
    <s v="High Humidity"/>
    <s v="Moderate Wind"/>
  </r>
  <r>
    <s v="AQ100970"/>
    <d v="2025-05-23T00:00:00"/>
    <x v="6"/>
    <x v="1"/>
    <s v="Station-15"/>
    <n v="62.4"/>
    <n v="111.9"/>
    <n v="47.9"/>
    <n v="12.7"/>
    <n v="0.52"/>
    <n v="7.9"/>
    <n v="18.8"/>
    <n v="64.5"/>
    <n v="3.5"/>
    <n v="236"/>
    <x v="1"/>
    <s v="Unhealthy"/>
    <s v="Cool"/>
    <s v="High Humidity"/>
    <s v="Moderate Wind"/>
  </r>
  <r>
    <s v="AQ100971"/>
    <d v="2025-07-24T00:00:00"/>
    <x v="2"/>
    <x v="1"/>
    <s v="Station-07"/>
    <n v="11.2"/>
    <n v="16.899999999999999"/>
    <n v="15.7"/>
    <n v="11.4"/>
    <n v="0.61"/>
    <n v="32.1"/>
    <n v="25.9"/>
    <n v="45.8"/>
    <n v="3.2"/>
    <n v="79"/>
    <x v="3"/>
    <s v="Good"/>
    <s v="Normal"/>
    <s v="Normal Humidity"/>
    <s v="Moderate Wind"/>
  </r>
  <r>
    <s v="AQ100972"/>
    <d v="2025-03-27T00:00:00"/>
    <x v="11"/>
    <x v="0"/>
    <s v="Station-05"/>
    <n v="76.099999999999994"/>
    <n v="249.8"/>
    <n v="20.399999999999999"/>
    <n v="5.5"/>
    <n v="0.48"/>
    <n v="71.599999999999994"/>
    <n v="22"/>
    <n v="53.6"/>
    <n v="1"/>
    <n v="349"/>
    <x v="0"/>
    <s v="VeryUnhealthy"/>
    <s v="Normal"/>
    <s v="Normal Humidity"/>
    <s v="Low Wind"/>
  </r>
  <r>
    <s v="AQ100973"/>
    <d v="2025-07-25T00:00:00"/>
    <x v="11"/>
    <x v="0"/>
    <s v="Station-12"/>
    <n v="43.9"/>
    <n v="69.900000000000006"/>
    <n v="40.5"/>
    <n v="7.7"/>
    <n v="0.65"/>
    <n v="33.9"/>
    <n v="21.8"/>
    <n v="55.4"/>
    <n v="1.5"/>
    <n v="185"/>
    <x v="2"/>
    <s v="Moderate"/>
    <s v="Normal"/>
    <s v="Normal Humidity"/>
    <s v="Low Wind"/>
  </r>
  <r>
    <s v="AQ100974"/>
    <d v="2025-07-07T00:00:00"/>
    <x v="2"/>
    <x v="1"/>
    <s v="Station-15"/>
    <n v="23"/>
    <n v="59.2"/>
    <n v="6.5"/>
    <n v="15.9"/>
    <n v="1.1000000000000001"/>
    <n v="66.099999999999994"/>
    <n v="17.100000000000001"/>
    <n v="63.8"/>
    <n v="2.5"/>
    <n v="149"/>
    <x v="2"/>
    <s v="Moderate"/>
    <s v="Cool"/>
    <s v="High Humidity"/>
    <s v="Moderate Wind"/>
  </r>
  <r>
    <s v="AQ100975"/>
    <d v="2025-03-01T00:00:00"/>
    <x v="14"/>
    <x v="3"/>
    <s v="Station-05"/>
    <n v="36.5"/>
    <n v="46.2"/>
    <n v="60.4"/>
    <n v="7.7"/>
    <n v="1.72"/>
    <n v="48.9"/>
    <n v="29.8"/>
    <n v="54.4"/>
    <n v="3.5"/>
    <n v="207"/>
    <x v="1"/>
    <s v="Good"/>
    <s v="Normal"/>
    <s v="Normal Humidity"/>
    <s v="Moderate Wind"/>
  </r>
  <r>
    <s v="AQ100976"/>
    <d v="2025-03-11T00:00:00"/>
    <x v="5"/>
    <x v="4"/>
    <s v="Station-03"/>
    <n v="72.900000000000006"/>
    <n v="46.4"/>
    <n v="30.4"/>
    <n v="12.3"/>
    <n v="0.87"/>
    <n v="17.7"/>
    <n v="20.6"/>
    <n v="72.900000000000006"/>
    <n v="0.4"/>
    <n v="209"/>
    <x v="1"/>
    <s v="Good"/>
    <s v="Normal"/>
    <s v="High Humidity"/>
    <s v="Low Wind"/>
  </r>
  <r>
    <s v="AQ100977"/>
    <d v="2025-10-21T00:00:00"/>
    <x v="3"/>
    <x v="2"/>
    <s v="Station-06"/>
    <n v="55.4"/>
    <n v="141.1"/>
    <n v="35.5"/>
    <n v="11.6"/>
    <n v="0.73"/>
    <n v="34.299999999999997"/>
    <n v="25.3"/>
    <n v="66.3"/>
    <n v="1.6"/>
    <n v="251"/>
    <x v="1"/>
    <s v="Unhealthy"/>
    <s v="Normal"/>
    <s v="High Humidity"/>
    <s v="Low Wind"/>
  </r>
  <r>
    <s v="AQ100978"/>
    <d v="2025-06-12T00:00:00"/>
    <x v="0"/>
    <x v="0"/>
    <s v="Station-04"/>
    <n v="43.9"/>
    <n v="146.9"/>
    <n v="73.3"/>
    <n v="8.1"/>
    <n v="0.01"/>
    <n v="15.1"/>
    <n v="35.9"/>
    <n v="64"/>
    <n v="1.7"/>
    <n v="237"/>
    <x v="1"/>
    <s v="Unhealthy"/>
    <s v="Hot"/>
    <s v="High Humidity"/>
    <s v="Low Wind"/>
  </r>
  <r>
    <s v="AQ100979"/>
    <d v="2025-02-19T00:00:00"/>
    <x v="2"/>
    <x v="1"/>
    <s v="Station-04"/>
    <n v="66.3"/>
    <n v="31"/>
    <n v="28.5"/>
    <n v="25.3"/>
    <n v="1.1200000000000001"/>
    <n v="15.8"/>
    <n v="27.1"/>
    <n v="55.4"/>
    <n v="2.5"/>
    <n v="202"/>
    <x v="1"/>
    <s v="Good"/>
    <s v="Normal"/>
    <s v="Normal Humidity"/>
    <s v="Moderate Wind"/>
  </r>
  <r>
    <s v="AQ100980"/>
    <d v="2025-08-02T00:00:00"/>
    <x v="1"/>
    <x v="1"/>
    <s v="Station-01"/>
    <n v="58.3"/>
    <n v="222.3"/>
    <n v="24.5"/>
    <n v="19.5"/>
    <n v="0.45"/>
    <n v="33.4"/>
    <n v="33"/>
    <n v="57.7"/>
    <n v="1.2"/>
    <n v="297"/>
    <x v="1"/>
    <s v="VeryUnhealthy"/>
    <s v="Hot"/>
    <s v="Normal Humidity"/>
    <s v="Low Wind"/>
  </r>
  <r>
    <s v="AQ100981"/>
    <d v="2025-07-02T00:00:00"/>
    <x v="2"/>
    <x v="1"/>
    <s v="Station-05"/>
    <n v="27.9"/>
    <n v="111.3"/>
    <n v="2.2000000000000002"/>
    <n v="13.5"/>
    <n v="1.89"/>
    <n v="37.700000000000003"/>
    <n v="23.5"/>
    <n v="20"/>
    <n v="0.4"/>
    <n v="192"/>
    <x v="2"/>
    <s v="Unhealthy"/>
    <s v="Normal"/>
    <s v="Low Humidity"/>
    <s v="Low Wind"/>
  </r>
  <r>
    <s v="AQ100982"/>
    <d v="2025-10-09T00:00:00"/>
    <x v="12"/>
    <x v="4"/>
    <s v="Station-11"/>
    <n v="55.5"/>
    <n v="140.30000000000001"/>
    <n v="43.6"/>
    <n v="18.3"/>
    <n v="0.61"/>
    <n v="58.6"/>
    <n v="27.1"/>
    <n v="68.900000000000006"/>
    <n v="2.9"/>
    <n v="269"/>
    <x v="1"/>
    <s v="Unhealthy"/>
    <s v="Normal"/>
    <s v="High Humidity"/>
    <s v="Moderate Wind"/>
  </r>
  <r>
    <s v="AQ100983"/>
    <d v="2025-02-25T00:00:00"/>
    <x v="13"/>
    <x v="4"/>
    <s v="Station-13"/>
    <n v="52.2"/>
    <n v="52.4"/>
    <n v="18.3"/>
    <n v="18.2"/>
    <n v="0.49"/>
    <n v="80.2"/>
    <n v="28.5"/>
    <n v="50.8"/>
    <n v="3.4"/>
    <n v="193"/>
    <x v="2"/>
    <s v="Moderate"/>
    <s v="Normal"/>
    <s v="Normal Humidity"/>
    <s v="Moderate Wind"/>
  </r>
  <r>
    <s v="AQ100984"/>
    <d v="2025-10-25T00:00:00"/>
    <x v="13"/>
    <x v="4"/>
    <s v="Station-02"/>
    <n v="114.4"/>
    <n v="100.5"/>
    <n v="5.7"/>
    <n v="20.3"/>
    <n v="1.76"/>
    <n v="40.700000000000003"/>
    <n v="29.1"/>
    <n v="67.3"/>
    <n v="3.1"/>
    <n v="329"/>
    <x v="0"/>
    <s v="Unhealthy"/>
    <s v="Normal"/>
    <s v="High Humidity"/>
    <s v="Moderate Wind"/>
  </r>
  <r>
    <s v="AQ100985"/>
    <d v="2025-11-28T00:00:00"/>
    <x v="14"/>
    <x v="3"/>
    <s v="Station-02"/>
    <n v="16.3"/>
    <n v="112.3"/>
    <n v="27.9"/>
    <n v="15.5"/>
    <n v="0.19"/>
    <n v="41.8"/>
    <n v="27.8"/>
    <n v="75.8"/>
    <n v="2"/>
    <n v="156"/>
    <x v="2"/>
    <s v="Unhealthy"/>
    <s v="Normal"/>
    <s v="High Humidity"/>
    <s v="Moderate Wind"/>
  </r>
  <r>
    <s v="AQ100986"/>
    <d v="2025-11-21T00:00:00"/>
    <x v="7"/>
    <x v="2"/>
    <s v="Station-09"/>
    <n v="18.2"/>
    <n v="39.4"/>
    <n v="36.700000000000003"/>
    <n v="8.8000000000000007"/>
    <n v="0.85"/>
    <n v="36.1"/>
    <n v="26.3"/>
    <n v="66.2"/>
    <n v="5.0999999999999996"/>
    <n v="128"/>
    <x v="2"/>
    <s v="Good"/>
    <s v="Normal"/>
    <s v="High Humidity"/>
    <s v="High Wind"/>
  </r>
  <r>
    <s v="AQ100987"/>
    <d v="2025-02-26T00:00:00"/>
    <x v="9"/>
    <x v="0"/>
    <s v="Station-12"/>
    <n v="109.4"/>
    <n v="54.6"/>
    <n v="107.8"/>
    <n v="2.4"/>
    <n v="2.2999999999999998"/>
    <n v="65.599999999999994"/>
    <n v="24"/>
    <n v="59.6"/>
    <n v="3.1"/>
    <n v="385"/>
    <x v="0"/>
    <s v="Moderate"/>
    <s v="Normal"/>
    <s v="Normal Humidity"/>
    <s v="Moderate Wind"/>
  </r>
  <r>
    <s v="AQ100988"/>
    <d v="2025-06-27T00:00:00"/>
    <x v="8"/>
    <x v="2"/>
    <s v="Station-07"/>
    <n v="19.600000000000001"/>
    <n v="112.9"/>
    <n v="10.1"/>
    <n v="42.6"/>
    <n v="0.57999999999999996"/>
    <n v="16.100000000000001"/>
    <n v="19.7"/>
    <n v="73.099999999999994"/>
    <n v="2.4"/>
    <n v="164"/>
    <x v="2"/>
    <s v="Unhealthy"/>
    <s v="Cool"/>
    <s v="High Humidity"/>
    <s v="Moderate Wind"/>
  </r>
  <r>
    <s v="AQ100989"/>
    <d v="2025-05-08T00:00:00"/>
    <x v="11"/>
    <x v="0"/>
    <s v="Station-11"/>
    <n v="19.2"/>
    <n v="83.1"/>
    <n v="64.400000000000006"/>
    <n v="25"/>
    <n v="0.28000000000000003"/>
    <n v="29.3"/>
    <n v="26.7"/>
    <n v="69.400000000000006"/>
    <n v="3.1"/>
    <n v="174"/>
    <x v="2"/>
    <s v="Moderate"/>
    <s v="Normal"/>
    <s v="High Humidity"/>
    <s v="Moderate Wind"/>
  </r>
  <r>
    <s v="AQ100990"/>
    <d v="2025-11-30T00:00:00"/>
    <x v="0"/>
    <x v="0"/>
    <s v="Station-05"/>
    <n v="128.30000000000001"/>
    <n v="113"/>
    <n v="18.8"/>
    <n v="22.1"/>
    <n v="0.36"/>
    <n v="23.1"/>
    <n v="32.1"/>
    <n v="63.4"/>
    <n v="0.1"/>
    <n v="329"/>
    <x v="0"/>
    <s v="Unhealthy"/>
    <s v="Hot"/>
    <s v="High Humidity"/>
    <s v="Low Wind"/>
  </r>
  <r>
    <s v="AQ100991"/>
    <d v="2025-11-24T00:00:00"/>
    <x v="6"/>
    <x v="1"/>
    <s v="Station-02"/>
    <n v="39.9"/>
    <n v="175.1"/>
    <n v="58.7"/>
    <n v="18.399999999999999"/>
    <n v="0.28999999999999998"/>
    <n v="19.3"/>
    <n v="18.399999999999999"/>
    <n v="78"/>
    <n v="1.2"/>
    <n v="253"/>
    <x v="1"/>
    <s v="VeryUnhealthy"/>
    <s v="Cool"/>
    <s v="High Humidity"/>
    <s v="Low Wind"/>
  </r>
  <r>
    <s v="AQ100992"/>
    <d v="2025-11-24T00:00:00"/>
    <x v="7"/>
    <x v="2"/>
    <s v="Station-11"/>
    <n v="26.8"/>
    <n v="59.1"/>
    <n v="42.8"/>
    <n v="7.9"/>
    <n v="0.43"/>
    <n v="23"/>
    <n v="13.8"/>
    <n v="59.5"/>
    <n v="2.7"/>
    <n v="142"/>
    <x v="2"/>
    <s v="Moderate"/>
    <s v="Cool"/>
    <s v="Normal Humidity"/>
    <s v="Moderate Wind"/>
  </r>
  <r>
    <s v="AQ100993"/>
    <d v="2025-11-12T00:00:00"/>
    <x v="12"/>
    <x v="4"/>
    <s v="Station-13"/>
    <n v="62"/>
    <n v="62.8"/>
    <n v="8.5"/>
    <n v="12.8"/>
    <n v="7.0000000000000007E-2"/>
    <n v="23.4"/>
    <n v="23.1"/>
    <n v="98"/>
    <n v="1.4"/>
    <n v="168"/>
    <x v="2"/>
    <s v="Moderate"/>
    <s v="Normal"/>
    <s v="High Humidity"/>
    <s v="Low Wind"/>
  </r>
  <r>
    <s v="AQ100994"/>
    <d v="2025-06-28T00:00:00"/>
    <x v="12"/>
    <x v="4"/>
    <s v="Station-10"/>
    <n v="36.5"/>
    <n v="55.9"/>
    <n v="23.9"/>
    <n v="20.399999999999999"/>
    <n v="0.45"/>
    <n v="17.600000000000001"/>
    <n v="21.8"/>
    <n v="41.8"/>
    <n v="2.7"/>
    <n v="147"/>
    <x v="2"/>
    <s v="Moderate"/>
    <s v="Normal"/>
    <s v="Normal Humidity"/>
    <s v="Moderate Wind"/>
  </r>
  <r>
    <s v="AQ100995"/>
    <d v="2025-01-08T00:00:00"/>
    <x v="14"/>
    <x v="3"/>
    <s v="Station-13"/>
    <n v="49"/>
    <n v="69.3"/>
    <n v="33.799999999999997"/>
    <n v="9.3000000000000007"/>
    <n v="1.51"/>
    <n v="51.4"/>
    <n v="26.7"/>
    <n v="79.599999999999994"/>
    <n v="2.2000000000000002"/>
    <n v="218"/>
    <x v="1"/>
    <s v="Moderate"/>
    <s v="Normal"/>
    <s v="High Humidity"/>
    <s v="Moderate Wind"/>
  </r>
  <r>
    <s v="AQ100996"/>
    <d v="2025-02-09T00:00:00"/>
    <x v="4"/>
    <x v="3"/>
    <s v="Station-06"/>
    <n v="33.799999999999997"/>
    <n v="56.1"/>
    <n v="13.5"/>
    <n v="3"/>
    <n v="0.41"/>
    <n v="68.8"/>
    <n v="32.6"/>
    <n v="49.6"/>
    <n v="3.1"/>
    <n v="145"/>
    <x v="2"/>
    <s v="Moderate"/>
    <s v="Hot"/>
    <s v="Normal Humidity"/>
    <s v="Moderate Wind"/>
  </r>
  <r>
    <s v="AQ100997"/>
    <d v="2025-03-23T00:00:00"/>
    <x v="4"/>
    <x v="3"/>
    <s v="Station-10"/>
    <n v="59.7"/>
    <n v="128.1"/>
    <n v="64.8"/>
    <n v="7.6"/>
    <n v="0.25"/>
    <n v="62.1"/>
    <n v="22.8"/>
    <n v="67.3"/>
    <n v="1.7"/>
    <n v="270"/>
    <x v="1"/>
    <s v="Unhealthy"/>
    <s v="Normal"/>
    <s v="High Humidity"/>
    <s v="Low Wind"/>
  </r>
  <r>
    <s v="AQ100998"/>
    <d v="2025-05-14T00:00:00"/>
    <x v="6"/>
    <x v="1"/>
    <s v="Station-04"/>
    <n v="40.6"/>
    <n v="187.8"/>
    <n v="18.7"/>
    <n v="6.3"/>
    <n v="0.02"/>
    <n v="77.2"/>
    <n v="31"/>
    <n v="88.5"/>
    <n v="3"/>
    <n v="242"/>
    <x v="1"/>
    <s v="VeryUnhealthy"/>
    <s v="Hot"/>
    <s v="High Humidity"/>
    <s v="Moderate Wind"/>
  </r>
  <r>
    <s v="AQ100999"/>
    <d v="2025-07-09T00:00:00"/>
    <x v="4"/>
    <x v="3"/>
    <s v="Station-07"/>
    <n v="43.6"/>
    <n v="87.1"/>
    <n v="25.1"/>
    <n v="18.600000000000001"/>
    <n v="0.68"/>
    <n v="30.3"/>
    <n v="24.7"/>
    <n v="57.8"/>
    <n v="0.1"/>
    <n v="190"/>
    <x v="2"/>
    <s v="Moderate"/>
    <s v="Normal"/>
    <s v="Normal Humidity"/>
    <s v="Low Wind"/>
  </r>
  <r>
    <s v="AQ101000"/>
    <d v="2025-09-30T00:00:00"/>
    <x v="1"/>
    <x v="1"/>
    <s v="Station-13"/>
    <n v="12.1"/>
    <n v="76.2"/>
    <n v="12"/>
    <n v="15.2"/>
    <n v="1.28"/>
    <n v="58.6"/>
    <n v="22.4"/>
    <n v="49.9"/>
    <n v="3"/>
    <n v="148"/>
    <x v="2"/>
    <s v="Moderate"/>
    <s v="Normal"/>
    <s v="Normal Humidity"/>
    <s v="Moderate Wind"/>
  </r>
  <r>
    <s v="AQ101001"/>
    <d v="2025-03-26T00:00:00"/>
    <x v="5"/>
    <x v="4"/>
    <s v="Station-07"/>
    <n v="65.7"/>
    <n v="125.8"/>
    <n v="30.2"/>
    <n v="18"/>
    <n v="1.0900000000000001"/>
    <n v="64.2"/>
    <n v="28.5"/>
    <n v="54.2"/>
    <n v="1.4"/>
    <n v="280"/>
    <x v="1"/>
    <s v="Unhealthy"/>
    <s v="Normal"/>
    <s v="Normal Humidity"/>
    <s v="Low Wind"/>
  </r>
  <r>
    <s v="AQ101002"/>
    <d v="2025-07-24T00:00:00"/>
    <x v="0"/>
    <x v="0"/>
    <s v="Station-10"/>
    <n v="31.1"/>
    <n v="41.5"/>
    <n v="19.8"/>
    <n v="10.1"/>
    <n v="0.86"/>
    <n v="49.7"/>
    <n v="26.9"/>
    <n v="68.400000000000006"/>
    <n v="2"/>
    <n v="144"/>
    <x v="2"/>
    <s v="Good"/>
    <s v="Normal"/>
    <s v="High Humidity"/>
    <s v="Moderate Wind"/>
  </r>
  <r>
    <s v="AQ101003"/>
    <d v="2025-06-25T00:00:00"/>
    <x v="8"/>
    <x v="2"/>
    <s v="Station-14"/>
    <n v="78"/>
    <n v="70.7"/>
    <n v="23.9"/>
    <n v="22.7"/>
    <n v="0.75"/>
    <n v="13.5"/>
    <n v="26.2"/>
    <n v="42.9"/>
    <n v="3.8"/>
    <n v="231"/>
    <x v="1"/>
    <s v="Moderate"/>
    <s v="Normal"/>
    <s v="Normal Humidity"/>
    <s v="Moderate Wind"/>
  </r>
  <r>
    <s v="AQ101004"/>
    <d v="2025-03-10T00:00:00"/>
    <x v="10"/>
    <x v="3"/>
    <s v="Station-15"/>
    <n v="59.6"/>
    <n v="112.8"/>
    <n v="37.1"/>
    <n v="15.8"/>
    <n v="0.39"/>
    <n v="39.4"/>
    <n v="22.3"/>
    <n v="54.3"/>
    <n v="1.1000000000000001"/>
    <n v="237"/>
    <x v="1"/>
    <s v="Unhealthy"/>
    <s v="Normal"/>
    <s v="Normal Humidity"/>
    <s v="Low Wind"/>
  </r>
  <r>
    <s v="AQ101005"/>
    <d v="2025-03-31T00:00:00"/>
    <x v="12"/>
    <x v="4"/>
    <s v="Station-08"/>
    <n v="9.6999999999999993"/>
    <n v="48.6"/>
    <n v="45.2"/>
    <n v="22.5"/>
    <n v="1.58"/>
    <n v="95.2"/>
    <n v="34.5"/>
    <n v="48.7"/>
    <n v="4.0999999999999996"/>
    <n v="181"/>
    <x v="2"/>
    <s v="Good"/>
    <s v="Hot"/>
    <s v="Normal Humidity"/>
    <s v="Moderate Wind"/>
  </r>
  <r>
    <s v="AQ101006"/>
    <d v="2025-11-11T00:00:00"/>
    <x v="9"/>
    <x v="0"/>
    <s v="Station-03"/>
    <n v="17.3"/>
    <n v="82.5"/>
    <n v="35.200000000000003"/>
    <n v="13.6"/>
    <n v="1.2"/>
    <n v="19.5"/>
    <n v="30.1"/>
    <n v="59.6"/>
    <n v="2.9"/>
    <n v="158"/>
    <x v="2"/>
    <s v="Moderate"/>
    <s v="Hot"/>
    <s v="Normal Humidity"/>
    <s v="Moderate Wind"/>
  </r>
  <r>
    <s v="AQ101007"/>
    <d v="2025-06-25T00:00:00"/>
    <x v="11"/>
    <x v="0"/>
    <s v="Station-04"/>
    <n v="16.2"/>
    <n v="155.1"/>
    <n v="26.7"/>
    <n v="5"/>
    <n v="0.98"/>
    <n v="32.9"/>
    <n v="35"/>
    <n v="47.9"/>
    <n v="2.2000000000000002"/>
    <n v="191"/>
    <x v="2"/>
    <s v="VeryUnhealthy"/>
    <s v="Hot"/>
    <s v="Normal Humidity"/>
    <s v="Moderate Wind"/>
  </r>
  <r>
    <s v="AQ101008"/>
    <d v="2025-08-24T00:00:00"/>
    <x v="10"/>
    <x v="3"/>
    <s v="Station-15"/>
    <n v="144.9"/>
    <n v="93.6"/>
    <n v="24.8"/>
    <n v="13.6"/>
    <n v="1.81"/>
    <n v="34.799999999999997"/>
    <n v="23.7"/>
    <n v="77.400000000000006"/>
    <n v="2.5"/>
    <n v="383"/>
    <x v="0"/>
    <s v="Moderate"/>
    <s v="Normal"/>
    <s v="High Humidity"/>
    <s v="Moderate Wind"/>
  </r>
  <r>
    <s v="AQ101009"/>
    <d v="2025-05-08T00:00:00"/>
    <x v="10"/>
    <x v="3"/>
    <s v="Station-14"/>
    <n v="24.6"/>
    <n v="117"/>
    <n v="11.3"/>
    <n v="3.6"/>
    <n v="1.1299999999999999"/>
    <n v="26.6"/>
    <n v="36.799999999999997"/>
    <n v="69.599999999999994"/>
    <n v="2"/>
    <n v="167"/>
    <x v="2"/>
    <s v="Unhealthy"/>
    <s v="Hot"/>
    <s v="High Humidity"/>
    <s v="Moderate Wind"/>
  </r>
  <r>
    <s v="AQ101010"/>
    <d v="2025-02-16T00:00:00"/>
    <x v="2"/>
    <x v="1"/>
    <s v="Station-15"/>
    <n v="23.1"/>
    <n v="72.7"/>
    <n v="27.9"/>
    <n v="19"/>
    <n v="0.75"/>
    <n v="16.600000000000001"/>
    <n v="26.5"/>
    <n v="77.8"/>
    <n v="3"/>
    <n v="146"/>
    <x v="2"/>
    <s v="Moderate"/>
    <s v="Normal"/>
    <s v="High Humidity"/>
    <s v="Moderate Wind"/>
  </r>
  <r>
    <s v="AQ101011"/>
    <d v="2025-04-11T00:00:00"/>
    <x v="7"/>
    <x v="2"/>
    <s v="Station-03"/>
    <n v="47.1"/>
    <n v="65.8"/>
    <n v="18"/>
    <n v="32.9"/>
    <n v="0.65"/>
    <n v="3.7"/>
    <n v="29"/>
    <n v="64.400000000000006"/>
    <n v="1.7"/>
    <n v="173"/>
    <x v="2"/>
    <s v="Moderate"/>
    <s v="Normal"/>
    <s v="High Humidity"/>
    <s v="Low Wind"/>
  </r>
  <r>
    <s v="AQ101012"/>
    <d v="2025-10-27T00:00:00"/>
    <x v="10"/>
    <x v="3"/>
    <s v="Station-14"/>
    <n v="39.5"/>
    <n v="56.1"/>
    <n v="18.3"/>
    <n v="3.2"/>
    <n v="0.15"/>
    <n v="32.9"/>
    <n v="17.399999999999999"/>
    <n v="45"/>
    <n v="1.2"/>
    <n v="135"/>
    <x v="2"/>
    <s v="Moderate"/>
    <s v="Cool"/>
    <s v="Normal Humidity"/>
    <s v="Low Wind"/>
  </r>
  <r>
    <s v="AQ101013"/>
    <d v="2025-11-17T00:00:00"/>
    <x v="4"/>
    <x v="3"/>
    <s v="Station-09"/>
    <n v="64.2"/>
    <n v="113.2"/>
    <n v="46.6"/>
    <n v="10.9"/>
    <n v="0.33"/>
    <n v="38.6"/>
    <n v="34"/>
    <n v="68.599999999999994"/>
    <n v="2.8"/>
    <n v="247"/>
    <x v="1"/>
    <s v="Unhealthy"/>
    <s v="Hot"/>
    <s v="High Humidity"/>
    <s v="Moderate Wind"/>
  </r>
  <r>
    <s v="AQ101014"/>
    <d v="2025-07-07T00:00:00"/>
    <x v="15"/>
    <x v="3"/>
    <s v="Station-07"/>
    <n v="57.4"/>
    <n v="27.9"/>
    <n v="77.900000000000006"/>
    <n v="13.7"/>
    <n v="0.18"/>
    <n v="90.3"/>
    <n v="25"/>
    <n v="70.8"/>
    <n v="3.4"/>
    <n v="227"/>
    <x v="1"/>
    <s v="Good"/>
    <s v="Normal"/>
    <s v="High Humidity"/>
    <s v="Moderate Wind"/>
  </r>
  <r>
    <s v="AQ101015"/>
    <d v="2025-08-25T00:00:00"/>
    <x v="6"/>
    <x v="1"/>
    <s v="Station-09"/>
    <n v="13.4"/>
    <n v="106.7"/>
    <n v="14.9"/>
    <n v="5.8"/>
    <n v="0.03"/>
    <n v="34.6"/>
    <n v="31.2"/>
    <n v="64.400000000000006"/>
    <n v="1.7"/>
    <n v="123"/>
    <x v="2"/>
    <s v="Unhealthy"/>
    <s v="Hot"/>
    <s v="High Humidity"/>
    <s v="Low Wind"/>
  </r>
  <r>
    <s v="AQ101016"/>
    <d v="2025-05-11T00:00:00"/>
    <x v="6"/>
    <x v="1"/>
    <s v="Station-12"/>
    <n v="91.4"/>
    <n v="55.1"/>
    <n v="9.9"/>
    <n v="5.9"/>
    <n v="0.04"/>
    <n v="23.2"/>
    <n v="14.4"/>
    <n v="74.900000000000006"/>
    <n v="3.7"/>
    <n v="206"/>
    <x v="1"/>
    <s v="Moderate"/>
    <s v="Cool"/>
    <s v="High Humidity"/>
    <s v="Moderate Wind"/>
  </r>
  <r>
    <s v="AQ101017"/>
    <d v="2025-11-24T00:00:00"/>
    <x v="12"/>
    <x v="4"/>
    <s v="Station-11"/>
    <n v="51.1"/>
    <n v="27.3"/>
    <n v="23"/>
    <n v="21.8"/>
    <n v="2.76"/>
    <n v="20.7"/>
    <n v="25.4"/>
    <n v="70.5"/>
    <n v="2.7"/>
    <n v="211"/>
    <x v="1"/>
    <s v="Good"/>
    <s v="Normal"/>
    <s v="High Humidity"/>
    <s v="Moderate Wind"/>
  </r>
  <r>
    <s v="AQ101018"/>
    <d v="2025-07-11T00:00:00"/>
    <x v="15"/>
    <x v="3"/>
    <s v="Station-08"/>
    <n v="14.2"/>
    <n v="136.80000000000001"/>
    <n v="30.3"/>
    <n v="3.4"/>
    <n v="0.85"/>
    <n v="36.700000000000003"/>
    <n v="25.3"/>
    <n v="57"/>
    <n v="1"/>
    <n v="176"/>
    <x v="2"/>
    <s v="Unhealthy"/>
    <s v="Normal"/>
    <s v="Normal Humidity"/>
    <s v="Low Wind"/>
  </r>
  <r>
    <s v="AQ101019"/>
    <d v="2025-08-24T00:00:00"/>
    <x v="4"/>
    <x v="3"/>
    <s v="Station-03"/>
    <n v="58.5"/>
    <n v="31"/>
    <n v="25"/>
    <n v="41.7"/>
    <n v="0.69"/>
    <n v="32.200000000000003"/>
    <n v="31.7"/>
    <n v="71"/>
    <n v="3.8"/>
    <n v="195"/>
    <x v="2"/>
    <s v="Good"/>
    <s v="Hot"/>
    <s v="High Humidity"/>
    <s v="Moderate Wind"/>
  </r>
  <r>
    <s v="AQ101020"/>
    <d v="2025-07-17T00:00:00"/>
    <x v="7"/>
    <x v="2"/>
    <s v="Station-13"/>
    <n v="80.7"/>
    <n v="145"/>
    <n v="68.099999999999994"/>
    <n v="9.8000000000000007"/>
    <n v="0.19"/>
    <n v="8"/>
    <n v="33.9"/>
    <n v="80.8"/>
    <n v="2"/>
    <n v="293"/>
    <x v="1"/>
    <s v="Unhealthy"/>
    <s v="Hot"/>
    <s v="High Humidity"/>
    <s v="Moderate Wind"/>
  </r>
  <r>
    <s v="AQ101021"/>
    <d v="2025-07-20T00:00:00"/>
    <x v="14"/>
    <x v="3"/>
    <s v="Station-05"/>
    <n v="64.2"/>
    <n v="70"/>
    <n v="21.7"/>
    <n v="10.3"/>
    <n v="0.36"/>
    <n v="30.4"/>
    <n v="26.9"/>
    <n v="80.400000000000006"/>
    <n v="2.4"/>
    <n v="195"/>
    <x v="2"/>
    <s v="Moderate"/>
    <s v="Normal"/>
    <s v="High Humidity"/>
    <s v="Moderate Wind"/>
  </r>
  <r>
    <s v="AQ101022"/>
    <d v="2025-12-23T00:00:00"/>
    <x v="15"/>
    <x v="3"/>
    <s v="Station-04"/>
    <n v="96.8"/>
    <n v="97.6"/>
    <n v="12.7"/>
    <n v="10"/>
    <n v="0.33"/>
    <n v="66.900000000000006"/>
    <n v="31.7"/>
    <n v="68.599999999999994"/>
    <n v="0.9"/>
    <n v="274"/>
    <x v="1"/>
    <s v="Moderate"/>
    <s v="Hot"/>
    <s v="High Humidity"/>
    <s v="Low Wind"/>
  </r>
  <r>
    <s v="AQ101023"/>
    <d v="2025-07-11T00:00:00"/>
    <x v="4"/>
    <x v="3"/>
    <s v="Station-03"/>
    <n v="56.2"/>
    <n v="63.1"/>
    <n v="5.7"/>
    <n v="15.2"/>
    <n v="1.1100000000000001"/>
    <n v="42.7"/>
    <n v="32.1"/>
    <n v="70.900000000000006"/>
    <n v="1.9"/>
    <n v="193"/>
    <x v="2"/>
    <s v="Moderate"/>
    <s v="Hot"/>
    <s v="High Humidity"/>
    <s v="Low Wind"/>
  </r>
  <r>
    <s v="AQ101024"/>
    <d v="2025-09-07T00:00:00"/>
    <x v="5"/>
    <x v="4"/>
    <s v="Station-12"/>
    <n v="90.4"/>
    <n v="137.80000000000001"/>
    <n v="22.5"/>
    <n v="1.6"/>
    <n v="0.11"/>
    <n v="38.9"/>
    <n v="32.6"/>
    <n v="33.799999999999997"/>
    <n v="2.7"/>
    <n v="274"/>
    <x v="1"/>
    <s v="Unhealthy"/>
    <s v="Hot"/>
    <s v="Normal Humidity"/>
    <s v="Moderate Wind"/>
  </r>
  <r>
    <s v="AQ101025"/>
    <d v="2025-06-03T00:00:00"/>
    <x v="1"/>
    <x v="1"/>
    <s v="Station-10"/>
    <n v="69.900000000000006"/>
    <n v="79.599999999999994"/>
    <n v="33.700000000000003"/>
    <n v="16.899999999999999"/>
    <n v="0.69"/>
    <n v="53.3"/>
    <n v="38.299999999999997"/>
    <n v="41.7"/>
    <n v="2.5"/>
    <n v="244"/>
    <x v="1"/>
    <s v="Moderate"/>
    <s v="Hot"/>
    <s v="Normal Humidity"/>
    <s v="Moderate Wind"/>
  </r>
  <r>
    <s v="AQ101026"/>
    <d v="2025-04-10T00:00:00"/>
    <x v="11"/>
    <x v="0"/>
    <s v="Station-03"/>
    <n v="87.8"/>
    <n v="116.6"/>
    <n v="9.6999999999999993"/>
    <n v="17.8"/>
    <n v="0.41"/>
    <n v="113.6"/>
    <n v="36"/>
    <n v="55.6"/>
    <n v="2.2000000000000002"/>
    <n v="298"/>
    <x v="1"/>
    <s v="Unhealthy"/>
    <s v="Hot"/>
    <s v="Normal Humidity"/>
    <s v="Moderate Wind"/>
  </r>
  <r>
    <s v="AQ101027"/>
    <d v="2025-02-23T00:00:00"/>
    <x v="10"/>
    <x v="3"/>
    <s v="Station-12"/>
    <n v="104.5"/>
    <n v="83.9"/>
    <n v="36.200000000000003"/>
    <n v="7.9"/>
    <n v="0.17"/>
    <n v="29.8"/>
    <n v="25.2"/>
    <n v="75.2"/>
    <n v="2.2999999999999998"/>
    <n v="274"/>
    <x v="1"/>
    <s v="Moderate"/>
    <s v="Normal"/>
    <s v="High Humidity"/>
    <s v="Moderate Wind"/>
  </r>
  <r>
    <s v="AQ101028"/>
    <d v="2025-06-02T00:00:00"/>
    <x v="14"/>
    <x v="3"/>
    <s v="Station-05"/>
    <n v="77"/>
    <n v="59.9"/>
    <n v="26.1"/>
    <n v="0.7"/>
    <n v="1.71"/>
    <n v="63.7"/>
    <n v="30.6"/>
    <n v="72.599999999999994"/>
    <n v="2.2000000000000002"/>
    <n v="255"/>
    <x v="1"/>
    <s v="Moderate"/>
    <s v="Hot"/>
    <s v="High Humidity"/>
    <s v="Moderate Wind"/>
  </r>
  <r>
    <s v="AQ101029"/>
    <d v="2025-07-31T00:00:00"/>
    <x v="8"/>
    <x v="2"/>
    <s v="Station-11"/>
    <n v="87.1"/>
    <n v="55.6"/>
    <n v="11.3"/>
    <n v="10.1"/>
    <n v="0.74"/>
    <n v="89"/>
    <n v="21.6"/>
    <n v="69.3"/>
    <n v="2.2999999999999998"/>
    <n v="250"/>
    <x v="1"/>
    <s v="Moderate"/>
    <s v="Normal"/>
    <s v="High Humidity"/>
    <s v="Moderate Wind"/>
  </r>
  <r>
    <s v="AQ101030"/>
    <d v="2025-02-10T00:00:00"/>
    <x v="13"/>
    <x v="4"/>
    <s v="Station-07"/>
    <n v="52.9"/>
    <n v="33.700000000000003"/>
    <n v="17"/>
    <n v="2.9"/>
    <n v="1.52"/>
    <n v="28.3"/>
    <n v="18.8"/>
    <n v="89"/>
    <n v="2.1"/>
    <n v="173"/>
    <x v="2"/>
    <s v="Good"/>
    <s v="Cool"/>
    <s v="High Humidity"/>
    <s v="Moderate Wind"/>
  </r>
  <r>
    <s v="AQ101031"/>
    <d v="2025-12-14T00:00:00"/>
    <x v="8"/>
    <x v="2"/>
    <s v="Station-09"/>
    <n v="5.2"/>
    <n v="90.4"/>
    <n v="29.9"/>
    <n v="1.3"/>
    <n v="0.28000000000000003"/>
    <n v="8.1999999999999993"/>
    <n v="29.8"/>
    <n v="65.5"/>
    <n v="2.4"/>
    <n v="103"/>
    <x v="2"/>
    <s v="Moderate"/>
    <s v="Normal"/>
    <s v="High Humidity"/>
    <s v="Moderate Wind"/>
  </r>
  <r>
    <s v="AQ101032"/>
    <d v="2025-05-10T00:00:00"/>
    <x v="11"/>
    <x v="0"/>
    <s v="Station-03"/>
    <n v="27.6"/>
    <n v="13.9"/>
    <n v="26.8"/>
    <n v="14.3"/>
    <n v="0.66"/>
    <n v="17.399999999999999"/>
    <n v="35.1"/>
    <n v="81.2"/>
    <n v="2.1"/>
    <n v="109"/>
    <x v="2"/>
    <s v="Good"/>
    <s v="Hot"/>
    <s v="High Humidity"/>
    <s v="Moderate Wind"/>
  </r>
  <r>
    <s v="AQ101033"/>
    <d v="2025-12-12T00:00:00"/>
    <x v="8"/>
    <x v="2"/>
    <s v="Station-04"/>
    <n v="42.8"/>
    <n v="85.8"/>
    <n v="22.4"/>
    <n v="3.2"/>
    <n v="0.52"/>
    <n v="53.2"/>
    <n v="30.2"/>
    <n v="61.8"/>
    <n v="1.5"/>
    <n v="181"/>
    <x v="2"/>
    <s v="Moderate"/>
    <s v="Hot"/>
    <s v="High Humidity"/>
    <s v="Low Wind"/>
  </r>
  <r>
    <s v="AQ101034"/>
    <d v="2025-10-22T00:00:00"/>
    <x v="5"/>
    <x v="4"/>
    <s v="Station-05"/>
    <n v="52.1"/>
    <n v="63.3"/>
    <n v="20.2"/>
    <n v="38.200000000000003"/>
    <n v="0.3"/>
    <n v="80.099999999999994"/>
    <n v="20.399999999999999"/>
    <n v="65.400000000000006"/>
    <n v="2.5"/>
    <n v="211"/>
    <x v="1"/>
    <s v="Moderate"/>
    <s v="Normal"/>
    <s v="High Humidity"/>
    <s v="Moderate Wind"/>
  </r>
  <r>
    <s v="AQ101035"/>
    <d v="2025-02-10T00:00:00"/>
    <x v="4"/>
    <x v="3"/>
    <s v="Station-07"/>
    <n v="75.099999999999994"/>
    <n v="61.7"/>
    <n v="45"/>
    <n v="10.199999999999999"/>
    <n v="0.7"/>
    <n v="16.899999999999999"/>
    <n v="28.1"/>
    <n v="78"/>
    <n v="2"/>
    <n v="229"/>
    <x v="1"/>
    <s v="Moderate"/>
    <s v="Normal"/>
    <s v="High Humidity"/>
    <s v="Moderate Wind"/>
  </r>
  <r>
    <s v="AQ101036"/>
    <d v="2025-05-28T00:00:00"/>
    <x v="12"/>
    <x v="4"/>
    <s v="Station-11"/>
    <n v="63.8"/>
    <n v="132.4"/>
    <n v="31.6"/>
    <n v="10.9"/>
    <n v="0.6"/>
    <n v="41.4"/>
    <n v="23.1"/>
    <n v="68.099999999999994"/>
    <n v="1.4"/>
    <n v="255"/>
    <x v="1"/>
    <s v="Unhealthy"/>
    <s v="Normal"/>
    <s v="High Humidity"/>
    <s v="Low Wind"/>
  </r>
  <r>
    <s v="AQ101037"/>
    <d v="2025-02-18T00:00:00"/>
    <x v="9"/>
    <x v="0"/>
    <s v="Station-08"/>
    <n v="36.700000000000003"/>
    <n v="130.1"/>
    <n v="30.2"/>
    <n v="6.3"/>
    <n v="0.79"/>
    <n v="29.4"/>
    <n v="20.2"/>
    <n v="86.6"/>
    <n v="3.4"/>
    <n v="205"/>
    <x v="1"/>
    <s v="Unhealthy"/>
    <s v="Normal"/>
    <s v="High Humidity"/>
    <s v="Moderate Wind"/>
  </r>
  <r>
    <s v="AQ101038"/>
    <d v="2025-10-23T00:00:00"/>
    <x v="13"/>
    <x v="4"/>
    <s v="Station-11"/>
    <n v="106.5"/>
    <n v="72.5"/>
    <n v="25.5"/>
    <n v="6.2"/>
    <n v="0.86"/>
    <n v="13.2"/>
    <n v="22.1"/>
    <n v="71.400000000000006"/>
    <n v="1.6"/>
    <n v="270"/>
    <x v="1"/>
    <s v="Moderate"/>
    <s v="Normal"/>
    <s v="High Humidity"/>
    <s v="Low Wind"/>
  </r>
  <r>
    <s v="AQ101039"/>
    <d v="2025-05-04T00:00:00"/>
    <x v="13"/>
    <x v="4"/>
    <s v="Station-08"/>
    <n v="29.3"/>
    <n v="187.2"/>
    <n v="15.4"/>
    <n v="20"/>
    <n v="0.51"/>
    <n v="52.2"/>
    <n v="31.9"/>
    <n v="98"/>
    <n v="2"/>
    <n v="231"/>
    <x v="1"/>
    <s v="VeryUnhealthy"/>
    <s v="Hot"/>
    <s v="High Humidity"/>
    <s v="Moderate Wind"/>
  </r>
  <r>
    <s v="AQ101040"/>
    <d v="2025-04-25T00:00:00"/>
    <x v="6"/>
    <x v="1"/>
    <s v="Station-13"/>
    <n v="29"/>
    <n v="87.6"/>
    <n v="14"/>
    <n v="27.1"/>
    <n v="1.42"/>
    <n v="24.2"/>
    <n v="27.1"/>
    <n v="46.3"/>
    <n v="1.9"/>
    <n v="180"/>
    <x v="2"/>
    <s v="Moderate"/>
    <s v="Normal"/>
    <s v="Normal Humidity"/>
    <s v="Low Wind"/>
  </r>
  <r>
    <s v="AQ101041"/>
    <d v="2025-10-13T00:00:00"/>
    <x v="5"/>
    <x v="4"/>
    <s v="Station-01"/>
    <n v="25.9"/>
    <n v="29.7"/>
    <n v="30.8"/>
    <n v="4.7"/>
    <n v="2.1"/>
    <n v="31.2"/>
    <n v="22.3"/>
    <n v="77"/>
    <n v="1.9"/>
    <n v="155"/>
    <x v="2"/>
    <s v="Good"/>
    <s v="Normal"/>
    <s v="High Humidity"/>
    <s v="Low Wind"/>
  </r>
  <r>
    <s v="AQ101042"/>
    <d v="2025-08-16T00:00:00"/>
    <x v="8"/>
    <x v="2"/>
    <s v="Station-14"/>
    <n v="17.600000000000001"/>
    <n v="58.2"/>
    <n v="22.8"/>
    <n v="4.2"/>
    <n v="0.56999999999999995"/>
    <n v="67.3"/>
    <n v="39.299999999999997"/>
    <n v="53.6"/>
    <n v="2.5"/>
    <n v="132"/>
    <x v="2"/>
    <s v="Moderate"/>
    <s v="Hot"/>
    <s v="Normal Humidity"/>
    <s v="Moderate Wind"/>
  </r>
  <r>
    <s v="AQ101043"/>
    <d v="2025-01-05T00:00:00"/>
    <x v="0"/>
    <x v="0"/>
    <s v="Station-03"/>
    <n v="88.2"/>
    <n v="65.2"/>
    <n v="64.7"/>
    <n v="37.9"/>
    <n v="0.7"/>
    <n v="48.2"/>
    <n v="23"/>
    <n v="59.7"/>
    <n v="3"/>
    <n v="301"/>
    <x v="0"/>
    <s v="Moderate"/>
    <s v="Normal"/>
    <s v="Normal Humidity"/>
    <s v="Moderate Wind"/>
  </r>
  <r>
    <s v="AQ101044"/>
    <d v="2025-01-27T00:00:00"/>
    <x v="9"/>
    <x v="0"/>
    <s v="Station-04"/>
    <n v="60.9"/>
    <n v="84.6"/>
    <n v="93.7"/>
    <n v="10.7"/>
    <n v="0.45"/>
    <n v="51.5"/>
    <n v="31.7"/>
    <n v="82.8"/>
    <n v="1.9"/>
    <n v="269"/>
    <x v="1"/>
    <s v="Moderate"/>
    <s v="Hot"/>
    <s v="High Humidity"/>
    <s v="Low Wind"/>
  </r>
  <r>
    <s v="AQ101045"/>
    <d v="2025-01-10T00:00:00"/>
    <x v="3"/>
    <x v="2"/>
    <s v="Station-12"/>
    <n v="7.5"/>
    <n v="67.900000000000006"/>
    <n v="14"/>
    <n v="9"/>
    <n v="0.38"/>
    <n v="31.2"/>
    <n v="32"/>
    <n v="66.400000000000006"/>
    <n v="1.5"/>
    <n v="97"/>
    <x v="3"/>
    <s v="Moderate"/>
    <s v="Hot"/>
    <s v="High Humidity"/>
    <s v="Low Wind"/>
  </r>
  <r>
    <s v="AQ101046"/>
    <d v="2025-02-18T00:00:00"/>
    <x v="9"/>
    <x v="0"/>
    <s v="Station-12"/>
    <n v="29.5"/>
    <n v="37.6"/>
    <n v="45.1"/>
    <n v="4.5999999999999996"/>
    <n v="0.27"/>
    <n v="47.2"/>
    <n v="22.7"/>
    <n v="62"/>
    <n v="1.4"/>
    <n v="139"/>
    <x v="2"/>
    <s v="Good"/>
    <s v="Normal"/>
    <s v="High Humidity"/>
    <s v="Low Wind"/>
  </r>
  <r>
    <s v="AQ101047"/>
    <d v="2025-06-07T00:00:00"/>
    <x v="2"/>
    <x v="1"/>
    <s v="Station-10"/>
    <n v="11.2"/>
    <n v="100"/>
    <n v="96.4"/>
    <n v="6.4"/>
    <n v="1.01"/>
    <n v="39.200000000000003"/>
    <n v="18.399999999999999"/>
    <n v="33.799999999999997"/>
    <n v="1.4"/>
    <n v="207"/>
    <x v="1"/>
    <s v="Moderate"/>
    <s v="Cool"/>
    <s v="Normal Humidity"/>
    <s v="Low Wind"/>
  </r>
  <r>
    <s v="AQ101048"/>
    <d v="2025-05-30T00:00:00"/>
    <x v="12"/>
    <x v="4"/>
    <s v="Station-03"/>
    <n v="63.9"/>
    <n v="101.9"/>
    <n v="45.7"/>
    <n v="9.1"/>
    <n v="0.48"/>
    <n v="14.2"/>
    <n v="23.8"/>
    <n v="88.8"/>
    <n v="1.4"/>
    <n v="230"/>
    <x v="1"/>
    <s v="Unhealthy"/>
    <s v="Normal"/>
    <s v="High Humidity"/>
    <s v="Low Wind"/>
  </r>
  <r>
    <s v="AQ101049"/>
    <d v="2025-05-10T00:00:00"/>
    <x v="10"/>
    <x v="3"/>
    <s v="Station-03"/>
    <n v="54"/>
    <n v="107.6"/>
    <n v="13.9"/>
    <n v="10.6"/>
    <n v="1.2"/>
    <n v="26"/>
    <n v="29.2"/>
    <n v="79.5"/>
    <n v="3.7"/>
    <n v="217"/>
    <x v="1"/>
    <s v="Unhealthy"/>
    <s v="Normal"/>
    <s v="High Humidity"/>
    <s v="Moderate Wind"/>
  </r>
  <r>
    <s v="AQ101050"/>
    <d v="2025-12-01T00:00:00"/>
    <x v="4"/>
    <x v="3"/>
    <s v="Station-11"/>
    <n v="48.5"/>
    <n v="145.19999999999999"/>
    <n v="39.9"/>
    <n v="37.299999999999997"/>
    <n v="0.62"/>
    <n v="11.9"/>
    <n v="23.6"/>
    <n v="81.900000000000006"/>
    <n v="2.4"/>
    <n v="251"/>
    <x v="1"/>
    <s v="Unhealthy"/>
    <s v="Normal"/>
    <s v="High Humidity"/>
    <s v="Moderate Wind"/>
  </r>
  <r>
    <s v="AQ101051"/>
    <d v="2025-07-25T00:00:00"/>
    <x v="11"/>
    <x v="0"/>
    <s v="Station-11"/>
    <n v="11.9"/>
    <n v="35.299999999999997"/>
    <n v="67.900000000000006"/>
    <n v="16.3"/>
    <n v="0.71"/>
    <n v="35.5"/>
    <n v="29.7"/>
    <n v="53.3"/>
    <n v="1.1000000000000001"/>
    <n v="141"/>
    <x v="2"/>
    <s v="Good"/>
    <s v="Normal"/>
    <s v="Normal Humidity"/>
    <s v="Low Wind"/>
  </r>
  <r>
    <s v="AQ101052"/>
    <d v="2025-09-17T00:00:00"/>
    <x v="3"/>
    <x v="2"/>
    <s v="Station-01"/>
    <n v="65.2"/>
    <n v="50.7"/>
    <n v="50.2"/>
    <n v="7.7"/>
    <n v="0.37"/>
    <n v="22.3"/>
    <n v="29.7"/>
    <n v="61.2"/>
    <n v="3.1"/>
    <n v="202"/>
    <x v="1"/>
    <s v="Moderate"/>
    <s v="Normal"/>
    <s v="High Humidity"/>
    <s v="Moderate Wind"/>
  </r>
  <r>
    <s v="AQ101053"/>
    <d v="2025-03-05T00:00:00"/>
    <x v="5"/>
    <x v="4"/>
    <s v="Station-06"/>
    <n v="89.6"/>
    <n v="95.7"/>
    <n v="37.799999999999997"/>
    <n v="4"/>
    <n v="2.0299999999999998"/>
    <n v="33.200000000000003"/>
    <n v="38.5"/>
    <n v="56.8"/>
    <n v="2.2999999999999998"/>
    <n v="304"/>
    <x v="0"/>
    <s v="Moderate"/>
    <s v="Hot"/>
    <s v="Normal Humidity"/>
    <s v="Moderate Wind"/>
  </r>
  <r>
    <s v="AQ101054"/>
    <d v="2025-03-22T00:00:00"/>
    <x v="11"/>
    <x v="0"/>
    <s v="Station-01"/>
    <n v="65.7"/>
    <n v="155.30000000000001"/>
    <n v="13"/>
    <n v="28.2"/>
    <n v="0.5"/>
    <n v="43.3"/>
    <n v="24.5"/>
    <n v="54.4"/>
    <n v="3.4"/>
    <n v="268"/>
    <x v="1"/>
    <s v="VeryUnhealthy"/>
    <s v="Normal"/>
    <s v="Normal Humidity"/>
    <s v="Moderate Wind"/>
  </r>
  <r>
    <s v="AQ101055"/>
    <d v="2025-04-02T00:00:00"/>
    <x v="15"/>
    <x v="3"/>
    <s v="Station-13"/>
    <n v="30.8"/>
    <n v="94.3"/>
    <n v="18.899999999999999"/>
    <n v="4.3"/>
    <n v="0.57999999999999996"/>
    <n v="15"/>
    <n v="25.1"/>
    <n v="70.3"/>
    <n v="2.9"/>
    <n v="150"/>
    <x v="2"/>
    <s v="Moderate"/>
    <s v="Normal"/>
    <s v="High Humidity"/>
    <s v="Moderate Wind"/>
  </r>
  <r>
    <s v="AQ101056"/>
    <d v="2025-04-19T00:00:00"/>
    <x v="11"/>
    <x v="0"/>
    <s v="Station-13"/>
    <n v="17.7"/>
    <n v="45.1"/>
    <n v="13.2"/>
    <n v="13.5"/>
    <n v="1.1599999999999999"/>
    <n v="10.8"/>
    <n v="29.1"/>
    <n v="72.400000000000006"/>
    <n v="2.4"/>
    <n v="112"/>
    <x v="2"/>
    <s v="Good"/>
    <s v="Normal"/>
    <s v="High Humidity"/>
    <s v="Moderate Wind"/>
  </r>
  <r>
    <s v="AQ101057"/>
    <d v="2025-09-22T00:00:00"/>
    <x v="10"/>
    <x v="3"/>
    <s v="Station-02"/>
    <n v="16.5"/>
    <n v="128.9"/>
    <n v="21.7"/>
    <n v="4.9000000000000004"/>
    <n v="0.59"/>
    <n v="34.1"/>
    <n v="25.6"/>
    <n v="53.4"/>
    <n v="1.5"/>
    <n v="161"/>
    <x v="2"/>
    <s v="Unhealthy"/>
    <s v="Normal"/>
    <s v="Normal Humidity"/>
    <s v="Low Wind"/>
  </r>
  <r>
    <s v="AQ101058"/>
    <d v="2025-01-17T00:00:00"/>
    <x v="10"/>
    <x v="3"/>
    <s v="Station-11"/>
    <n v="52.5"/>
    <n v="106.5"/>
    <n v="48"/>
    <n v="10.199999999999999"/>
    <n v="0.79"/>
    <n v="23.2"/>
    <n v="21.4"/>
    <n v="55"/>
    <n v="3.5"/>
    <n v="229"/>
    <x v="1"/>
    <s v="Unhealthy"/>
    <s v="Normal"/>
    <s v="Normal Humidity"/>
    <s v="Moderate Wind"/>
  </r>
  <r>
    <s v="AQ101059"/>
    <d v="2025-01-27T00:00:00"/>
    <x v="3"/>
    <x v="2"/>
    <s v="Station-02"/>
    <n v="48.7"/>
    <n v="110"/>
    <n v="17.399999999999999"/>
    <n v="7.7"/>
    <n v="0.56000000000000005"/>
    <n v="67.900000000000006"/>
    <n v="27.8"/>
    <n v="40.799999999999997"/>
    <n v="2"/>
    <n v="213"/>
    <x v="1"/>
    <s v="Unhealthy"/>
    <s v="Normal"/>
    <s v="Normal Humidity"/>
    <s v="Moderate Wind"/>
  </r>
  <r>
    <s v="AQ101060"/>
    <d v="2025-08-23T00:00:00"/>
    <x v="9"/>
    <x v="0"/>
    <s v="Station-05"/>
    <n v="24"/>
    <n v="148.9"/>
    <n v="38.5"/>
    <n v="5.7"/>
    <n v="1.1599999999999999"/>
    <n v="57"/>
    <n v="23.7"/>
    <n v="71.7"/>
    <n v="1.6"/>
    <n v="225"/>
    <x v="1"/>
    <s v="Unhealthy"/>
    <s v="Normal"/>
    <s v="High Humidity"/>
    <s v="Low Wind"/>
  </r>
  <r>
    <s v="AQ101061"/>
    <d v="2025-02-19T00:00:00"/>
    <x v="6"/>
    <x v="1"/>
    <s v="Station-12"/>
    <n v="54.9"/>
    <n v="163.80000000000001"/>
    <n v="47.9"/>
    <n v="8.8000000000000007"/>
    <n v="0.34"/>
    <n v="56.1"/>
    <n v="27.1"/>
    <n v="70.7"/>
    <n v="0.5"/>
    <n v="273"/>
    <x v="1"/>
    <s v="VeryUnhealthy"/>
    <s v="Normal"/>
    <s v="High Humidity"/>
    <s v="Low Wind"/>
  </r>
  <r>
    <s v="AQ101062"/>
    <d v="2025-12-12T00:00:00"/>
    <x v="8"/>
    <x v="2"/>
    <s v="Station-12"/>
    <n v="24.1"/>
    <n v="111.1"/>
    <n v="9.8000000000000007"/>
    <n v="8.6"/>
    <n v="2.13"/>
    <n v="23.7"/>
    <n v="28.6"/>
    <n v="62.1"/>
    <n v="1.8"/>
    <n v="189"/>
    <x v="2"/>
    <s v="Unhealthy"/>
    <s v="Normal"/>
    <s v="High Humidity"/>
    <s v="Low Wind"/>
  </r>
  <r>
    <s v="AQ101063"/>
    <d v="2025-01-10T00:00:00"/>
    <x v="15"/>
    <x v="3"/>
    <s v="Station-14"/>
    <n v="54.8"/>
    <n v="64.5"/>
    <n v="38.799999999999997"/>
    <n v="3.1"/>
    <n v="1.51"/>
    <n v="22.9"/>
    <n v="26.2"/>
    <n v="64"/>
    <n v="1.4"/>
    <n v="211"/>
    <x v="1"/>
    <s v="Moderate"/>
    <s v="Normal"/>
    <s v="High Humidity"/>
    <s v="Low Wind"/>
  </r>
  <r>
    <s v="AQ101064"/>
    <d v="2025-08-23T00:00:00"/>
    <x v="0"/>
    <x v="0"/>
    <s v="Station-05"/>
    <n v="90.1"/>
    <n v="72.3"/>
    <n v="34.6"/>
    <n v="22.9"/>
    <n v="1.49"/>
    <n v="41.1"/>
    <n v="26.8"/>
    <n v="49.1"/>
    <n v="2.4"/>
    <n v="291"/>
    <x v="1"/>
    <s v="Moderate"/>
    <s v="Normal"/>
    <s v="Normal Humidity"/>
    <s v="Moderate Wind"/>
  </r>
  <r>
    <s v="AQ101065"/>
    <d v="2025-05-26T00:00:00"/>
    <x v="7"/>
    <x v="2"/>
    <s v="Station-09"/>
    <n v="41"/>
    <n v="109.4"/>
    <n v="13.7"/>
    <n v="14.7"/>
    <n v="0.52"/>
    <n v="28"/>
    <n v="24.1"/>
    <n v="63"/>
    <n v="0.8"/>
    <n v="184"/>
    <x v="2"/>
    <s v="Unhealthy"/>
    <s v="Normal"/>
    <s v="High Humidity"/>
    <s v="Low Wind"/>
  </r>
  <r>
    <s v="AQ101066"/>
    <d v="2025-10-03T00:00:00"/>
    <x v="1"/>
    <x v="1"/>
    <s v="Station-09"/>
    <n v="82.5"/>
    <n v="85.6"/>
    <n v="34.6"/>
    <n v="8.4"/>
    <n v="0.38"/>
    <n v="42.3"/>
    <n v="25.1"/>
    <n v="69.599999999999994"/>
    <n v="2.8"/>
    <n v="250"/>
    <x v="1"/>
    <s v="Moderate"/>
    <s v="Normal"/>
    <s v="High Humidity"/>
    <s v="Moderate Wind"/>
  </r>
  <r>
    <s v="AQ101067"/>
    <d v="2025-11-27T00:00:00"/>
    <x v="3"/>
    <x v="2"/>
    <s v="Station-06"/>
    <n v="72.400000000000006"/>
    <n v="45.1"/>
    <n v="54.9"/>
    <n v="16.2"/>
    <n v="0.36"/>
    <n v="60.2"/>
    <n v="28"/>
    <n v="50.7"/>
    <n v="2.2000000000000002"/>
    <n v="237"/>
    <x v="1"/>
    <s v="Good"/>
    <s v="Normal"/>
    <s v="Normal Humidity"/>
    <s v="Moderate Wind"/>
  </r>
  <r>
    <s v="AQ101068"/>
    <d v="2025-05-19T00:00:00"/>
    <x v="11"/>
    <x v="0"/>
    <s v="Station-12"/>
    <n v="64.5"/>
    <n v="182.2"/>
    <n v="10.5"/>
    <n v="25.8"/>
    <n v="0.42"/>
    <n v="14.9"/>
    <n v="32.700000000000003"/>
    <n v="30.4"/>
    <n v="1.4"/>
    <n v="265"/>
    <x v="1"/>
    <s v="VeryUnhealthy"/>
    <s v="Hot"/>
    <s v="Normal Humidity"/>
    <s v="Low Wind"/>
  </r>
  <r>
    <s v="AQ101069"/>
    <d v="2025-08-13T00:00:00"/>
    <x v="1"/>
    <x v="1"/>
    <s v="Station-08"/>
    <n v="63"/>
    <n v="62.6"/>
    <n v="3.8"/>
    <n v="23.8"/>
    <n v="0.85"/>
    <n v="34.799999999999997"/>
    <n v="28.7"/>
    <n v="74.3"/>
    <n v="2.2000000000000002"/>
    <n v="198"/>
    <x v="2"/>
    <s v="Moderate"/>
    <s v="Normal"/>
    <s v="High Humidity"/>
    <s v="Moderate Wind"/>
  </r>
  <r>
    <s v="AQ101070"/>
    <d v="2025-10-12T00:00:00"/>
    <x v="7"/>
    <x v="2"/>
    <s v="Station-03"/>
    <n v="57.7"/>
    <n v="56"/>
    <n v="6.6"/>
    <n v="24.9"/>
    <n v="1.06"/>
    <n v="32.4"/>
    <n v="26.9"/>
    <n v="85"/>
    <n v="1.1000000000000001"/>
    <n v="193"/>
    <x v="2"/>
    <s v="Moderate"/>
    <s v="Normal"/>
    <s v="High Humidity"/>
    <s v="Low Wind"/>
  </r>
  <r>
    <s v="AQ101071"/>
    <d v="2025-06-20T00:00:00"/>
    <x v="6"/>
    <x v="1"/>
    <s v="Station-07"/>
    <n v="58.4"/>
    <n v="167.4"/>
    <n v="110.2"/>
    <n v="11.3"/>
    <n v="1.42"/>
    <n v="56.6"/>
    <n v="21.8"/>
    <n v="47.6"/>
    <n v="2.2000000000000002"/>
    <n v="359"/>
    <x v="0"/>
    <s v="VeryUnhealthy"/>
    <s v="Normal"/>
    <s v="Normal Humidity"/>
    <s v="Moderate Wind"/>
  </r>
  <r>
    <s v="AQ101072"/>
    <d v="2025-06-28T00:00:00"/>
    <x v="1"/>
    <x v="1"/>
    <s v="Station-06"/>
    <n v="27"/>
    <n v="36.5"/>
    <n v="5.9"/>
    <n v="11.3"/>
    <n v="0.77"/>
    <n v="33.6"/>
    <n v="20.9"/>
    <n v="61.2"/>
    <n v="1.5"/>
    <n v="114"/>
    <x v="2"/>
    <s v="Good"/>
    <s v="Normal"/>
    <s v="High Humidity"/>
    <s v="Low Wind"/>
  </r>
  <r>
    <s v="AQ101073"/>
    <d v="2025-05-19T00:00:00"/>
    <x v="10"/>
    <x v="3"/>
    <s v="Station-14"/>
    <n v="26.7"/>
    <n v="65.2"/>
    <n v="23.3"/>
    <n v="27.9"/>
    <n v="0.14000000000000001"/>
    <n v="44.1"/>
    <n v="23.4"/>
    <n v="62.8"/>
    <n v="3.2"/>
    <n v="147"/>
    <x v="2"/>
    <s v="Moderate"/>
    <s v="Normal"/>
    <s v="High Humidity"/>
    <s v="Moderate Wind"/>
  </r>
  <r>
    <s v="AQ101074"/>
    <d v="2025-09-17T00:00:00"/>
    <x v="13"/>
    <x v="4"/>
    <s v="Station-06"/>
    <n v="55.2"/>
    <n v="162.30000000000001"/>
    <n v="55"/>
    <n v="5.0999999999999996"/>
    <n v="0.72"/>
    <n v="38"/>
    <n v="21.6"/>
    <n v="42.4"/>
    <n v="1.4"/>
    <n v="276"/>
    <x v="1"/>
    <s v="VeryUnhealthy"/>
    <s v="Normal"/>
    <s v="Normal Humidity"/>
    <s v="Low Wind"/>
  </r>
  <r>
    <s v="AQ101075"/>
    <d v="2025-12-19T00:00:00"/>
    <x v="7"/>
    <x v="2"/>
    <s v="Station-14"/>
    <n v="66.5"/>
    <n v="26.3"/>
    <n v="25.1"/>
    <n v="2.8"/>
    <n v="2.3199999999999998"/>
    <n v="25.9"/>
    <n v="22.4"/>
    <n v="65.8"/>
    <n v="2.7"/>
    <n v="215"/>
    <x v="1"/>
    <s v="Good"/>
    <s v="Normal"/>
    <s v="High Humidity"/>
    <s v="Moderate Wind"/>
  </r>
  <r>
    <s v="AQ101076"/>
    <d v="2025-04-05T00:00:00"/>
    <x v="6"/>
    <x v="1"/>
    <s v="Station-11"/>
    <n v="18.2"/>
    <n v="79.099999999999994"/>
    <n v="23.9"/>
    <n v="5.7"/>
    <n v="0.34"/>
    <n v="35.799999999999997"/>
    <n v="22.4"/>
    <n v="69.2"/>
    <n v="0.7"/>
    <n v="128"/>
    <x v="2"/>
    <s v="Moderate"/>
    <s v="Normal"/>
    <s v="High Humidity"/>
    <s v="Low Wind"/>
  </r>
  <r>
    <s v="AQ101077"/>
    <d v="2025-04-12T00:00:00"/>
    <x v="2"/>
    <x v="1"/>
    <s v="Station-07"/>
    <n v="11"/>
    <n v="104.6"/>
    <n v="24.2"/>
    <n v="5.4"/>
    <n v="0.3"/>
    <n v="56.7"/>
    <n v="21.9"/>
    <n v="66.7"/>
    <n v="1"/>
    <n v="142"/>
    <x v="2"/>
    <s v="Unhealthy"/>
    <s v="Normal"/>
    <s v="High Humidity"/>
    <s v="Low Wind"/>
  </r>
  <r>
    <s v="AQ101078"/>
    <d v="2025-09-15T00:00:00"/>
    <x v="8"/>
    <x v="2"/>
    <s v="Station-04"/>
    <n v="46.6"/>
    <n v="55.1"/>
    <n v="23.4"/>
    <n v="2.9"/>
    <n v="0.41"/>
    <n v="65.5"/>
    <n v="28.9"/>
    <n v="21.8"/>
    <n v="0.1"/>
    <n v="171"/>
    <x v="2"/>
    <s v="Moderate"/>
    <s v="Normal"/>
    <s v="Low Humidity"/>
    <s v="Low Wind"/>
  </r>
  <r>
    <s v="AQ101079"/>
    <d v="2025-05-17T00:00:00"/>
    <x v="4"/>
    <x v="3"/>
    <s v="Station-15"/>
    <n v="44"/>
    <n v="117.2"/>
    <n v="18.5"/>
    <n v="51.9"/>
    <n v="0.24"/>
    <n v="12"/>
    <n v="25.9"/>
    <n v="90.9"/>
    <n v="3.2"/>
    <n v="209"/>
    <x v="1"/>
    <s v="Unhealthy"/>
    <s v="Normal"/>
    <s v="High Humidity"/>
    <s v="Moderate Wind"/>
  </r>
  <r>
    <s v="AQ101080"/>
    <d v="2025-03-27T00:00:00"/>
    <x v="12"/>
    <x v="4"/>
    <s v="Station-10"/>
    <n v="10.1"/>
    <n v="82.4"/>
    <n v="18.2"/>
    <n v="8.6"/>
    <n v="1.65"/>
    <n v="11.1"/>
    <n v="30.5"/>
    <n v="51.8"/>
    <n v="1.7"/>
    <n v="137"/>
    <x v="2"/>
    <s v="Moderate"/>
    <s v="Hot"/>
    <s v="Normal Humidity"/>
    <s v="Low Wind"/>
  </r>
  <r>
    <s v="AQ101081"/>
    <d v="2025-01-24T00:00:00"/>
    <x v="15"/>
    <x v="3"/>
    <s v="Station-14"/>
    <n v="112.8"/>
    <n v="49.5"/>
    <n v="18.899999999999999"/>
    <n v="24.9"/>
    <n v="0.88"/>
    <n v="26.3"/>
    <n v="31.7"/>
    <n v="55.8"/>
    <n v="1.9"/>
    <n v="279"/>
    <x v="1"/>
    <s v="Good"/>
    <s v="Hot"/>
    <s v="Normal Humidity"/>
    <s v="Low Wind"/>
  </r>
  <r>
    <s v="AQ101082"/>
    <d v="2025-05-03T00:00:00"/>
    <x v="12"/>
    <x v="4"/>
    <s v="Station-12"/>
    <n v="35.200000000000003"/>
    <n v="115.8"/>
    <n v="38.799999999999997"/>
    <n v="18.8"/>
    <n v="0.56999999999999995"/>
    <n v="31.3"/>
    <n v="23.1"/>
    <n v="72"/>
    <n v="1.6"/>
    <n v="204"/>
    <x v="1"/>
    <s v="Unhealthy"/>
    <s v="Normal"/>
    <s v="High Humidity"/>
    <s v="Low Wind"/>
  </r>
  <r>
    <s v="AQ101083"/>
    <d v="2025-07-03T00:00:00"/>
    <x v="4"/>
    <x v="3"/>
    <s v="Station-07"/>
    <n v="56"/>
    <n v="28.3"/>
    <n v="44.7"/>
    <n v="3.8"/>
    <n v="0.6"/>
    <n v="13"/>
    <n v="34.5"/>
    <n v="59.6"/>
    <n v="1.7"/>
    <n v="167"/>
    <x v="2"/>
    <s v="Good"/>
    <s v="Hot"/>
    <s v="Normal Humidity"/>
    <s v="Low Wind"/>
  </r>
  <r>
    <s v="AQ101084"/>
    <d v="2025-04-14T00:00:00"/>
    <x v="0"/>
    <x v="0"/>
    <s v="Station-04"/>
    <n v="124.5"/>
    <n v="15.6"/>
    <n v="27.6"/>
    <n v="12.9"/>
    <n v="0.87"/>
    <n v="15.2"/>
    <n v="27.3"/>
    <n v="33.200000000000003"/>
    <n v="1.9"/>
    <n v="269"/>
    <x v="1"/>
    <s v="Good"/>
    <s v="Normal"/>
    <s v="Normal Humidity"/>
    <s v="Low Wind"/>
  </r>
  <r>
    <s v="AQ101085"/>
    <d v="2025-09-18T00:00:00"/>
    <x v="6"/>
    <x v="1"/>
    <s v="Station-08"/>
    <n v="30.9"/>
    <n v="63.8"/>
    <n v="10.4"/>
    <n v="2"/>
    <n v="1.49"/>
    <n v="53.5"/>
    <n v="32.4"/>
    <n v="76.599999999999994"/>
    <n v="2.9"/>
    <n v="162"/>
    <x v="2"/>
    <s v="Moderate"/>
    <s v="Hot"/>
    <s v="High Humidity"/>
    <s v="Moderate Wind"/>
  </r>
  <r>
    <s v="AQ101086"/>
    <d v="2025-06-09T00:00:00"/>
    <x v="7"/>
    <x v="2"/>
    <s v="Station-06"/>
    <n v="84"/>
    <n v="63.3"/>
    <n v="24.3"/>
    <n v="36"/>
    <n v="0.33"/>
    <n v="83.1"/>
    <n v="30"/>
    <n v="33.1"/>
    <n v="2"/>
    <n v="266"/>
    <x v="1"/>
    <s v="Moderate"/>
    <s v="Normal"/>
    <s v="Normal Humidity"/>
    <s v="Moderate Wind"/>
  </r>
  <r>
    <s v="AQ101087"/>
    <d v="2025-04-30T00:00:00"/>
    <x v="15"/>
    <x v="3"/>
    <s v="Station-06"/>
    <n v="33.799999999999997"/>
    <n v="73.099999999999994"/>
    <n v="59.5"/>
    <n v="8.4"/>
    <n v="0.41"/>
    <n v="38.299999999999997"/>
    <n v="27.5"/>
    <n v="52.5"/>
    <n v="3.1"/>
    <n v="183"/>
    <x v="2"/>
    <s v="Moderate"/>
    <s v="Normal"/>
    <s v="Normal Humidity"/>
    <s v="Moderate Wind"/>
  </r>
  <r>
    <s v="AQ101088"/>
    <d v="2025-03-20T00:00:00"/>
    <x v="6"/>
    <x v="1"/>
    <s v="Station-01"/>
    <n v="78.900000000000006"/>
    <n v="97.3"/>
    <n v="15.8"/>
    <n v="24.4"/>
    <n v="0.51"/>
    <n v="19.399999999999999"/>
    <n v="27.4"/>
    <n v="78.099999999999994"/>
    <n v="2.7"/>
    <n v="241"/>
    <x v="1"/>
    <s v="Moderate"/>
    <s v="Normal"/>
    <s v="High Humidity"/>
    <s v="Moderate Wind"/>
  </r>
  <r>
    <s v="AQ101089"/>
    <d v="2025-05-28T00:00:00"/>
    <x v="9"/>
    <x v="0"/>
    <s v="Station-09"/>
    <n v="51.2"/>
    <n v="44.4"/>
    <n v="37.799999999999997"/>
    <n v="10.8"/>
    <n v="0.66"/>
    <n v="95.1"/>
    <n v="33.4"/>
    <n v="72"/>
    <n v="2.8"/>
    <n v="208"/>
    <x v="1"/>
    <s v="Good"/>
    <s v="Hot"/>
    <s v="High Humidity"/>
    <s v="Moderate Wind"/>
  </r>
  <r>
    <s v="AQ101090"/>
    <d v="2025-08-09T00:00:00"/>
    <x v="7"/>
    <x v="2"/>
    <s v="Station-09"/>
    <n v="33.5"/>
    <n v="19.5"/>
    <n v="36.200000000000003"/>
    <n v="2.2000000000000002"/>
    <n v="1.1200000000000001"/>
    <n v="31.4"/>
    <n v="36.200000000000003"/>
    <n v="73.2"/>
    <n v="2.2999999999999998"/>
    <n v="139"/>
    <x v="2"/>
    <s v="Good"/>
    <s v="Hot"/>
    <s v="High Humidity"/>
    <s v="Moderate Wind"/>
  </r>
  <r>
    <s v="AQ101091"/>
    <d v="2025-08-07T00:00:00"/>
    <x v="1"/>
    <x v="1"/>
    <s v="Station-01"/>
    <n v="44.7"/>
    <n v="41.9"/>
    <n v="18.8"/>
    <n v="32.9"/>
    <n v="0.66"/>
    <n v="42.9"/>
    <n v="25.6"/>
    <n v="55"/>
    <n v="1.4"/>
    <n v="173"/>
    <x v="2"/>
    <s v="Good"/>
    <s v="Normal"/>
    <s v="Normal Humidity"/>
    <s v="Low Wind"/>
  </r>
  <r>
    <s v="AQ101092"/>
    <d v="2025-08-24T00:00:00"/>
    <x v="13"/>
    <x v="4"/>
    <s v="Station-08"/>
    <n v="63.9"/>
    <n v="117.7"/>
    <n v="5.9"/>
    <n v="6.5"/>
    <n v="1.23"/>
    <n v="47.7"/>
    <n v="23.4"/>
    <n v="58.5"/>
    <n v="2.8"/>
    <n v="240"/>
    <x v="1"/>
    <s v="Unhealthy"/>
    <s v="Normal"/>
    <s v="Normal Humidity"/>
    <s v="Moderate Wind"/>
  </r>
  <r>
    <s v="AQ101093"/>
    <d v="2025-05-19T00:00:00"/>
    <x v="1"/>
    <x v="1"/>
    <s v="Station-07"/>
    <n v="92.5"/>
    <n v="156.80000000000001"/>
    <n v="11.9"/>
    <n v="4.7"/>
    <n v="1.53"/>
    <n v="65.099999999999994"/>
    <n v="26.4"/>
    <n v="82.3"/>
    <n v="1.9"/>
    <n v="330"/>
    <x v="0"/>
    <s v="VeryUnhealthy"/>
    <s v="Normal"/>
    <s v="High Humidity"/>
    <s v="Low Wind"/>
  </r>
  <r>
    <s v="AQ101094"/>
    <d v="2025-03-25T00:00:00"/>
    <x v="14"/>
    <x v="3"/>
    <s v="Station-11"/>
    <n v="42.7"/>
    <n v="46.5"/>
    <n v="27.9"/>
    <n v="20"/>
    <n v="0.22"/>
    <n v="170.2"/>
    <n v="17.7"/>
    <n v="70.599999999999994"/>
    <n v="1.6"/>
    <n v="217"/>
    <x v="1"/>
    <s v="Good"/>
    <s v="Cool"/>
    <s v="High Humidity"/>
    <s v="Low Wind"/>
  </r>
  <r>
    <s v="AQ101095"/>
    <d v="2025-12-29T00:00:00"/>
    <x v="10"/>
    <x v="3"/>
    <s v="Station-14"/>
    <n v="102.6"/>
    <n v="56.8"/>
    <n v="37.299999999999997"/>
    <n v="6.1"/>
    <n v="0.35"/>
    <n v="45"/>
    <n v="25.3"/>
    <n v="60.4"/>
    <n v="2.8"/>
    <n v="264"/>
    <x v="1"/>
    <s v="Moderate"/>
    <s v="Normal"/>
    <s v="High Humidity"/>
    <s v="Moderate Wind"/>
  </r>
  <r>
    <s v="AQ101096"/>
    <d v="2025-10-09T00:00:00"/>
    <x v="4"/>
    <x v="3"/>
    <s v="Station-09"/>
    <n v="18.399999999999999"/>
    <n v="54.7"/>
    <n v="21.4"/>
    <n v="6.4"/>
    <n v="0.54"/>
    <n v="19.600000000000001"/>
    <n v="36"/>
    <n v="69.3"/>
    <n v="2.8"/>
    <n v="109"/>
    <x v="2"/>
    <s v="Moderate"/>
    <s v="Hot"/>
    <s v="High Humidity"/>
    <s v="Moderate Wind"/>
  </r>
  <r>
    <s v="AQ101097"/>
    <d v="2025-11-25T00:00:00"/>
    <x v="11"/>
    <x v="0"/>
    <s v="Station-14"/>
    <n v="75.2"/>
    <n v="113.5"/>
    <n v="22.1"/>
    <n v="13.2"/>
    <n v="1.28"/>
    <n v="27.6"/>
    <n v="28.8"/>
    <n v="62.8"/>
    <n v="3.5"/>
    <n v="265"/>
    <x v="1"/>
    <s v="Unhealthy"/>
    <s v="Normal"/>
    <s v="High Humidity"/>
    <s v="Moderate Wind"/>
  </r>
  <r>
    <s v="AQ101098"/>
    <d v="2025-08-31T00:00:00"/>
    <x v="13"/>
    <x v="4"/>
    <s v="Station-13"/>
    <n v="62"/>
    <n v="71.5"/>
    <n v="20.399999999999999"/>
    <n v="44.5"/>
    <n v="0.9"/>
    <n v="52.8"/>
    <n v="25.3"/>
    <n v="74.3"/>
    <n v="1.6"/>
    <n v="239"/>
    <x v="1"/>
    <s v="Moderate"/>
    <s v="Normal"/>
    <s v="High Humidity"/>
    <s v="Low Wind"/>
  </r>
  <r>
    <s v="AQ101099"/>
    <d v="2025-10-23T00:00:00"/>
    <x v="15"/>
    <x v="3"/>
    <s v="Station-03"/>
    <n v="32.1"/>
    <n v="81.900000000000006"/>
    <n v="7.2"/>
    <n v="12"/>
    <n v="2.0699999999999998"/>
    <n v="34.1"/>
    <n v="26"/>
    <n v="55.7"/>
    <n v="2.2000000000000002"/>
    <n v="186"/>
    <x v="2"/>
    <s v="Moderate"/>
    <s v="Normal"/>
    <s v="Normal Humidity"/>
    <s v="Moderate Wind"/>
  </r>
  <r>
    <s v="AQ101100"/>
    <d v="2025-12-16T00:00:00"/>
    <x v="0"/>
    <x v="0"/>
    <s v="Station-13"/>
    <n v="39.200000000000003"/>
    <n v="117.7"/>
    <n v="8.3000000000000007"/>
    <n v="5.9"/>
    <n v="1.67"/>
    <n v="64.8"/>
    <n v="25.4"/>
    <n v="67.3"/>
    <n v="2"/>
    <n v="221"/>
    <x v="1"/>
    <s v="Unhealthy"/>
    <s v="Normal"/>
    <s v="High Humidity"/>
    <s v="Moderate Wind"/>
  </r>
  <r>
    <s v="AQ101101"/>
    <d v="2025-04-24T00:00:00"/>
    <x v="2"/>
    <x v="1"/>
    <s v="Station-03"/>
    <n v="14.4"/>
    <n v="110.9"/>
    <n v="18.7"/>
    <n v="28"/>
    <n v="0.36"/>
    <n v="52.3"/>
    <n v="27"/>
    <n v="88.1"/>
    <n v="0.8"/>
    <n v="162"/>
    <x v="2"/>
    <s v="Unhealthy"/>
    <s v="Normal"/>
    <s v="High Humidity"/>
    <s v="Low Wind"/>
  </r>
  <r>
    <s v="AQ101102"/>
    <d v="2025-11-12T00:00:00"/>
    <x v="9"/>
    <x v="0"/>
    <s v="Station-02"/>
    <n v="32.700000000000003"/>
    <n v="23.7"/>
    <n v="13.3"/>
    <n v="8.5"/>
    <n v="1.71"/>
    <n v="65.099999999999994"/>
    <n v="35"/>
    <n v="57.1"/>
    <n v="3.2"/>
    <n v="156"/>
    <x v="2"/>
    <s v="Good"/>
    <s v="Hot"/>
    <s v="Normal Humidity"/>
    <s v="Moderate Wind"/>
  </r>
  <r>
    <s v="AQ101103"/>
    <d v="2025-07-31T00:00:00"/>
    <x v="2"/>
    <x v="1"/>
    <s v="Station-03"/>
    <n v="108.2"/>
    <n v="115.5"/>
    <n v="10.3"/>
    <n v="3.7"/>
    <n v="0.94"/>
    <n v="8.6"/>
    <n v="28.7"/>
    <n v="79.400000000000006"/>
    <n v="1.9"/>
    <n v="286"/>
    <x v="1"/>
    <s v="Unhealthy"/>
    <s v="Normal"/>
    <s v="High Humidity"/>
    <s v="Low Wind"/>
  </r>
  <r>
    <s v="AQ101104"/>
    <d v="2025-12-12T00:00:00"/>
    <x v="6"/>
    <x v="1"/>
    <s v="Station-09"/>
    <n v="26.6"/>
    <n v="128"/>
    <n v="7.5"/>
    <n v="8.8000000000000007"/>
    <n v="2.35"/>
    <n v="9.9"/>
    <n v="29.8"/>
    <n v="80.8"/>
    <n v="3"/>
    <n v="201"/>
    <x v="1"/>
    <s v="Unhealthy"/>
    <s v="Normal"/>
    <s v="High Humidity"/>
    <s v="Moderate Wind"/>
  </r>
  <r>
    <s v="AQ101105"/>
    <d v="2025-12-11T00:00:00"/>
    <x v="2"/>
    <x v="1"/>
    <s v="Station-01"/>
    <n v="33.4"/>
    <n v="70"/>
    <n v="35.1"/>
    <n v="19.2"/>
    <n v="0.17"/>
    <n v="31.3"/>
    <n v="20"/>
    <n v="30.9"/>
    <n v="1.7"/>
    <n v="159"/>
    <x v="2"/>
    <s v="Moderate"/>
    <s v="Normal"/>
    <s v="Normal Humidity"/>
    <s v="Low Wind"/>
  </r>
  <r>
    <s v="AQ101106"/>
    <d v="2025-12-03T00:00:00"/>
    <x v="5"/>
    <x v="4"/>
    <s v="Station-11"/>
    <n v="62.5"/>
    <n v="21.3"/>
    <n v="8.5"/>
    <n v="11.2"/>
    <n v="0.33"/>
    <n v="12.6"/>
    <n v="19.600000000000001"/>
    <n v="36.299999999999997"/>
    <n v="3.8"/>
    <n v="142"/>
    <x v="2"/>
    <s v="Good"/>
    <s v="Cool"/>
    <s v="Normal Humidity"/>
    <s v="Moderate Wind"/>
  </r>
  <r>
    <s v="AQ101107"/>
    <d v="2025-12-04T00:00:00"/>
    <x v="11"/>
    <x v="0"/>
    <s v="Station-10"/>
    <n v="76.099999999999994"/>
    <n v="37.200000000000003"/>
    <n v="26.7"/>
    <n v="20.7"/>
    <n v="0.69"/>
    <n v="63.4"/>
    <n v="24.3"/>
    <n v="38.799999999999997"/>
    <n v="2"/>
    <n v="228"/>
    <x v="1"/>
    <s v="Good"/>
    <s v="Normal"/>
    <s v="Normal Humidity"/>
    <s v="Moderate Wind"/>
  </r>
  <r>
    <s v="AQ101108"/>
    <d v="2025-11-27T00:00:00"/>
    <x v="0"/>
    <x v="0"/>
    <s v="Station-07"/>
    <n v="45.5"/>
    <n v="97.6"/>
    <n v="46.1"/>
    <n v="12.9"/>
    <n v="0.25"/>
    <n v="54"/>
    <n v="32.4"/>
    <n v="51.3"/>
    <n v="2.5"/>
    <n v="213"/>
    <x v="1"/>
    <s v="Moderate"/>
    <s v="Hot"/>
    <s v="Normal Humidity"/>
    <s v="Moderate Wind"/>
  </r>
  <r>
    <s v="AQ101109"/>
    <d v="2025-09-02T00:00:00"/>
    <x v="6"/>
    <x v="1"/>
    <s v="Station-01"/>
    <n v="72.8"/>
    <n v="51.3"/>
    <n v="28.9"/>
    <n v="1.3"/>
    <n v="0.89"/>
    <n v="28.8"/>
    <n v="27.9"/>
    <n v="53.2"/>
    <n v="1"/>
    <n v="209"/>
    <x v="1"/>
    <s v="Moderate"/>
    <s v="Normal"/>
    <s v="Normal Humidity"/>
    <s v="Low Wind"/>
  </r>
  <r>
    <s v="AQ101110"/>
    <d v="2025-12-26T00:00:00"/>
    <x v="12"/>
    <x v="4"/>
    <s v="Station-05"/>
    <n v="40.700000000000003"/>
    <n v="133.80000000000001"/>
    <n v="64.099999999999994"/>
    <n v="13.2"/>
    <n v="1"/>
    <n v="49.4"/>
    <n v="30.1"/>
    <n v="86.4"/>
    <n v="2.9"/>
    <n v="260"/>
    <x v="1"/>
    <s v="Unhealthy"/>
    <s v="Hot"/>
    <s v="High Humidity"/>
    <s v="Moderate Wind"/>
  </r>
  <r>
    <s v="AQ101111"/>
    <d v="2025-12-01T00:00:00"/>
    <x v="11"/>
    <x v="0"/>
    <s v="Station-09"/>
    <n v="27.9"/>
    <n v="72.599999999999994"/>
    <n v="81.099999999999994"/>
    <n v="10.9"/>
    <n v="1.18"/>
    <n v="41.7"/>
    <n v="25.4"/>
    <n v="72"/>
    <n v="2.7"/>
    <n v="213"/>
    <x v="1"/>
    <s v="Moderate"/>
    <s v="Normal"/>
    <s v="High Humidity"/>
    <s v="Moderate Wind"/>
  </r>
  <r>
    <s v="AQ101112"/>
    <d v="2025-12-15T00:00:00"/>
    <x v="0"/>
    <x v="0"/>
    <s v="Station-03"/>
    <n v="72"/>
    <n v="118.7"/>
    <n v="16.2"/>
    <n v="16"/>
    <n v="0.37"/>
    <n v="31.1"/>
    <n v="31.8"/>
    <n v="58.3"/>
    <n v="1.5"/>
    <n v="240"/>
    <x v="1"/>
    <s v="Unhealthy"/>
    <s v="Hot"/>
    <s v="Normal Humidity"/>
    <s v="Low Wind"/>
  </r>
  <r>
    <s v="AQ101113"/>
    <d v="2025-07-08T00:00:00"/>
    <x v="10"/>
    <x v="3"/>
    <s v="Station-10"/>
    <n v="28.8"/>
    <n v="145.5"/>
    <n v="34.1"/>
    <n v="15.5"/>
    <n v="0.56999999999999995"/>
    <n v="4.9000000000000004"/>
    <n v="28.9"/>
    <n v="49.4"/>
    <n v="1.7"/>
    <n v="195"/>
    <x v="2"/>
    <s v="Unhealthy"/>
    <s v="Normal"/>
    <s v="Normal Humidity"/>
    <s v="Low Wind"/>
  </r>
  <r>
    <s v="AQ101114"/>
    <d v="2025-05-11T00:00:00"/>
    <x v="12"/>
    <x v="4"/>
    <s v="Station-12"/>
    <n v="36"/>
    <n v="101.3"/>
    <n v="39.700000000000003"/>
    <n v="10.3"/>
    <n v="0.46"/>
    <n v="26.9"/>
    <n v="37.700000000000003"/>
    <n v="46.1"/>
    <n v="2.7"/>
    <n v="186"/>
    <x v="2"/>
    <s v="Unhealthy"/>
    <s v="Hot"/>
    <s v="Normal Humidity"/>
    <s v="Moderate Wind"/>
  </r>
  <r>
    <s v="AQ101115"/>
    <d v="2025-03-04T00:00:00"/>
    <x v="4"/>
    <x v="3"/>
    <s v="Station-12"/>
    <n v="60.7"/>
    <n v="124"/>
    <n v="23.5"/>
    <n v="14.1"/>
    <n v="0.71"/>
    <n v="34.9"/>
    <n v="32.5"/>
    <n v="72.599999999999994"/>
    <n v="0.1"/>
    <n v="240"/>
    <x v="1"/>
    <s v="Unhealthy"/>
    <s v="Hot"/>
    <s v="High Humidity"/>
    <s v="Low Wind"/>
  </r>
  <r>
    <s v="AQ101116"/>
    <d v="2025-02-18T00:00:00"/>
    <x v="14"/>
    <x v="3"/>
    <s v="Station-01"/>
    <n v="43.5"/>
    <n v="81.5"/>
    <n v="21.4"/>
    <n v="12.6"/>
    <n v="0.98"/>
    <n v="50.5"/>
    <n v="25.8"/>
    <n v="60.2"/>
    <n v="1.9"/>
    <n v="196"/>
    <x v="2"/>
    <s v="Moderate"/>
    <s v="Normal"/>
    <s v="High Humidity"/>
    <s v="Low Wind"/>
  </r>
  <r>
    <s v="AQ101117"/>
    <d v="2025-09-03T00:00:00"/>
    <x v="9"/>
    <x v="0"/>
    <s v="Station-08"/>
    <n v="79.3"/>
    <n v="126.8"/>
    <n v="66.2"/>
    <n v="16.7"/>
    <n v="0.5"/>
    <n v="43.3"/>
    <n v="27.9"/>
    <n v="58.4"/>
    <n v="3.2"/>
    <n v="306"/>
    <x v="0"/>
    <s v="Unhealthy"/>
    <s v="Normal"/>
    <s v="Normal Humidity"/>
    <s v="Moderate Wind"/>
  </r>
  <r>
    <s v="AQ101118"/>
    <d v="2025-12-06T00:00:00"/>
    <x v="13"/>
    <x v="4"/>
    <s v="Station-08"/>
    <n v="78.3"/>
    <n v="19.3"/>
    <n v="37"/>
    <n v="21.4"/>
    <n v="2.42"/>
    <n v="54.3"/>
    <n v="31.9"/>
    <n v="61.9"/>
    <n v="1.5"/>
    <n v="267"/>
    <x v="1"/>
    <s v="Good"/>
    <s v="Hot"/>
    <s v="High Humidity"/>
    <s v="Low Wind"/>
  </r>
  <r>
    <s v="AQ101119"/>
    <d v="2025-08-28T00:00:00"/>
    <x v="5"/>
    <x v="4"/>
    <s v="Station-05"/>
    <n v="41.7"/>
    <n v="106.7"/>
    <n v="19.100000000000001"/>
    <n v="11.6"/>
    <n v="1.04"/>
    <n v="30"/>
    <n v="31.7"/>
    <n v="51.9"/>
    <n v="0.1"/>
    <n v="199"/>
    <x v="2"/>
    <s v="Unhealthy"/>
    <s v="Hot"/>
    <s v="Normal Humidity"/>
    <s v="Low Wind"/>
  </r>
  <r>
    <s v="AQ101120"/>
    <d v="2025-04-25T00:00:00"/>
    <x v="13"/>
    <x v="4"/>
    <s v="Station-15"/>
    <n v="29.2"/>
    <n v="34.6"/>
    <n v="43.9"/>
    <n v="10.9"/>
    <n v="0.28999999999999998"/>
    <n v="52.7"/>
    <n v="25.5"/>
    <n v="62.5"/>
    <n v="2.7"/>
    <n v="143"/>
    <x v="2"/>
    <s v="Good"/>
    <s v="Normal"/>
    <s v="High Humidity"/>
    <s v="Moderate Wind"/>
  </r>
  <r>
    <s v="AQ101121"/>
    <d v="2025-03-10T00:00:00"/>
    <x v="14"/>
    <x v="3"/>
    <s v="Station-06"/>
    <n v="62.6"/>
    <n v="70.5"/>
    <n v="30.7"/>
    <n v="14.5"/>
    <n v="0.05"/>
    <n v="21"/>
    <n v="30.4"/>
    <n v="78.099999999999994"/>
    <n v="2.7"/>
    <n v="191"/>
    <x v="2"/>
    <s v="Moderate"/>
    <s v="Hot"/>
    <s v="High Humidity"/>
    <s v="Moderate Wind"/>
  </r>
  <r>
    <s v="AQ101122"/>
    <d v="2025-11-12T00:00:00"/>
    <x v="9"/>
    <x v="0"/>
    <s v="Station-11"/>
    <n v="82.1"/>
    <n v="72.599999999999994"/>
    <n v="42.6"/>
    <n v="15"/>
    <n v="0.24"/>
    <n v="17.8"/>
    <n v="33.1"/>
    <n v="44.6"/>
    <n v="2.2999999999999998"/>
    <n v="237"/>
    <x v="1"/>
    <s v="Moderate"/>
    <s v="Hot"/>
    <s v="Normal Humidity"/>
    <s v="Moderate Wind"/>
  </r>
  <r>
    <s v="AQ101123"/>
    <d v="2025-01-16T00:00:00"/>
    <x v="12"/>
    <x v="4"/>
    <s v="Station-10"/>
    <n v="52.9"/>
    <n v="119.4"/>
    <n v="16.399999999999999"/>
    <n v="4.4000000000000004"/>
    <n v="1.57"/>
    <n v="39.299999999999997"/>
    <n v="31.1"/>
    <n v="55.4"/>
    <n v="2.8"/>
    <n v="235"/>
    <x v="1"/>
    <s v="Unhealthy"/>
    <s v="Hot"/>
    <s v="Normal Humidity"/>
    <s v="Moderate Wind"/>
  </r>
  <r>
    <s v="AQ101124"/>
    <d v="2025-12-30T00:00:00"/>
    <x v="4"/>
    <x v="3"/>
    <s v="Station-03"/>
    <n v="119.8"/>
    <n v="155.80000000000001"/>
    <n v="25"/>
    <n v="40.9"/>
    <n v="1.29"/>
    <n v="17.600000000000001"/>
    <n v="22.5"/>
    <n v="65.2"/>
    <n v="1.9"/>
    <n v="382"/>
    <x v="0"/>
    <s v="VeryUnhealthy"/>
    <s v="Normal"/>
    <s v="High Humidity"/>
    <s v="Low Wind"/>
  </r>
  <r>
    <s v="AQ101125"/>
    <d v="2025-03-06T00:00:00"/>
    <x v="12"/>
    <x v="4"/>
    <s v="Station-01"/>
    <n v="53.9"/>
    <n v="118.7"/>
    <n v="4.5999999999999996"/>
    <n v="5"/>
    <n v="1.43"/>
    <n v="93.9"/>
    <n v="22.1"/>
    <n v="41.5"/>
    <n v="3.4"/>
    <n v="249"/>
    <x v="1"/>
    <s v="Unhealthy"/>
    <s v="Normal"/>
    <s v="Normal Humidity"/>
    <s v="Moderate Wind"/>
  </r>
  <r>
    <s v="AQ101126"/>
    <d v="2025-08-15T00:00:00"/>
    <x v="14"/>
    <x v="3"/>
    <s v="Station-13"/>
    <n v="23"/>
    <n v="247.3"/>
    <n v="18.7"/>
    <n v="5.3"/>
    <n v="0.4"/>
    <n v="66.8"/>
    <n v="26.6"/>
    <n v="65.7"/>
    <n v="3.9"/>
    <n v="256"/>
    <x v="1"/>
    <s v="VeryUnhealthy"/>
    <s v="Normal"/>
    <s v="High Humidity"/>
    <s v="Moderate Wind"/>
  </r>
  <r>
    <s v="AQ101127"/>
    <d v="2025-11-03T00:00:00"/>
    <x v="5"/>
    <x v="4"/>
    <s v="Station-04"/>
    <n v="45.5"/>
    <n v="137.80000000000001"/>
    <n v="88.6"/>
    <n v="19"/>
    <n v="0.6"/>
    <n v="56.8"/>
    <n v="20.3"/>
    <n v="74.5"/>
    <n v="3.1"/>
    <n v="287"/>
    <x v="1"/>
    <s v="Unhealthy"/>
    <s v="Normal"/>
    <s v="High Humidity"/>
    <s v="Moderate Wind"/>
  </r>
  <r>
    <s v="AQ101128"/>
    <d v="2025-04-15T00:00:00"/>
    <x v="8"/>
    <x v="2"/>
    <s v="Station-10"/>
    <n v="39.1"/>
    <n v="76.7"/>
    <n v="48.6"/>
    <n v="15.4"/>
    <n v="0.44"/>
    <n v="17.399999999999999"/>
    <n v="32.1"/>
    <n v="53.8"/>
    <n v="1.7"/>
    <n v="181"/>
    <x v="2"/>
    <s v="Moderate"/>
    <s v="Hot"/>
    <s v="Normal Humidity"/>
    <s v="Low Wind"/>
  </r>
  <r>
    <s v="AQ101129"/>
    <d v="2025-01-25T00:00:00"/>
    <x v="0"/>
    <x v="0"/>
    <s v="Station-07"/>
    <n v="24.3"/>
    <n v="41.6"/>
    <n v="14.5"/>
    <n v="9.1999999999999993"/>
    <n v="0.51"/>
    <n v="67.900000000000006"/>
    <n v="30.3"/>
    <n v="98"/>
    <n v="3.1"/>
    <n v="127"/>
    <x v="2"/>
    <s v="Good"/>
    <s v="Hot"/>
    <s v="High Humidity"/>
    <s v="Moderate Wind"/>
  </r>
  <r>
    <s v="AQ101130"/>
    <d v="2025-08-31T00:00:00"/>
    <x v="15"/>
    <x v="3"/>
    <s v="Station-12"/>
    <n v="38.9"/>
    <n v="171.5"/>
    <n v="30"/>
    <n v="4.5"/>
    <n v="1.35"/>
    <n v="40.4"/>
    <n v="38.6"/>
    <n v="76.900000000000006"/>
    <n v="1.4"/>
    <n v="253"/>
    <x v="1"/>
    <s v="VeryUnhealthy"/>
    <s v="Hot"/>
    <s v="High Humidity"/>
    <s v="Low Wind"/>
  </r>
  <r>
    <s v="AQ101131"/>
    <d v="2025-11-25T00:00:00"/>
    <x v="8"/>
    <x v="2"/>
    <s v="Station-08"/>
    <n v="25.3"/>
    <n v="52.8"/>
    <n v="100.2"/>
    <n v="31.4"/>
    <n v="1.4"/>
    <n v="48.5"/>
    <n v="22.4"/>
    <n v="56.5"/>
    <n v="2.1"/>
    <n v="234"/>
    <x v="1"/>
    <s v="Moderate"/>
    <s v="Normal"/>
    <s v="Normal Humidity"/>
    <s v="Moderate Wind"/>
  </r>
  <r>
    <s v="AQ101132"/>
    <d v="2025-11-05T00:00:00"/>
    <x v="5"/>
    <x v="4"/>
    <s v="Station-05"/>
    <n v="67.400000000000006"/>
    <n v="105.7"/>
    <n v="12.6"/>
    <n v="2.2000000000000002"/>
    <n v="0.24"/>
    <n v="66.599999999999994"/>
    <n v="26.5"/>
    <n v="71.099999999999994"/>
    <n v="2.5"/>
    <n v="224"/>
    <x v="1"/>
    <s v="Unhealthy"/>
    <s v="Normal"/>
    <s v="High Humidity"/>
    <s v="Moderate Wind"/>
  </r>
  <r>
    <s v="AQ101133"/>
    <d v="2025-06-04T00:00:00"/>
    <x v="6"/>
    <x v="1"/>
    <s v="Station-03"/>
    <n v="83.7"/>
    <n v="84.5"/>
    <n v="13.6"/>
    <n v="8.9"/>
    <n v="0.17"/>
    <n v="14.3"/>
    <n v="29.9"/>
    <n v="61"/>
    <n v="2.7"/>
    <n v="217"/>
    <x v="1"/>
    <s v="Moderate"/>
    <s v="Normal"/>
    <s v="High Humidity"/>
    <s v="Moderate Wind"/>
  </r>
  <r>
    <s v="AQ101134"/>
    <d v="2025-03-04T00:00:00"/>
    <x v="11"/>
    <x v="0"/>
    <s v="Station-15"/>
    <n v="54.8"/>
    <n v="53.5"/>
    <n v="3.1"/>
    <n v="20.3"/>
    <n v="2.21"/>
    <n v="12.3"/>
    <n v="11.2"/>
    <n v="48.8"/>
    <n v="3.3"/>
    <n v="200"/>
    <x v="2"/>
    <s v="Moderate"/>
    <s v="Cool"/>
    <s v="Normal Humidity"/>
    <s v="Moderate Wind"/>
  </r>
  <r>
    <s v="AQ101135"/>
    <d v="2025-03-12T00:00:00"/>
    <x v="0"/>
    <x v="0"/>
    <s v="Station-11"/>
    <n v="39.9"/>
    <n v="90.1"/>
    <n v="22.8"/>
    <n v="22.1"/>
    <n v="0.77"/>
    <n v="22.8"/>
    <n v="23.7"/>
    <n v="41.7"/>
    <n v="1.9"/>
    <n v="186"/>
    <x v="2"/>
    <s v="Moderate"/>
    <s v="Normal"/>
    <s v="Normal Humidity"/>
    <s v="Low Wind"/>
  </r>
  <r>
    <s v="AQ101136"/>
    <d v="2025-11-17T00:00:00"/>
    <x v="3"/>
    <x v="2"/>
    <s v="Station-11"/>
    <n v="48.6"/>
    <n v="128.9"/>
    <n v="48.5"/>
    <n v="10.9"/>
    <n v="2.33"/>
    <n v="8.6999999999999993"/>
    <n v="22.4"/>
    <n v="58.6"/>
    <n v="2.4"/>
    <n v="270"/>
    <x v="1"/>
    <s v="Unhealthy"/>
    <s v="Normal"/>
    <s v="Normal Humidity"/>
    <s v="Moderate Wind"/>
  </r>
  <r>
    <s v="AQ101137"/>
    <d v="2025-07-13T00:00:00"/>
    <x v="2"/>
    <x v="1"/>
    <s v="Station-09"/>
    <n v="107.5"/>
    <n v="144.1"/>
    <n v="26"/>
    <n v="13.6"/>
    <n v="0.98"/>
    <n v="20.6"/>
    <n v="36.299999999999997"/>
    <n v="62"/>
    <n v="2.5"/>
    <n v="330"/>
    <x v="0"/>
    <s v="Unhealthy"/>
    <s v="Hot"/>
    <s v="High Humidity"/>
    <s v="Moderate Wind"/>
  </r>
  <r>
    <s v="AQ101138"/>
    <d v="2025-09-20T00:00:00"/>
    <x v="3"/>
    <x v="2"/>
    <s v="Station-04"/>
    <n v="20.6"/>
    <n v="115.2"/>
    <n v="13.7"/>
    <n v="7.4"/>
    <n v="0.99"/>
    <n v="15.7"/>
    <n v="27.6"/>
    <n v="52.1"/>
    <n v="3.1"/>
    <n v="156"/>
    <x v="2"/>
    <s v="Unhealthy"/>
    <s v="Normal"/>
    <s v="Normal Humidity"/>
    <s v="Moderate Wind"/>
  </r>
  <r>
    <s v="AQ101139"/>
    <d v="2025-10-22T00:00:00"/>
    <x v="14"/>
    <x v="3"/>
    <s v="Station-04"/>
    <n v="31.3"/>
    <n v="105.5"/>
    <n v="20"/>
    <n v="31"/>
    <n v="0.35"/>
    <n v="21.8"/>
    <n v="24.5"/>
    <n v="79.400000000000006"/>
    <n v="1"/>
    <n v="175"/>
    <x v="2"/>
    <s v="Unhealthy"/>
    <s v="Normal"/>
    <s v="High Humidity"/>
    <s v="Low Wind"/>
  </r>
  <r>
    <s v="AQ101140"/>
    <d v="2025-12-03T00:00:00"/>
    <x v="9"/>
    <x v="0"/>
    <s v="Station-06"/>
    <n v="28.6"/>
    <n v="38.5"/>
    <n v="21.7"/>
    <n v="7"/>
    <n v="1.2"/>
    <n v="63.3"/>
    <n v="19.399999999999999"/>
    <n v="54.5"/>
    <n v="0.9"/>
    <n v="152"/>
    <x v="2"/>
    <s v="Good"/>
    <s v="Cool"/>
    <s v="Normal Humidity"/>
    <s v="Low Wind"/>
  </r>
  <r>
    <s v="AQ101141"/>
    <d v="2025-04-14T00:00:00"/>
    <x v="6"/>
    <x v="1"/>
    <s v="Station-15"/>
    <n v="61.9"/>
    <n v="106.3"/>
    <n v="55.2"/>
    <n v="5.6"/>
    <n v="0.27"/>
    <n v="64.3"/>
    <n v="36.5"/>
    <n v="65.3"/>
    <n v="3.1"/>
    <n v="252"/>
    <x v="1"/>
    <s v="Unhealthy"/>
    <s v="Hot"/>
    <s v="High Humidity"/>
    <s v="Moderate Wind"/>
  </r>
  <r>
    <s v="AQ101142"/>
    <d v="2025-05-07T00:00:00"/>
    <x v="8"/>
    <x v="2"/>
    <s v="Station-03"/>
    <n v="54"/>
    <n v="141.80000000000001"/>
    <n v="46.5"/>
    <n v="11.2"/>
    <n v="1.1399999999999999"/>
    <n v="32.1"/>
    <n v="19.3"/>
    <n v="34.700000000000003"/>
    <n v="2.2000000000000002"/>
    <n v="267"/>
    <x v="1"/>
    <s v="Unhealthy"/>
    <s v="Cool"/>
    <s v="Normal Humidity"/>
    <s v="Moderate Wind"/>
  </r>
  <r>
    <s v="AQ101143"/>
    <d v="2025-08-08T00:00:00"/>
    <x v="15"/>
    <x v="3"/>
    <s v="Station-07"/>
    <n v="22.8"/>
    <n v="87.1"/>
    <n v="24.9"/>
    <n v="21.8"/>
    <n v="0.19"/>
    <n v="33.799999999999997"/>
    <n v="22.5"/>
    <n v="54.6"/>
    <n v="2"/>
    <n v="148"/>
    <x v="2"/>
    <s v="Moderate"/>
    <s v="Normal"/>
    <s v="Normal Humidity"/>
    <s v="Moderate Wind"/>
  </r>
  <r>
    <s v="AQ101144"/>
    <d v="2025-11-29T00:00:00"/>
    <x v="11"/>
    <x v="0"/>
    <s v="Station-01"/>
    <n v="79.8"/>
    <n v="148.30000000000001"/>
    <n v="68.7"/>
    <n v="7.8"/>
    <n v="0.19"/>
    <n v="49.7"/>
    <n v="27"/>
    <n v="56.7"/>
    <n v="1.9"/>
    <n v="312"/>
    <x v="0"/>
    <s v="Unhealthy"/>
    <s v="Normal"/>
    <s v="Normal Humidity"/>
    <s v="Low Wind"/>
  </r>
  <r>
    <s v="AQ101145"/>
    <d v="2025-11-02T00:00:00"/>
    <x v="7"/>
    <x v="2"/>
    <s v="Station-02"/>
    <n v="9.1"/>
    <n v="32.700000000000003"/>
    <n v="43.8"/>
    <n v="1.2"/>
    <n v="0.52"/>
    <n v="44.6"/>
    <n v="24.9"/>
    <n v="52.2"/>
    <n v="2.9"/>
    <n v="105"/>
    <x v="2"/>
    <s v="Good"/>
    <s v="Normal"/>
    <s v="Normal Humidity"/>
    <s v="Moderate Wind"/>
  </r>
  <r>
    <s v="AQ101146"/>
    <d v="2025-03-09T00:00:00"/>
    <x v="3"/>
    <x v="2"/>
    <s v="Station-02"/>
    <n v="40"/>
    <n v="64"/>
    <n v="8.9"/>
    <n v="17.5"/>
    <n v="1.71"/>
    <n v="20.100000000000001"/>
    <n v="28.6"/>
    <n v="56.2"/>
    <n v="1.8"/>
    <n v="177"/>
    <x v="2"/>
    <s v="Moderate"/>
    <s v="Normal"/>
    <s v="Normal Humidity"/>
    <s v="Low Wind"/>
  </r>
  <r>
    <s v="AQ101147"/>
    <d v="2025-11-19T00:00:00"/>
    <x v="13"/>
    <x v="4"/>
    <s v="Station-12"/>
    <n v="68.400000000000006"/>
    <n v="88.9"/>
    <n v="15.7"/>
    <n v="8.3000000000000007"/>
    <n v="0.45"/>
    <n v="94.3"/>
    <n v="27.5"/>
    <n v="79.3"/>
    <n v="3.3"/>
    <n v="239"/>
    <x v="1"/>
    <s v="Moderate"/>
    <s v="Normal"/>
    <s v="High Humidity"/>
    <s v="Moderate Wind"/>
  </r>
  <r>
    <s v="AQ101148"/>
    <d v="2025-09-23T00:00:00"/>
    <x v="12"/>
    <x v="4"/>
    <s v="Station-03"/>
    <n v="58"/>
    <n v="36.1"/>
    <n v="13.7"/>
    <n v="7.6"/>
    <n v="0.85"/>
    <n v="25.1"/>
    <n v="29.2"/>
    <n v="79.2"/>
    <n v="2.5"/>
    <n v="165"/>
    <x v="2"/>
    <s v="Good"/>
    <s v="Normal"/>
    <s v="High Humidity"/>
    <s v="Moderate Wind"/>
  </r>
  <r>
    <s v="AQ101149"/>
    <d v="2025-10-29T00:00:00"/>
    <x v="12"/>
    <x v="4"/>
    <s v="Station-03"/>
    <n v="49.9"/>
    <n v="110.2"/>
    <n v="63.5"/>
    <n v="9"/>
    <n v="0.7"/>
    <n v="13.4"/>
    <n v="31.7"/>
    <n v="87.4"/>
    <n v="1.5"/>
    <n v="232"/>
    <x v="1"/>
    <s v="Unhealthy"/>
    <s v="Hot"/>
    <s v="High Humidity"/>
    <s v="Low Wind"/>
  </r>
  <r>
    <s v="AQ101150"/>
    <d v="2025-12-06T00:00:00"/>
    <x v="10"/>
    <x v="3"/>
    <s v="Station-14"/>
    <n v="31.8"/>
    <n v="95.6"/>
    <n v="41.2"/>
    <n v="37"/>
    <n v="0.31"/>
    <n v="26.1"/>
    <n v="35.6"/>
    <n v="65"/>
    <n v="2.4"/>
    <n v="191"/>
    <x v="2"/>
    <s v="Moderate"/>
    <s v="Hot"/>
    <s v="High Humidity"/>
    <s v="Moderate Wind"/>
  </r>
  <r>
    <s v="AQ101151"/>
    <d v="2025-01-20T00:00:00"/>
    <x v="13"/>
    <x v="4"/>
    <s v="Station-11"/>
    <n v="57.1"/>
    <n v="80.400000000000006"/>
    <n v="20.8"/>
    <n v="24"/>
    <n v="0.5"/>
    <n v="26.3"/>
    <n v="25.5"/>
    <n v="47.2"/>
    <n v="2.9"/>
    <n v="201"/>
    <x v="1"/>
    <s v="Moderate"/>
    <s v="Normal"/>
    <s v="Normal Humidity"/>
    <s v="Moderate Wind"/>
  </r>
  <r>
    <s v="AQ101152"/>
    <d v="2025-07-21T00:00:00"/>
    <x v="14"/>
    <x v="3"/>
    <s v="Station-10"/>
    <n v="16.100000000000001"/>
    <n v="142.6"/>
    <n v="11.4"/>
    <n v="9.4"/>
    <n v="0.77"/>
    <n v="37.6"/>
    <n v="14"/>
    <n v="98"/>
    <n v="2.2000000000000002"/>
    <n v="170"/>
    <x v="2"/>
    <s v="Unhealthy"/>
    <s v="Cool"/>
    <s v="High Humidity"/>
    <s v="Moderate Wind"/>
  </r>
  <r>
    <s v="AQ101153"/>
    <d v="2025-01-12T00:00:00"/>
    <x v="10"/>
    <x v="3"/>
    <s v="Station-14"/>
    <n v="84.6"/>
    <n v="58"/>
    <n v="21.9"/>
    <n v="14.9"/>
    <n v="0.05"/>
    <n v="19.600000000000001"/>
    <n v="23.9"/>
    <n v="64.7"/>
    <n v="1.7"/>
    <n v="211"/>
    <x v="1"/>
    <s v="Moderate"/>
    <s v="Normal"/>
    <s v="High Humidity"/>
    <s v="Low Wind"/>
  </r>
  <r>
    <s v="AQ101154"/>
    <d v="2025-02-24T00:00:00"/>
    <x v="13"/>
    <x v="4"/>
    <s v="Station-07"/>
    <n v="37.700000000000003"/>
    <n v="38.1"/>
    <n v="13.4"/>
    <n v="23.6"/>
    <n v="0.56999999999999995"/>
    <n v="18.2"/>
    <n v="33.1"/>
    <n v="39.5"/>
    <n v="3.3"/>
    <n v="135"/>
    <x v="2"/>
    <s v="Good"/>
    <s v="Hot"/>
    <s v="Normal Humidity"/>
    <s v="Moderate Wind"/>
  </r>
  <r>
    <s v="AQ101155"/>
    <d v="2025-05-02T00:00:00"/>
    <x v="3"/>
    <x v="2"/>
    <s v="Station-09"/>
    <n v="26.3"/>
    <n v="15.4"/>
    <n v="58.8"/>
    <n v="15.3"/>
    <n v="0.51"/>
    <n v="40.5"/>
    <n v="25.2"/>
    <n v="68.8"/>
    <n v="3.3"/>
    <n v="141"/>
    <x v="2"/>
    <s v="Good"/>
    <s v="Normal"/>
    <s v="High Humidity"/>
    <s v="Moderate Wind"/>
  </r>
  <r>
    <s v="AQ101156"/>
    <d v="2025-12-17T00:00:00"/>
    <x v="2"/>
    <x v="1"/>
    <s v="Station-08"/>
    <n v="40.299999999999997"/>
    <n v="40.200000000000003"/>
    <n v="51.2"/>
    <n v="17.100000000000001"/>
    <n v="1.0900000000000001"/>
    <n v="24.9"/>
    <n v="26.4"/>
    <n v="33.299999999999997"/>
    <n v="0.2"/>
    <n v="182"/>
    <x v="2"/>
    <s v="Good"/>
    <s v="Normal"/>
    <s v="Normal Humidity"/>
    <s v="Low Wind"/>
  </r>
  <r>
    <s v="AQ101157"/>
    <d v="2025-08-26T00:00:00"/>
    <x v="11"/>
    <x v="0"/>
    <s v="Station-14"/>
    <n v="49"/>
    <n v="84.1"/>
    <n v="11.3"/>
    <n v="15.7"/>
    <n v="0.28999999999999998"/>
    <n v="52.8"/>
    <n v="29.1"/>
    <n v="98"/>
    <n v="1"/>
    <n v="184"/>
    <x v="2"/>
    <s v="Moderate"/>
    <s v="Normal"/>
    <s v="High Humidity"/>
    <s v="Low Wind"/>
  </r>
  <r>
    <s v="AQ101158"/>
    <d v="2025-08-03T00:00:00"/>
    <x v="1"/>
    <x v="1"/>
    <s v="Station-15"/>
    <n v="40.5"/>
    <n v="41.3"/>
    <n v="28.8"/>
    <n v="17.2"/>
    <n v="1.03"/>
    <n v="46.6"/>
    <n v="34.700000000000003"/>
    <n v="63.4"/>
    <n v="2.8"/>
    <n v="173"/>
    <x v="2"/>
    <s v="Good"/>
    <s v="Hot"/>
    <s v="High Humidity"/>
    <s v="Moderate Wind"/>
  </r>
  <r>
    <s v="AQ101159"/>
    <d v="2025-02-01T00:00:00"/>
    <x v="13"/>
    <x v="4"/>
    <s v="Station-05"/>
    <n v="15.1"/>
    <n v="150.69999999999999"/>
    <n v="58.4"/>
    <n v="10.5"/>
    <n v="1.23"/>
    <n v="40.9"/>
    <n v="26"/>
    <n v="48.9"/>
    <n v="3.2"/>
    <n v="225"/>
    <x v="1"/>
    <s v="VeryUnhealthy"/>
    <s v="Normal"/>
    <s v="Normal Humidity"/>
    <s v="Moderate Wind"/>
  </r>
  <r>
    <s v="AQ101160"/>
    <d v="2025-04-11T00:00:00"/>
    <x v="8"/>
    <x v="2"/>
    <s v="Station-06"/>
    <n v="74.3"/>
    <n v="25.4"/>
    <n v="9.1999999999999993"/>
    <n v="3.3"/>
    <n v="1.53"/>
    <n v="23.6"/>
    <n v="27.3"/>
    <n v="71.3"/>
    <n v="0.3"/>
    <n v="194"/>
    <x v="2"/>
    <s v="Good"/>
    <s v="Normal"/>
    <s v="High Humidity"/>
    <s v="Low Wind"/>
  </r>
  <r>
    <s v="AQ101161"/>
    <d v="2025-01-06T00:00:00"/>
    <x v="10"/>
    <x v="3"/>
    <s v="Station-10"/>
    <n v="79.7"/>
    <n v="37.4"/>
    <n v="18.2"/>
    <n v="30.9"/>
    <n v="0.51"/>
    <n v="42"/>
    <n v="27.4"/>
    <n v="73.2"/>
    <n v="1.1000000000000001"/>
    <n v="220"/>
    <x v="1"/>
    <s v="Good"/>
    <s v="Normal"/>
    <s v="High Humidity"/>
    <s v="Low Wind"/>
  </r>
  <r>
    <s v="AQ101162"/>
    <d v="2025-12-02T00:00:00"/>
    <x v="3"/>
    <x v="2"/>
    <s v="Station-07"/>
    <n v="50.3"/>
    <n v="118.8"/>
    <n v="26.7"/>
    <n v="5.6"/>
    <n v="0.59"/>
    <n v="38.6"/>
    <n v="31"/>
    <n v="50.3"/>
    <n v="2"/>
    <n v="215"/>
    <x v="1"/>
    <s v="Unhealthy"/>
    <s v="Hot"/>
    <s v="Normal Humidity"/>
    <s v="Moderate Wind"/>
  </r>
  <r>
    <s v="AQ101163"/>
    <d v="2025-05-29T00:00:00"/>
    <x v="13"/>
    <x v="4"/>
    <s v="Station-03"/>
    <n v="121.2"/>
    <n v="92.1"/>
    <n v="19.899999999999999"/>
    <n v="10.1"/>
    <n v="0.2"/>
    <n v="24.9"/>
    <n v="34.5"/>
    <n v="56.4"/>
    <n v="1.6"/>
    <n v="293"/>
    <x v="1"/>
    <s v="Moderate"/>
    <s v="Hot"/>
    <s v="Normal Humidity"/>
    <s v="Low Wind"/>
  </r>
  <r>
    <s v="AQ101164"/>
    <d v="2025-10-29T00:00:00"/>
    <x v="2"/>
    <x v="1"/>
    <s v="Station-03"/>
    <n v="57.7"/>
    <n v="54.1"/>
    <n v="6.6"/>
    <n v="8.3000000000000007"/>
    <n v="0.7"/>
    <n v="31.3"/>
    <n v="39.1"/>
    <n v="65.5"/>
    <n v="2.4"/>
    <n v="170"/>
    <x v="2"/>
    <s v="Moderate"/>
    <s v="Hot"/>
    <s v="High Humidity"/>
    <s v="Moderate Wind"/>
  </r>
  <r>
    <s v="AQ101165"/>
    <d v="2025-01-19T00:00:00"/>
    <x v="0"/>
    <x v="0"/>
    <s v="Station-02"/>
    <n v="31.6"/>
    <n v="74.900000000000006"/>
    <n v="27.4"/>
    <n v="23.1"/>
    <n v="0.18"/>
    <n v="24.6"/>
    <n v="29.1"/>
    <n v="83"/>
    <n v="2.7"/>
    <n v="153"/>
    <x v="2"/>
    <s v="Moderate"/>
    <s v="Normal"/>
    <s v="High Humidity"/>
    <s v="Moderate Wind"/>
  </r>
  <r>
    <s v="AQ101166"/>
    <d v="2025-12-09T00:00:00"/>
    <x v="1"/>
    <x v="1"/>
    <s v="Station-03"/>
    <n v="50.5"/>
    <n v="93.4"/>
    <n v="46.3"/>
    <n v="8.9"/>
    <n v="0.38"/>
    <n v="31.3"/>
    <n v="22.6"/>
    <n v="64.8"/>
    <n v="1.2"/>
    <n v="208"/>
    <x v="1"/>
    <s v="Moderate"/>
    <s v="Normal"/>
    <s v="High Humidity"/>
    <s v="Low Wind"/>
  </r>
  <r>
    <s v="AQ101167"/>
    <d v="2025-07-16T00:00:00"/>
    <x v="6"/>
    <x v="1"/>
    <s v="Station-12"/>
    <n v="65.2"/>
    <n v="104.8"/>
    <n v="45.8"/>
    <n v="18.100000000000001"/>
    <n v="0.37"/>
    <n v="30.7"/>
    <n v="29.8"/>
    <n v="54"/>
    <n v="0.9"/>
    <n v="245"/>
    <x v="1"/>
    <s v="Unhealthy"/>
    <s v="Normal"/>
    <s v="Normal Humidity"/>
    <s v="Low Wind"/>
  </r>
  <r>
    <s v="AQ101168"/>
    <d v="2025-08-25T00:00:00"/>
    <x v="12"/>
    <x v="4"/>
    <s v="Station-01"/>
    <n v="35.799999999999997"/>
    <n v="37.5"/>
    <n v="61.1"/>
    <n v="6.6"/>
    <n v="0.63"/>
    <n v="13.4"/>
    <n v="12.3"/>
    <n v="61.3"/>
    <n v="1.9"/>
    <n v="157"/>
    <x v="2"/>
    <s v="Good"/>
    <s v="Cool"/>
    <s v="High Humidity"/>
    <s v="Low Wind"/>
  </r>
  <r>
    <s v="AQ101169"/>
    <d v="2025-09-22T00:00:00"/>
    <x v="14"/>
    <x v="3"/>
    <s v="Station-11"/>
    <n v="38.299999999999997"/>
    <n v="104.6"/>
    <n v="39.9"/>
    <n v="13.8"/>
    <n v="1.06"/>
    <n v="22.3"/>
    <n v="12.2"/>
    <n v="76.8"/>
    <n v="0.7"/>
    <n v="207"/>
    <x v="1"/>
    <s v="Unhealthy"/>
    <s v="Cool"/>
    <s v="High Humidity"/>
    <s v="Low Wind"/>
  </r>
  <r>
    <s v="AQ101170"/>
    <d v="2025-03-21T00:00:00"/>
    <x v="15"/>
    <x v="3"/>
    <s v="Station-09"/>
    <n v="59.2"/>
    <n v="41.7"/>
    <n v="28.1"/>
    <n v="39.6"/>
    <n v="0.67"/>
    <n v="26"/>
    <n v="21.3"/>
    <n v="77.400000000000006"/>
    <n v="3"/>
    <n v="200"/>
    <x v="2"/>
    <s v="Good"/>
    <s v="Normal"/>
    <s v="High Humidity"/>
    <s v="Moderate Wind"/>
  </r>
  <r>
    <s v="AQ101171"/>
    <d v="2025-06-24T00:00:00"/>
    <x v="2"/>
    <x v="1"/>
    <s v="Station-14"/>
    <n v="28.7"/>
    <n v="98.9"/>
    <n v="24.6"/>
    <n v="19.5"/>
    <n v="1.21"/>
    <n v="32.799999999999997"/>
    <n v="27.2"/>
    <n v="67.400000000000006"/>
    <n v="2.6"/>
    <n v="189"/>
    <x v="2"/>
    <s v="Moderate"/>
    <s v="Normal"/>
    <s v="High Humidity"/>
    <s v="Moderate Wind"/>
  </r>
  <r>
    <s v="AQ101172"/>
    <d v="2025-08-07T00:00:00"/>
    <x v="12"/>
    <x v="4"/>
    <s v="Station-09"/>
    <n v="127.8"/>
    <n v="57.1"/>
    <n v="39.5"/>
    <n v="9.5"/>
    <n v="0.16"/>
    <n v="25.2"/>
    <n v="22.4"/>
    <n v="90.2"/>
    <n v="2.4"/>
    <n v="295"/>
    <x v="1"/>
    <s v="Moderate"/>
    <s v="Normal"/>
    <s v="High Humidity"/>
    <s v="Moderate Wind"/>
  </r>
  <r>
    <s v="AQ101173"/>
    <d v="2025-10-17T00:00:00"/>
    <x v="9"/>
    <x v="0"/>
    <s v="Station-14"/>
    <n v="17.600000000000001"/>
    <n v="184.2"/>
    <n v="16.3"/>
    <n v="7.3"/>
    <n v="0.13"/>
    <n v="40.299999999999997"/>
    <n v="34.6"/>
    <n v="59.7"/>
    <n v="2.2999999999999998"/>
    <n v="187"/>
    <x v="2"/>
    <s v="VeryUnhealthy"/>
    <s v="Hot"/>
    <s v="Normal Humidity"/>
    <s v="Moderate Wind"/>
  </r>
  <r>
    <s v="AQ101174"/>
    <d v="2025-07-05T00:00:00"/>
    <x v="1"/>
    <x v="1"/>
    <s v="Station-08"/>
    <n v="22.2"/>
    <n v="43.3"/>
    <n v="6.7"/>
    <n v="6"/>
    <n v="0.74"/>
    <n v="29.3"/>
    <n v="36.799999999999997"/>
    <n v="59.6"/>
    <n v="2.5"/>
    <n v="105"/>
    <x v="2"/>
    <s v="Good"/>
    <s v="Hot"/>
    <s v="Normal Humidity"/>
    <s v="Moderate Wind"/>
  </r>
  <r>
    <s v="AQ101175"/>
    <d v="2025-08-02T00:00:00"/>
    <x v="12"/>
    <x v="4"/>
    <s v="Station-14"/>
    <n v="45.9"/>
    <n v="110.8"/>
    <n v="7.5"/>
    <n v="16.2"/>
    <n v="0.36"/>
    <n v="19"/>
    <n v="31.7"/>
    <n v="69.2"/>
    <n v="2.2999999999999998"/>
    <n v="180"/>
    <x v="2"/>
    <s v="Unhealthy"/>
    <s v="Hot"/>
    <s v="High Humidity"/>
    <s v="Moderate Wind"/>
  </r>
  <r>
    <s v="AQ101176"/>
    <d v="2025-07-05T00:00:00"/>
    <x v="0"/>
    <x v="0"/>
    <s v="Station-12"/>
    <n v="78.3"/>
    <n v="71.2"/>
    <n v="29.4"/>
    <n v="0.4"/>
    <n v="0.96"/>
    <n v="20.399999999999999"/>
    <n v="25.8"/>
    <n v="56.4"/>
    <n v="0.8"/>
    <n v="229"/>
    <x v="1"/>
    <s v="Moderate"/>
    <s v="Normal"/>
    <s v="Normal Humidity"/>
    <s v="Low Wind"/>
  </r>
  <r>
    <s v="AQ101177"/>
    <d v="2025-04-27T00:00:00"/>
    <x v="14"/>
    <x v="3"/>
    <s v="Station-10"/>
    <n v="74"/>
    <n v="72.8"/>
    <n v="35.700000000000003"/>
    <n v="1.6"/>
    <n v="1.65"/>
    <n v="84.5"/>
    <n v="24.2"/>
    <n v="86"/>
    <n v="1.6"/>
    <n v="275"/>
    <x v="1"/>
    <s v="Moderate"/>
    <s v="Normal"/>
    <s v="High Humidity"/>
    <s v="Low Wind"/>
  </r>
  <r>
    <s v="AQ101178"/>
    <d v="2025-01-06T00:00:00"/>
    <x v="10"/>
    <x v="3"/>
    <s v="Station-03"/>
    <n v="63.3"/>
    <n v="121.9"/>
    <n v="18.8"/>
    <n v="6.3"/>
    <n v="0.83"/>
    <n v="37.9"/>
    <n v="28.1"/>
    <n v="49.5"/>
    <n v="3.2"/>
    <n v="238"/>
    <x v="1"/>
    <s v="Unhealthy"/>
    <s v="Normal"/>
    <s v="Normal Humidity"/>
    <s v="Moderate Wind"/>
  </r>
  <r>
    <s v="AQ101179"/>
    <d v="2025-10-21T00:00:00"/>
    <x v="5"/>
    <x v="4"/>
    <s v="Station-09"/>
    <n v="127.7"/>
    <n v="41.4"/>
    <n v="25.8"/>
    <n v="16.3"/>
    <n v="3.16"/>
    <n v="24.3"/>
    <n v="37.299999999999997"/>
    <n v="71.599999999999994"/>
    <n v="3.8"/>
    <n v="353"/>
    <x v="0"/>
    <s v="Good"/>
    <s v="Hot"/>
    <s v="High Humidity"/>
    <s v="Moderate Wind"/>
  </r>
  <r>
    <s v="AQ101180"/>
    <d v="2025-04-04T00:00:00"/>
    <x v="4"/>
    <x v="3"/>
    <s v="Station-09"/>
    <n v="56.9"/>
    <n v="193.5"/>
    <n v="15.5"/>
    <n v="9.4"/>
    <n v="0.56999999999999995"/>
    <n v="56.3"/>
    <n v="19"/>
    <n v="50"/>
    <n v="2.2000000000000002"/>
    <n v="275"/>
    <x v="1"/>
    <s v="VeryUnhealthy"/>
    <s v="Cool"/>
    <s v="Normal Humidity"/>
    <s v="Moderate Wind"/>
  </r>
  <r>
    <s v="AQ101181"/>
    <d v="2025-05-23T00:00:00"/>
    <x v="6"/>
    <x v="1"/>
    <s v="Station-04"/>
    <n v="78.8"/>
    <n v="188.8"/>
    <n v="8"/>
    <n v="5.8"/>
    <n v="1.44"/>
    <n v="17.3"/>
    <n v="24.3"/>
    <n v="74.3"/>
    <n v="2.9"/>
    <n v="303"/>
    <x v="0"/>
    <s v="VeryUnhealthy"/>
    <s v="Normal"/>
    <s v="High Humidity"/>
    <s v="Moderate Wind"/>
  </r>
  <r>
    <s v="AQ101182"/>
    <d v="2025-04-09T00:00:00"/>
    <x v="5"/>
    <x v="4"/>
    <s v="Station-15"/>
    <n v="47.9"/>
    <n v="131.5"/>
    <n v="32.4"/>
    <n v="9.3000000000000007"/>
    <n v="1.02"/>
    <n v="48.4"/>
    <n v="29"/>
    <n v="65.900000000000006"/>
    <n v="3.7"/>
    <n v="242"/>
    <x v="1"/>
    <s v="Unhealthy"/>
    <s v="Normal"/>
    <s v="High Humidity"/>
    <s v="Moderate Wind"/>
  </r>
  <r>
    <s v="AQ101183"/>
    <d v="2025-09-11T00:00:00"/>
    <x v="9"/>
    <x v="0"/>
    <s v="Station-03"/>
    <n v="60.6"/>
    <n v="54.9"/>
    <n v="42.5"/>
    <n v="16"/>
    <n v="0.08"/>
    <n v="25.5"/>
    <n v="29.2"/>
    <n v="74.7"/>
    <n v="2.5"/>
    <n v="191"/>
    <x v="2"/>
    <s v="Moderate"/>
    <s v="Normal"/>
    <s v="High Humidity"/>
    <s v="Moderate Wind"/>
  </r>
  <r>
    <s v="AQ101184"/>
    <d v="2025-02-02T00:00:00"/>
    <x v="12"/>
    <x v="4"/>
    <s v="Station-10"/>
    <n v="51.9"/>
    <n v="144.9"/>
    <n v="88.8"/>
    <n v="6.5"/>
    <n v="0.36"/>
    <n v="39.700000000000003"/>
    <n v="22.4"/>
    <n v="55.5"/>
    <n v="3.3"/>
    <n v="280"/>
    <x v="1"/>
    <s v="Unhealthy"/>
    <s v="Normal"/>
    <s v="Normal Humidity"/>
    <s v="Moderate Wind"/>
  </r>
  <r>
    <s v="AQ101185"/>
    <d v="2025-06-17T00:00:00"/>
    <x v="4"/>
    <x v="3"/>
    <s v="Station-07"/>
    <n v="57.4"/>
    <n v="82"/>
    <n v="28.1"/>
    <n v="8"/>
    <n v="1.99"/>
    <n v="9.5"/>
    <n v="26.5"/>
    <n v="98"/>
    <n v="2"/>
    <n v="227"/>
    <x v="1"/>
    <s v="Moderate"/>
    <s v="Normal"/>
    <s v="High Humidity"/>
    <s v="Moderate Wind"/>
  </r>
  <r>
    <s v="AQ101186"/>
    <d v="2025-05-19T00:00:00"/>
    <x v="11"/>
    <x v="0"/>
    <s v="Station-12"/>
    <n v="74.2"/>
    <n v="36.1"/>
    <n v="20.3"/>
    <n v="4.4000000000000004"/>
    <n v="1.07"/>
    <n v="53.7"/>
    <n v="28.2"/>
    <n v="58.5"/>
    <n v="2.4"/>
    <n v="212"/>
    <x v="1"/>
    <s v="Good"/>
    <s v="Normal"/>
    <s v="Normal Humidity"/>
    <s v="Moderate Wind"/>
  </r>
  <r>
    <s v="AQ101187"/>
    <d v="2025-08-08T00:00:00"/>
    <x v="6"/>
    <x v="1"/>
    <s v="Station-10"/>
    <n v="41.3"/>
    <n v="133.4"/>
    <n v="33.799999999999997"/>
    <n v="15.2"/>
    <n v="0.63"/>
    <n v="34.200000000000003"/>
    <n v="23.5"/>
    <n v="41.4"/>
    <n v="0.3"/>
    <n v="222"/>
    <x v="1"/>
    <s v="Unhealthy"/>
    <s v="Normal"/>
    <s v="Normal Humidity"/>
    <s v="Low Wind"/>
  </r>
  <r>
    <s v="AQ101188"/>
    <d v="2025-06-13T00:00:00"/>
    <x v="14"/>
    <x v="3"/>
    <s v="Station-08"/>
    <n v="53.5"/>
    <n v="198.6"/>
    <n v="48.7"/>
    <n v="7.4"/>
    <n v="0.4"/>
    <n v="99.2"/>
    <n v="32.1"/>
    <n v="61.7"/>
    <n v="2.9"/>
    <n v="313"/>
    <x v="0"/>
    <s v="VeryUnhealthy"/>
    <s v="Hot"/>
    <s v="High Humidity"/>
    <s v="Moderate Wind"/>
  </r>
  <r>
    <s v="AQ101189"/>
    <d v="2025-03-20T00:00:00"/>
    <x v="11"/>
    <x v="0"/>
    <s v="Station-07"/>
    <n v="57.2"/>
    <n v="84.6"/>
    <n v="33.700000000000003"/>
    <n v="21.2"/>
    <n v="0.28000000000000003"/>
    <n v="35.299999999999997"/>
    <n v="26.8"/>
    <n v="77.599999999999994"/>
    <n v="1.3"/>
    <n v="211"/>
    <x v="1"/>
    <s v="Moderate"/>
    <s v="Normal"/>
    <s v="High Humidity"/>
    <s v="Low Wind"/>
  </r>
  <r>
    <s v="AQ101190"/>
    <d v="2025-09-08T00:00:00"/>
    <x v="1"/>
    <x v="1"/>
    <s v="Station-02"/>
    <n v="53.9"/>
    <n v="95.8"/>
    <n v="35.200000000000003"/>
    <n v="23.2"/>
    <n v="1.5"/>
    <n v="18.399999999999999"/>
    <n v="35"/>
    <n v="67.400000000000006"/>
    <n v="3"/>
    <n v="239"/>
    <x v="1"/>
    <s v="Moderate"/>
    <s v="Hot"/>
    <s v="High Humidity"/>
    <s v="Moderate Wind"/>
  </r>
  <r>
    <s v="AQ101191"/>
    <d v="2025-10-16T00:00:00"/>
    <x v="0"/>
    <x v="0"/>
    <s v="Station-15"/>
    <n v="35.4"/>
    <n v="59"/>
    <n v="11.3"/>
    <n v="4.5999999999999996"/>
    <n v="0.47"/>
    <n v="46.2"/>
    <n v="27.6"/>
    <n v="39.1"/>
    <n v="2.4"/>
    <n v="140"/>
    <x v="2"/>
    <s v="Moderate"/>
    <s v="Normal"/>
    <s v="Normal Humidity"/>
    <s v="Moderate Wind"/>
  </r>
  <r>
    <s v="AQ101192"/>
    <d v="2025-07-09T00:00:00"/>
    <x v="1"/>
    <x v="1"/>
    <s v="Station-15"/>
    <n v="41.3"/>
    <n v="131.80000000000001"/>
    <n v="18.5"/>
    <n v="12.5"/>
    <n v="0.59"/>
    <n v="50.4"/>
    <n v="33.9"/>
    <n v="73.099999999999994"/>
    <n v="2.5"/>
    <n v="213"/>
    <x v="1"/>
    <s v="Unhealthy"/>
    <s v="Hot"/>
    <s v="High Humidity"/>
    <s v="Moderate Wind"/>
  </r>
  <r>
    <s v="AQ101193"/>
    <d v="2025-09-17T00:00:00"/>
    <x v="14"/>
    <x v="3"/>
    <s v="Station-13"/>
    <n v="118.5"/>
    <n v="81"/>
    <n v="8.6"/>
    <n v="15.5"/>
    <n v="0.79"/>
    <n v="35.700000000000003"/>
    <n v="24.9"/>
    <n v="56.6"/>
    <n v="3.7"/>
    <n v="296"/>
    <x v="1"/>
    <s v="Moderate"/>
    <s v="Normal"/>
    <s v="Normal Humidity"/>
    <s v="Moderate Wind"/>
  </r>
  <r>
    <s v="AQ101194"/>
    <d v="2025-06-15T00:00:00"/>
    <x v="7"/>
    <x v="2"/>
    <s v="Station-06"/>
    <n v="54.3"/>
    <n v="108.8"/>
    <n v="9.3000000000000007"/>
    <n v="2.8"/>
    <n v="2.15"/>
    <n v="12.2"/>
    <n v="30.5"/>
    <n v="68.099999999999994"/>
    <n v="0.1"/>
    <n v="226"/>
    <x v="1"/>
    <s v="Unhealthy"/>
    <s v="Hot"/>
    <s v="High Humidity"/>
    <s v="Low Wind"/>
  </r>
  <r>
    <s v="AQ101195"/>
    <d v="2025-07-20T00:00:00"/>
    <x v="3"/>
    <x v="2"/>
    <s v="Station-10"/>
    <n v="34.200000000000003"/>
    <n v="34.700000000000003"/>
    <n v="35.4"/>
    <n v="10.1"/>
    <n v="0.28999999999999998"/>
    <n v="21.5"/>
    <n v="14.6"/>
    <n v="67.599999999999994"/>
    <n v="2.7"/>
    <n v="130"/>
    <x v="2"/>
    <s v="Good"/>
    <s v="Cool"/>
    <s v="High Humidity"/>
    <s v="Moderate Wind"/>
  </r>
  <r>
    <s v="AQ101196"/>
    <d v="2025-02-23T00:00:00"/>
    <x v="15"/>
    <x v="3"/>
    <s v="Station-03"/>
    <n v="28.1"/>
    <n v="62.7"/>
    <n v="6.2"/>
    <n v="26.5"/>
    <n v="0.93"/>
    <n v="26.8"/>
    <n v="24.9"/>
    <n v="86.3"/>
    <n v="2.4"/>
    <n v="145"/>
    <x v="2"/>
    <s v="Moderate"/>
    <s v="Normal"/>
    <s v="High Humidity"/>
    <s v="Moderate Wind"/>
  </r>
  <r>
    <s v="AQ101197"/>
    <d v="2025-08-04T00:00:00"/>
    <x v="10"/>
    <x v="3"/>
    <s v="Station-07"/>
    <n v="70.400000000000006"/>
    <n v="80.900000000000006"/>
    <n v="19.600000000000001"/>
    <n v="5"/>
    <n v="0.52"/>
    <n v="51.6"/>
    <n v="21.7"/>
    <n v="71.400000000000006"/>
    <n v="3.2"/>
    <n v="221"/>
    <x v="1"/>
    <s v="Moderate"/>
    <s v="Normal"/>
    <s v="High Humidity"/>
    <s v="Moderate Wind"/>
  </r>
  <r>
    <s v="AQ101198"/>
    <d v="2025-03-28T00:00:00"/>
    <x v="9"/>
    <x v="0"/>
    <s v="Station-09"/>
    <n v="39.1"/>
    <n v="41.1"/>
    <n v="47.5"/>
    <n v="14.3"/>
    <n v="0.42"/>
    <n v="25"/>
    <n v="34.200000000000003"/>
    <n v="46.6"/>
    <n v="1.8"/>
    <n v="159"/>
    <x v="2"/>
    <s v="Good"/>
    <s v="Hot"/>
    <s v="Normal Humidity"/>
    <s v="Low Wind"/>
  </r>
  <r>
    <s v="AQ101199"/>
    <d v="2025-11-14T00:00:00"/>
    <x v="5"/>
    <x v="4"/>
    <s v="Station-01"/>
    <n v="38.700000000000003"/>
    <n v="31.7"/>
    <n v="33.6"/>
    <n v="6"/>
    <n v="0.6"/>
    <n v="16.3"/>
    <n v="30.6"/>
    <n v="82.6"/>
    <n v="2"/>
    <n v="136"/>
    <x v="2"/>
    <s v="Good"/>
    <s v="Hot"/>
    <s v="High Humidity"/>
    <s v="Moderate Wind"/>
  </r>
  <r>
    <s v="AQ101200"/>
    <d v="2025-04-27T00:00:00"/>
    <x v="6"/>
    <x v="1"/>
    <s v="Station-02"/>
    <n v="33.799999999999997"/>
    <n v="50.7"/>
    <n v="56.3"/>
    <n v="15.2"/>
    <n v="0.32"/>
    <n v="39.299999999999997"/>
    <n v="29.4"/>
    <n v="75.5"/>
    <n v="1.9"/>
    <n v="168"/>
    <x v="2"/>
    <s v="Moderate"/>
    <s v="Normal"/>
    <s v="High Humidity"/>
    <s v="Low Wind"/>
  </r>
  <r>
    <s v="AQ101201"/>
    <d v="2025-03-07T00:00:00"/>
    <x v="7"/>
    <x v="2"/>
    <s v="Station-14"/>
    <n v="26"/>
    <n v="75.599999999999994"/>
    <n v="17.2"/>
    <n v="8.1"/>
    <n v="0.36"/>
    <n v="38.1"/>
    <n v="18.899999999999999"/>
    <n v="58.9"/>
    <n v="3.1"/>
    <n v="136"/>
    <x v="2"/>
    <s v="Moderate"/>
    <s v="Cool"/>
    <s v="Normal Humidity"/>
    <s v="Moderate Wind"/>
  </r>
  <r>
    <s v="AQ101202"/>
    <d v="2025-02-24T00:00:00"/>
    <x v="13"/>
    <x v="4"/>
    <s v="Station-06"/>
    <n v="62.7"/>
    <n v="47.8"/>
    <n v="22.8"/>
    <n v="12.1"/>
    <n v="1.46"/>
    <n v="58.5"/>
    <n v="29.3"/>
    <n v="71"/>
    <n v="3"/>
    <n v="221"/>
    <x v="1"/>
    <s v="Good"/>
    <s v="Normal"/>
    <s v="High Humidity"/>
    <s v="Moderate Wind"/>
  </r>
  <r>
    <s v="AQ101203"/>
    <d v="2025-01-06T00:00:00"/>
    <x v="1"/>
    <x v="1"/>
    <s v="Station-12"/>
    <n v="35.799999999999997"/>
    <n v="56.8"/>
    <n v="21.7"/>
    <n v="49.3"/>
    <n v="0.42"/>
    <n v="50.2"/>
    <n v="27.6"/>
    <n v="72.5"/>
    <n v="2.1"/>
    <n v="179"/>
    <x v="2"/>
    <s v="Moderate"/>
    <s v="Normal"/>
    <s v="High Humidity"/>
    <s v="Moderate Wind"/>
  </r>
  <r>
    <s v="AQ101204"/>
    <d v="2025-04-04T00:00:00"/>
    <x v="7"/>
    <x v="2"/>
    <s v="Station-09"/>
    <n v="84.8"/>
    <n v="67.900000000000006"/>
    <n v="54.5"/>
    <n v="15.8"/>
    <n v="0.16"/>
    <n v="89.3"/>
    <n v="20.6"/>
    <n v="66.7"/>
    <n v="2.2999999999999998"/>
    <n v="279"/>
    <x v="1"/>
    <s v="Moderate"/>
    <s v="Normal"/>
    <s v="High Humidity"/>
    <s v="Moderate Wind"/>
  </r>
  <r>
    <s v="AQ101205"/>
    <d v="2025-03-30T00:00:00"/>
    <x v="13"/>
    <x v="4"/>
    <s v="Station-06"/>
    <n v="34.1"/>
    <n v="92.2"/>
    <n v="28.6"/>
    <n v="15.8"/>
    <n v="0.47"/>
    <n v="8.1"/>
    <n v="29.4"/>
    <n v="51.6"/>
    <n v="3.4"/>
    <n v="164"/>
    <x v="2"/>
    <s v="Moderate"/>
    <s v="Normal"/>
    <s v="Normal Humidity"/>
    <s v="Moderate Wind"/>
  </r>
  <r>
    <s v="AQ101206"/>
    <d v="2025-05-28T00:00:00"/>
    <x v="13"/>
    <x v="4"/>
    <s v="Station-01"/>
    <n v="62.2"/>
    <n v="63.7"/>
    <n v="5.3"/>
    <n v="6.3"/>
    <n v="0.53"/>
    <n v="12.9"/>
    <n v="34.200000000000003"/>
    <n v="72.400000000000006"/>
    <n v="4.0999999999999996"/>
    <n v="169"/>
    <x v="2"/>
    <s v="Moderate"/>
    <s v="Hot"/>
    <s v="High Humidity"/>
    <s v="Moderate Wind"/>
  </r>
  <r>
    <s v="AQ101207"/>
    <d v="2025-01-08T00:00:00"/>
    <x v="0"/>
    <x v="0"/>
    <s v="Station-03"/>
    <n v="104.8"/>
    <n v="49.2"/>
    <n v="10"/>
    <n v="3.5"/>
    <n v="0.64"/>
    <n v="12.7"/>
    <n v="25.7"/>
    <n v="55.9"/>
    <n v="1.8"/>
    <n v="232"/>
    <x v="1"/>
    <s v="Good"/>
    <s v="Normal"/>
    <s v="Normal Humidity"/>
    <s v="Low Wind"/>
  </r>
  <r>
    <s v="AQ101208"/>
    <d v="2025-03-26T00:00:00"/>
    <x v="15"/>
    <x v="3"/>
    <s v="Station-14"/>
    <n v="29"/>
    <n v="52.4"/>
    <n v="6.5"/>
    <n v="19.8"/>
    <n v="1.24"/>
    <n v="25"/>
    <n v="33"/>
    <n v="82.9"/>
    <n v="1.6"/>
    <n v="142"/>
    <x v="2"/>
    <s v="Moderate"/>
    <s v="Hot"/>
    <s v="High Humidity"/>
    <s v="Low Wind"/>
  </r>
  <r>
    <s v="AQ101209"/>
    <d v="2025-11-16T00:00:00"/>
    <x v="2"/>
    <x v="1"/>
    <s v="Station-12"/>
    <n v="20.2"/>
    <n v="177.4"/>
    <n v="38.5"/>
    <n v="9.6999999999999993"/>
    <n v="0.42"/>
    <n v="28.8"/>
    <n v="29.4"/>
    <n v="63.4"/>
    <n v="1.4"/>
    <n v="209"/>
    <x v="1"/>
    <s v="VeryUnhealthy"/>
    <s v="Normal"/>
    <s v="High Humidity"/>
    <s v="Low Wind"/>
  </r>
  <r>
    <s v="AQ101210"/>
    <d v="2025-04-04T00:00:00"/>
    <x v="7"/>
    <x v="2"/>
    <s v="Station-04"/>
    <n v="20.399999999999999"/>
    <n v="96.1"/>
    <n v="16.600000000000001"/>
    <n v="6.2"/>
    <n v="0.45"/>
    <n v="12.2"/>
    <n v="28.3"/>
    <n v="97.8"/>
    <n v="3"/>
    <n v="129"/>
    <x v="2"/>
    <s v="Moderate"/>
    <s v="Normal"/>
    <s v="High Humidity"/>
    <s v="Moderate Wind"/>
  </r>
  <r>
    <s v="AQ101211"/>
    <d v="2025-11-26T00:00:00"/>
    <x v="14"/>
    <x v="3"/>
    <s v="Station-08"/>
    <n v="28.4"/>
    <n v="173.7"/>
    <n v="6.8"/>
    <n v="15.9"/>
    <n v="0.45"/>
    <n v="13.1"/>
    <n v="24"/>
    <n v="65.599999999999994"/>
    <n v="0.1"/>
    <n v="192"/>
    <x v="2"/>
    <s v="VeryUnhealthy"/>
    <s v="Normal"/>
    <s v="High Humidity"/>
    <s v="Low Wind"/>
  </r>
  <r>
    <s v="AQ101212"/>
    <d v="2025-10-14T00:00:00"/>
    <x v="13"/>
    <x v="4"/>
    <s v="Station-09"/>
    <n v="56.5"/>
    <n v="84"/>
    <n v="46.1"/>
    <n v="4.5999999999999996"/>
    <n v="0.2"/>
    <n v="71"/>
    <n v="32.799999999999997"/>
    <n v="79.599999999999994"/>
    <n v="0.9"/>
    <n v="222"/>
    <x v="1"/>
    <s v="Moderate"/>
    <s v="Hot"/>
    <s v="High Humidity"/>
    <s v="Low Wind"/>
  </r>
  <r>
    <s v="AQ101213"/>
    <d v="2025-01-30T00:00:00"/>
    <x v="15"/>
    <x v="3"/>
    <s v="Station-11"/>
    <n v="58.1"/>
    <n v="44.2"/>
    <n v="55.6"/>
    <n v="17"/>
    <n v="1.1299999999999999"/>
    <n v="25.8"/>
    <n v="19.5"/>
    <n v="54.9"/>
    <n v="2.1"/>
    <n v="218"/>
    <x v="1"/>
    <s v="Good"/>
    <s v="Cool"/>
    <s v="Normal Humidity"/>
    <s v="Moderate Wind"/>
  </r>
  <r>
    <s v="AQ101214"/>
    <d v="2025-05-13T00:00:00"/>
    <x v="9"/>
    <x v="0"/>
    <s v="Station-11"/>
    <n v="24.8"/>
    <n v="70"/>
    <n v="44.4"/>
    <n v="2.2000000000000002"/>
    <n v="1.41"/>
    <n v="31"/>
    <n v="31.9"/>
    <n v="62.4"/>
    <n v="2.6"/>
    <n v="171"/>
    <x v="2"/>
    <s v="Moderate"/>
    <s v="Hot"/>
    <s v="High Humidity"/>
    <s v="Moderate Wind"/>
  </r>
  <r>
    <s v="AQ101215"/>
    <d v="2025-01-12T00:00:00"/>
    <x v="2"/>
    <x v="1"/>
    <s v="Station-10"/>
    <n v="47"/>
    <n v="55.4"/>
    <n v="31.1"/>
    <n v="7.9"/>
    <n v="0.27"/>
    <n v="48.9"/>
    <n v="24.9"/>
    <n v="85.2"/>
    <n v="2.7"/>
    <n v="170"/>
    <x v="2"/>
    <s v="Moderate"/>
    <s v="Normal"/>
    <s v="High Humidity"/>
    <s v="Moderate Wind"/>
  </r>
  <r>
    <s v="AQ101216"/>
    <d v="2025-05-20T00:00:00"/>
    <x v="14"/>
    <x v="3"/>
    <s v="Station-07"/>
    <n v="32.5"/>
    <n v="90.9"/>
    <n v="48.4"/>
    <n v="18.399999999999999"/>
    <n v="0.46"/>
    <n v="25.2"/>
    <n v="24.5"/>
    <n v="51.7"/>
    <n v="3.7"/>
    <n v="186"/>
    <x v="2"/>
    <s v="Moderate"/>
    <s v="Normal"/>
    <s v="Normal Humidity"/>
    <s v="Moderate Wind"/>
  </r>
  <r>
    <s v="AQ101217"/>
    <d v="2025-05-28T00:00:00"/>
    <x v="15"/>
    <x v="3"/>
    <s v="Station-10"/>
    <n v="35.799999999999997"/>
    <n v="56.7"/>
    <n v="29.2"/>
    <n v="14.2"/>
    <n v="0.8"/>
    <n v="82.6"/>
    <n v="26.8"/>
    <n v="55.6"/>
    <n v="3.4"/>
    <n v="185"/>
    <x v="2"/>
    <s v="Moderate"/>
    <s v="Normal"/>
    <s v="Normal Humidity"/>
    <s v="Moderate Wind"/>
  </r>
  <r>
    <s v="AQ101218"/>
    <d v="2025-10-13T00:00:00"/>
    <x v="12"/>
    <x v="4"/>
    <s v="Station-14"/>
    <n v="25.1"/>
    <n v="86.6"/>
    <n v="9.6999999999999993"/>
    <n v="5.4"/>
    <n v="0.68"/>
    <n v="37.799999999999997"/>
    <n v="22.3"/>
    <n v="61.4"/>
    <n v="2"/>
    <n v="142"/>
    <x v="2"/>
    <s v="Moderate"/>
    <s v="Normal"/>
    <s v="High Humidity"/>
    <s v="Moderate Wind"/>
  </r>
  <r>
    <s v="AQ101219"/>
    <d v="2025-05-09T00:00:00"/>
    <x v="14"/>
    <x v="3"/>
    <s v="Station-02"/>
    <n v="23.8"/>
    <n v="87.5"/>
    <n v="3.1"/>
    <n v="1.6"/>
    <n v="0.65"/>
    <n v="89.2"/>
    <n v="36.9"/>
    <n v="61.7"/>
    <n v="3.6"/>
    <n v="155"/>
    <x v="2"/>
    <s v="Moderate"/>
    <s v="Hot"/>
    <s v="High Humidity"/>
    <s v="Moderate Wind"/>
  </r>
  <r>
    <s v="AQ101220"/>
    <d v="2025-10-08T00:00:00"/>
    <x v="3"/>
    <x v="2"/>
    <s v="Station-12"/>
    <n v="98.3"/>
    <n v="222.6"/>
    <n v="42.4"/>
    <n v="9.5"/>
    <n v="0.6"/>
    <n v="21.7"/>
    <n v="23.2"/>
    <n v="83.6"/>
    <n v="1.2"/>
    <n v="367"/>
    <x v="0"/>
    <s v="VeryUnhealthy"/>
    <s v="Normal"/>
    <s v="High Humidity"/>
    <s v="Low Wind"/>
  </r>
  <r>
    <s v="AQ101221"/>
    <d v="2025-07-08T00:00:00"/>
    <x v="1"/>
    <x v="1"/>
    <s v="Station-07"/>
    <n v="114"/>
    <n v="86.9"/>
    <n v="29.4"/>
    <n v="13.7"/>
    <n v="1"/>
    <n v="8.1"/>
    <n v="40.5"/>
    <n v="70.8"/>
    <n v="0.2"/>
    <n v="301"/>
    <x v="0"/>
    <s v="Moderate"/>
    <s v="Hot"/>
    <s v="High Humidity"/>
    <s v="Low Wind"/>
  </r>
  <r>
    <s v="AQ101222"/>
    <d v="2025-09-19T00:00:00"/>
    <x v="9"/>
    <x v="0"/>
    <s v="Station-10"/>
    <n v="71.7"/>
    <n v="147.4"/>
    <n v="24"/>
    <n v="11.1"/>
    <n v="0.37"/>
    <n v="44.8"/>
    <n v="27.4"/>
    <n v="54.8"/>
    <n v="1.3"/>
    <n v="267"/>
    <x v="1"/>
    <s v="Unhealthy"/>
    <s v="Normal"/>
    <s v="Normal Humidity"/>
    <s v="Low Wind"/>
  </r>
  <r>
    <s v="AQ101223"/>
    <d v="2025-05-01T00:00:00"/>
    <x v="9"/>
    <x v="0"/>
    <s v="Station-08"/>
    <n v="13.9"/>
    <n v="57"/>
    <n v="46.7"/>
    <n v="5"/>
    <n v="0.39"/>
    <n v="14.5"/>
    <n v="20.2"/>
    <n v="57.5"/>
    <n v="3"/>
    <n v="116"/>
    <x v="2"/>
    <s v="Moderate"/>
    <s v="Normal"/>
    <s v="Normal Humidity"/>
    <s v="Moderate Wind"/>
  </r>
  <r>
    <s v="AQ101224"/>
    <d v="2025-08-01T00:00:00"/>
    <x v="6"/>
    <x v="1"/>
    <s v="Station-09"/>
    <n v="51.3"/>
    <n v="113.9"/>
    <n v="8.9"/>
    <n v="12.7"/>
    <n v="0.45"/>
    <n v="35.200000000000003"/>
    <n v="23.1"/>
    <n v="71.5"/>
    <n v="2.8"/>
    <n v="199"/>
    <x v="2"/>
    <s v="Unhealthy"/>
    <s v="Normal"/>
    <s v="High Humidity"/>
    <s v="Moderate Wind"/>
  </r>
  <r>
    <s v="AQ101225"/>
    <d v="2025-01-11T00:00:00"/>
    <x v="12"/>
    <x v="4"/>
    <s v="Station-10"/>
    <n v="31.2"/>
    <n v="43"/>
    <n v="50"/>
    <n v="1.4"/>
    <n v="0.77"/>
    <n v="18.2"/>
    <n v="24.9"/>
    <n v="74.900000000000006"/>
    <n v="2.2999999999999998"/>
    <n v="146"/>
    <x v="2"/>
    <s v="Good"/>
    <s v="Normal"/>
    <s v="High Humidity"/>
    <s v="Moderate Wind"/>
  </r>
  <r>
    <s v="AQ101226"/>
    <d v="2025-01-24T00:00:00"/>
    <x v="7"/>
    <x v="2"/>
    <s v="Station-12"/>
    <n v="80"/>
    <n v="79.3"/>
    <n v="55.4"/>
    <n v="17.600000000000001"/>
    <n v="1.76"/>
    <n v="26.4"/>
    <n v="24"/>
    <n v="42.4"/>
    <n v="5"/>
    <n v="292"/>
    <x v="1"/>
    <s v="Moderate"/>
    <s v="Normal"/>
    <s v="Normal Humidity"/>
    <s v="Moderate Wind"/>
  </r>
  <r>
    <s v="AQ101227"/>
    <d v="2025-09-27T00:00:00"/>
    <x v="4"/>
    <x v="3"/>
    <s v="Station-07"/>
    <n v="36.299999999999997"/>
    <n v="90.3"/>
    <n v="52.3"/>
    <n v="9.3000000000000007"/>
    <n v="0.39"/>
    <n v="60.7"/>
    <n v="17"/>
    <n v="45"/>
    <n v="2.6"/>
    <n v="202"/>
    <x v="1"/>
    <s v="Moderate"/>
    <s v="Cool"/>
    <s v="Normal Humidity"/>
    <s v="Moderate Wind"/>
  </r>
  <r>
    <s v="AQ101228"/>
    <d v="2025-11-10T00:00:00"/>
    <x v="3"/>
    <x v="2"/>
    <s v="Station-02"/>
    <n v="25.5"/>
    <n v="85.1"/>
    <n v="19.899999999999999"/>
    <n v="28.3"/>
    <n v="0.44"/>
    <n v="32"/>
    <n v="25.1"/>
    <n v="55.3"/>
    <n v="1.4"/>
    <n v="157"/>
    <x v="2"/>
    <s v="Moderate"/>
    <s v="Normal"/>
    <s v="Normal Humidity"/>
    <s v="Low Wind"/>
  </r>
  <r>
    <s v="AQ101229"/>
    <d v="2025-01-29T00:00:00"/>
    <x v="7"/>
    <x v="2"/>
    <s v="Station-01"/>
    <n v="29.1"/>
    <n v="180.9"/>
    <n v="53.6"/>
    <n v="6.6"/>
    <n v="0.16"/>
    <n v="5.7"/>
    <n v="39.4"/>
    <n v="67.900000000000006"/>
    <n v="3.6"/>
    <n v="218"/>
    <x v="1"/>
    <s v="VeryUnhealthy"/>
    <s v="Hot"/>
    <s v="High Humidity"/>
    <s v="Moderate Wind"/>
  </r>
  <r>
    <s v="AQ101230"/>
    <d v="2025-08-17T00:00:00"/>
    <x v="0"/>
    <x v="0"/>
    <s v="Station-14"/>
    <n v="46.4"/>
    <n v="163.6"/>
    <n v="8.5"/>
    <n v="21.1"/>
    <n v="0.66"/>
    <n v="39.299999999999997"/>
    <n v="17.2"/>
    <n v="56.3"/>
    <n v="2.2000000000000002"/>
    <n v="236"/>
    <x v="1"/>
    <s v="VeryUnhealthy"/>
    <s v="Cool"/>
    <s v="Normal Humidity"/>
    <s v="Moderate Wind"/>
  </r>
  <r>
    <s v="AQ101231"/>
    <d v="2025-02-11T00:00:00"/>
    <x v="12"/>
    <x v="4"/>
    <s v="Station-14"/>
    <n v="60.9"/>
    <n v="77.5"/>
    <n v="14.5"/>
    <n v="25.3"/>
    <n v="0.2"/>
    <n v="23.5"/>
    <n v="26.3"/>
    <n v="38.4"/>
    <n v="1.3"/>
    <n v="193"/>
    <x v="2"/>
    <s v="Moderate"/>
    <s v="Normal"/>
    <s v="Normal Humidity"/>
    <s v="Low Wind"/>
  </r>
  <r>
    <s v="AQ101232"/>
    <d v="2025-12-10T00:00:00"/>
    <x v="12"/>
    <x v="4"/>
    <s v="Station-05"/>
    <n v="29.6"/>
    <n v="32.700000000000003"/>
    <n v="11.1"/>
    <n v="9.6"/>
    <n v="1.38"/>
    <n v="38.5"/>
    <n v="30.3"/>
    <n v="61.7"/>
    <n v="1.8"/>
    <n v="136"/>
    <x v="2"/>
    <s v="Good"/>
    <s v="Hot"/>
    <s v="High Humidity"/>
    <s v="Low Wind"/>
  </r>
  <r>
    <s v="AQ101233"/>
    <d v="2025-01-25T00:00:00"/>
    <x v="1"/>
    <x v="1"/>
    <s v="Station-14"/>
    <n v="28.5"/>
    <n v="95"/>
    <n v="15.2"/>
    <n v="11"/>
    <n v="0.38"/>
    <n v="27.9"/>
    <n v="27.4"/>
    <n v="51.2"/>
    <n v="2.2999999999999998"/>
    <n v="149"/>
    <x v="2"/>
    <s v="Moderate"/>
    <s v="Normal"/>
    <s v="Normal Humidity"/>
    <s v="Moderate Wind"/>
  </r>
  <r>
    <s v="AQ101234"/>
    <d v="2025-03-08T00:00:00"/>
    <x v="5"/>
    <x v="4"/>
    <s v="Station-01"/>
    <n v="44.1"/>
    <n v="60.8"/>
    <n v="14.4"/>
    <n v="6.4"/>
    <n v="0.22"/>
    <n v="15.6"/>
    <n v="31.5"/>
    <n v="65.3"/>
    <n v="2.5"/>
    <n v="139"/>
    <x v="2"/>
    <s v="Moderate"/>
    <s v="Hot"/>
    <s v="High Humidity"/>
    <s v="Moderate Wind"/>
  </r>
  <r>
    <s v="AQ101235"/>
    <d v="2025-10-28T00:00:00"/>
    <x v="8"/>
    <x v="2"/>
    <s v="Station-13"/>
    <n v="66.3"/>
    <n v="29.1"/>
    <n v="19.5"/>
    <n v="17.600000000000001"/>
    <n v="0.44"/>
    <n v="85.9"/>
    <n v="22.3"/>
    <n v="59.3"/>
    <n v="1.7"/>
    <n v="203"/>
    <x v="1"/>
    <s v="Good"/>
    <s v="Normal"/>
    <s v="Normal Humidity"/>
    <s v="Low Wind"/>
  </r>
  <r>
    <s v="AQ101236"/>
    <d v="2025-02-12T00:00:00"/>
    <x v="7"/>
    <x v="2"/>
    <s v="Station-06"/>
    <n v="28.6"/>
    <n v="23.6"/>
    <n v="26.5"/>
    <n v="15.6"/>
    <n v="0.64"/>
    <n v="58.2"/>
    <n v="29.3"/>
    <n v="55.2"/>
    <n v="2.1"/>
    <n v="135"/>
    <x v="2"/>
    <s v="Good"/>
    <s v="Normal"/>
    <s v="Normal Humidity"/>
    <s v="Moderate Wind"/>
  </r>
  <r>
    <s v="AQ101237"/>
    <d v="2025-03-02T00:00:00"/>
    <x v="4"/>
    <x v="3"/>
    <s v="Station-04"/>
    <n v="169"/>
    <n v="80.3"/>
    <n v="20.6"/>
    <n v="4.5999999999999996"/>
    <n v="0.67"/>
    <n v="86"/>
    <n v="28.3"/>
    <n v="61.9"/>
    <n v="0.6"/>
    <n v="398"/>
    <x v="0"/>
    <s v="Moderate"/>
    <s v="Normal"/>
    <s v="High Humidity"/>
    <s v="Low Wind"/>
  </r>
  <r>
    <s v="AQ101238"/>
    <d v="2025-11-26T00:00:00"/>
    <x v="10"/>
    <x v="3"/>
    <s v="Station-06"/>
    <n v="79.2"/>
    <n v="24.7"/>
    <n v="25.1"/>
    <n v="8.1999999999999993"/>
    <n v="0.3"/>
    <n v="11.2"/>
    <n v="27.7"/>
    <n v="56.1"/>
    <n v="0.6"/>
    <n v="181"/>
    <x v="2"/>
    <s v="Good"/>
    <s v="Normal"/>
    <s v="Normal Humidity"/>
    <s v="Low Wind"/>
  </r>
  <r>
    <s v="AQ101239"/>
    <d v="2025-01-30T00:00:00"/>
    <x v="8"/>
    <x v="2"/>
    <s v="Station-12"/>
    <n v="51.5"/>
    <n v="114"/>
    <n v="42.4"/>
    <n v="27.2"/>
    <n v="0.75"/>
    <n v="38.700000000000003"/>
    <n v="17.3"/>
    <n v="66.3"/>
    <n v="3"/>
    <n v="246"/>
    <x v="1"/>
    <s v="Unhealthy"/>
    <s v="Cool"/>
    <s v="High Humidity"/>
    <s v="Moderate Wind"/>
  </r>
  <r>
    <s v="AQ101240"/>
    <d v="2025-04-26T00:00:00"/>
    <x v="2"/>
    <x v="1"/>
    <s v="Station-15"/>
    <n v="76.8"/>
    <n v="67.400000000000006"/>
    <n v="25.3"/>
    <n v="22"/>
    <n v="0.8"/>
    <n v="3"/>
    <n v="28.6"/>
    <n v="64.8"/>
    <n v="1.4"/>
    <n v="224"/>
    <x v="1"/>
    <s v="Moderate"/>
    <s v="Normal"/>
    <s v="High Humidity"/>
    <s v="Low Wind"/>
  </r>
  <r>
    <s v="AQ101241"/>
    <d v="2025-11-16T00:00:00"/>
    <x v="14"/>
    <x v="3"/>
    <s v="Station-03"/>
    <n v="23.9"/>
    <n v="60.1"/>
    <n v="19.399999999999999"/>
    <n v="11.5"/>
    <n v="0.35"/>
    <n v="31"/>
    <n v="38.4"/>
    <n v="80.8"/>
    <n v="2.9"/>
    <n v="124"/>
    <x v="2"/>
    <s v="Moderate"/>
    <s v="Hot"/>
    <s v="High Humidity"/>
    <s v="Moderate Wind"/>
  </r>
  <r>
    <s v="AQ101242"/>
    <d v="2025-12-17T00:00:00"/>
    <x v="8"/>
    <x v="2"/>
    <s v="Station-05"/>
    <n v="52.5"/>
    <n v="125"/>
    <n v="25.1"/>
    <n v="20.2"/>
    <n v="0.7"/>
    <n v="11.1"/>
    <n v="28.4"/>
    <n v="60.4"/>
    <n v="2.5"/>
    <n v="222"/>
    <x v="1"/>
    <s v="Unhealthy"/>
    <s v="Normal"/>
    <s v="High Humidity"/>
    <s v="Moderate Wind"/>
  </r>
  <r>
    <s v="AQ101243"/>
    <d v="2025-02-16T00:00:00"/>
    <x v="3"/>
    <x v="2"/>
    <s v="Station-04"/>
    <n v="22.7"/>
    <n v="103.5"/>
    <n v="56.6"/>
    <n v="11.6"/>
    <n v="2.54"/>
    <n v="58"/>
    <n v="19.7"/>
    <n v="57.5"/>
    <n v="1.6"/>
    <n v="247"/>
    <x v="1"/>
    <s v="Unhealthy"/>
    <s v="Cool"/>
    <s v="Normal Humidity"/>
    <s v="Low Wind"/>
  </r>
  <r>
    <s v="AQ101244"/>
    <d v="2025-10-04T00:00:00"/>
    <x v="7"/>
    <x v="2"/>
    <s v="Station-06"/>
    <n v="21.2"/>
    <n v="39.200000000000003"/>
    <n v="29.2"/>
    <n v="4.0999999999999996"/>
    <n v="0.55000000000000004"/>
    <n v="44.6"/>
    <n v="38.700000000000003"/>
    <n v="60.9"/>
    <n v="1.8"/>
    <n v="119"/>
    <x v="2"/>
    <s v="Good"/>
    <s v="Hot"/>
    <s v="High Humidity"/>
    <s v="Low Wind"/>
  </r>
  <r>
    <s v="AQ101245"/>
    <d v="2025-12-10T00:00:00"/>
    <x v="7"/>
    <x v="2"/>
    <s v="Station-05"/>
    <n v="28.6"/>
    <n v="72.5"/>
    <n v="72.5"/>
    <n v="13.7"/>
    <n v="1.33"/>
    <n v="26"/>
    <n v="28.1"/>
    <n v="38.9"/>
    <n v="0.6"/>
    <n v="205"/>
    <x v="1"/>
    <s v="Moderate"/>
    <s v="Normal"/>
    <s v="Normal Humidity"/>
    <s v="Low Wind"/>
  </r>
  <r>
    <s v="AQ101246"/>
    <d v="2025-03-24T00:00:00"/>
    <x v="0"/>
    <x v="0"/>
    <s v="Station-13"/>
    <n v="10.7"/>
    <n v="34.200000000000003"/>
    <n v="25.6"/>
    <n v="36.6"/>
    <n v="1.02"/>
    <n v="7"/>
    <n v="30.6"/>
    <n v="49.8"/>
    <n v="3.2"/>
    <n v="114"/>
    <x v="2"/>
    <s v="Good"/>
    <s v="Hot"/>
    <s v="Normal Humidity"/>
    <s v="Moderate Wind"/>
  </r>
  <r>
    <s v="AQ101247"/>
    <d v="2025-07-09T00:00:00"/>
    <x v="4"/>
    <x v="3"/>
    <s v="Station-14"/>
    <n v="38.1"/>
    <n v="108.8"/>
    <n v="18.899999999999999"/>
    <n v="11.9"/>
    <n v="0.55000000000000004"/>
    <n v="45.7"/>
    <n v="27.4"/>
    <n v="98"/>
    <n v="2.4"/>
    <n v="189"/>
    <x v="2"/>
    <s v="Unhealthy"/>
    <s v="Normal"/>
    <s v="High Humidity"/>
    <s v="Moderate Wind"/>
  </r>
  <r>
    <s v="AQ101248"/>
    <d v="2025-08-17T00:00:00"/>
    <x v="5"/>
    <x v="4"/>
    <s v="Station-13"/>
    <n v="123.7"/>
    <n v="143.80000000000001"/>
    <n v="4.4000000000000004"/>
    <n v="15.3"/>
    <n v="1.1200000000000001"/>
    <n v="31.4"/>
    <n v="11.7"/>
    <n v="56.7"/>
    <n v="2.1"/>
    <n v="348"/>
    <x v="0"/>
    <s v="Unhealthy"/>
    <s v="Cool"/>
    <s v="Normal Humidity"/>
    <s v="Moderate Wind"/>
  </r>
  <r>
    <s v="AQ101249"/>
    <d v="2025-05-08T00:00:00"/>
    <x v="12"/>
    <x v="4"/>
    <s v="Station-14"/>
    <n v="52.1"/>
    <n v="70.099999999999994"/>
    <n v="40.299999999999997"/>
    <n v="7.5"/>
    <n v="0.89"/>
    <n v="58.9"/>
    <n v="28.1"/>
    <n v="81.7"/>
    <n v="1.2"/>
    <n v="215"/>
    <x v="1"/>
    <s v="Moderate"/>
    <s v="Normal"/>
    <s v="High Humidity"/>
    <s v="Low Wind"/>
  </r>
  <r>
    <s v="AQ101250"/>
    <d v="2025-05-05T00:00:00"/>
    <x v="8"/>
    <x v="2"/>
    <s v="Station-07"/>
    <n v="70.099999999999994"/>
    <n v="69.2"/>
    <n v="4.5"/>
    <n v="19.399999999999999"/>
    <n v="0.18"/>
    <n v="53.8"/>
    <n v="29.7"/>
    <n v="60.5"/>
    <n v="2.2999999999999998"/>
    <n v="203"/>
    <x v="1"/>
    <s v="Moderate"/>
    <s v="Normal"/>
    <s v="High Humidity"/>
    <s v="Moderate Wind"/>
  </r>
  <r>
    <s v="AQ101251"/>
    <d v="2025-05-15T00:00:00"/>
    <x v="15"/>
    <x v="3"/>
    <s v="Station-12"/>
    <n v="32.799999999999997"/>
    <n v="114.8"/>
    <n v="21.5"/>
    <n v="7.5"/>
    <n v="0.86"/>
    <n v="11.2"/>
    <n v="38.4"/>
    <n v="74.8"/>
    <n v="3.2"/>
    <n v="176"/>
    <x v="2"/>
    <s v="Unhealthy"/>
    <s v="Hot"/>
    <s v="High Humidity"/>
    <s v="Moderate Wind"/>
  </r>
  <r>
    <s v="AQ101252"/>
    <d v="2025-10-27T00:00:00"/>
    <x v="8"/>
    <x v="2"/>
    <s v="Station-14"/>
    <n v="131.69999999999999"/>
    <n v="67.8"/>
    <n v="3.8"/>
    <n v="7.4"/>
    <n v="0.25"/>
    <n v="83.8"/>
    <n v="34.200000000000003"/>
    <n v="60.7"/>
    <n v="2.8"/>
    <n v="307"/>
    <x v="0"/>
    <s v="Moderate"/>
    <s v="Hot"/>
    <s v="High Humidity"/>
    <s v="Moderate Wind"/>
  </r>
  <r>
    <s v="AQ101253"/>
    <d v="2025-01-10T00:00:00"/>
    <x v="1"/>
    <x v="1"/>
    <s v="Station-07"/>
    <n v="57.9"/>
    <n v="26.2"/>
    <n v="50.2"/>
    <n v="2.9"/>
    <n v="0.68"/>
    <n v="31.3"/>
    <n v="32.9"/>
    <n v="85.2"/>
    <n v="3.3"/>
    <n v="183"/>
    <x v="2"/>
    <s v="Good"/>
    <s v="Hot"/>
    <s v="High Humidity"/>
    <s v="Moderate Wind"/>
  </r>
  <r>
    <s v="AQ101254"/>
    <d v="2025-08-23T00:00:00"/>
    <x v="10"/>
    <x v="3"/>
    <s v="Station-01"/>
    <n v="28.6"/>
    <n v="72.7"/>
    <n v="47.5"/>
    <n v="31.1"/>
    <n v="1"/>
    <n v="39.700000000000003"/>
    <n v="22.3"/>
    <n v="68.900000000000006"/>
    <n v="2.8"/>
    <n v="196"/>
    <x v="2"/>
    <s v="Moderate"/>
    <s v="Normal"/>
    <s v="High Humidity"/>
    <s v="Moderate Wind"/>
  </r>
  <r>
    <s v="AQ101255"/>
    <d v="2025-07-12T00:00:00"/>
    <x v="3"/>
    <x v="2"/>
    <s v="Station-13"/>
    <n v="99.7"/>
    <n v="23.8"/>
    <n v="24.4"/>
    <n v="7.1"/>
    <n v="0.49"/>
    <n v="18.399999999999999"/>
    <n v="26.9"/>
    <n v="59.1"/>
    <n v="2.2999999999999998"/>
    <n v="220"/>
    <x v="1"/>
    <s v="Good"/>
    <s v="Normal"/>
    <s v="Normal Humidity"/>
    <s v="Moderate Wind"/>
  </r>
  <r>
    <s v="AQ101256"/>
    <d v="2025-09-24T00:00:00"/>
    <x v="7"/>
    <x v="2"/>
    <s v="Station-11"/>
    <n v="53.1"/>
    <n v="190.6"/>
    <n v="37.6"/>
    <n v="17.3"/>
    <n v="0.38"/>
    <n v="26.1"/>
    <n v="22.8"/>
    <n v="49.5"/>
    <n v="2"/>
    <n v="272"/>
    <x v="1"/>
    <s v="VeryUnhealthy"/>
    <s v="Normal"/>
    <s v="Normal Humidity"/>
    <s v="Moderate Wind"/>
  </r>
  <r>
    <s v="AQ101257"/>
    <d v="2025-09-23T00:00:00"/>
    <x v="6"/>
    <x v="1"/>
    <s v="Station-14"/>
    <n v="40.5"/>
    <n v="33.799999999999997"/>
    <n v="17.8"/>
    <n v="34.299999999999997"/>
    <n v="1.47"/>
    <n v="30.9"/>
    <n v="23.5"/>
    <n v="52.1"/>
    <n v="0.7"/>
    <n v="176"/>
    <x v="2"/>
    <s v="Good"/>
    <s v="Normal"/>
    <s v="Normal Humidity"/>
    <s v="Low Wind"/>
  </r>
  <r>
    <s v="AQ101258"/>
    <d v="2025-04-15T00:00:00"/>
    <x v="11"/>
    <x v="0"/>
    <s v="Station-02"/>
    <n v="27.9"/>
    <n v="35.4"/>
    <n v="9.3000000000000007"/>
    <n v="7.3"/>
    <n v="0.48"/>
    <n v="41.4"/>
    <n v="31.6"/>
    <n v="29.6"/>
    <n v="1.3"/>
    <n v="111"/>
    <x v="2"/>
    <s v="Good"/>
    <s v="Hot"/>
    <s v="Low Humidity"/>
    <s v="Low Wind"/>
  </r>
  <r>
    <s v="AQ101259"/>
    <d v="2025-06-14T00:00:00"/>
    <x v="7"/>
    <x v="2"/>
    <s v="Station-15"/>
    <n v="32.1"/>
    <n v="134.4"/>
    <n v="6.4"/>
    <n v="10.4"/>
    <n v="0.86"/>
    <n v="56.3"/>
    <n v="33.299999999999997"/>
    <n v="71.900000000000006"/>
    <n v="2.8"/>
    <n v="198"/>
    <x v="2"/>
    <s v="Unhealthy"/>
    <s v="Hot"/>
    <s v="High Humidity"/>
    <s v="Moderate Wind"/>
  </r>
  <r>
    <s v="AQ101260"/>
    <d v="2025-01-09T00:00:00"/>
    <x v="4"/>
    <x v="3"/>
    <s v="Station-03"/>
    <n v="31.6"/>
    <n v="50.7"/>
    <n v="22.2"/>
    <n v="30"/>
    <n v="1.72"/>
    <n v="30.1"/>
    <n v="27.1"/>
    <n v="60"/>
    <n v="3"/>
    <n v="179"/>
    <x v="2"/>
    <s v="Moderate"/>
    <s v="Normal"/>
    <s v="Normal Humidity"/>
    <s v="Moderate Wind"/>
  </r>
  <r>
    <s v="AQ101261"/>
    <d v="2025-06-23T00:00:00"/>
    <x v="3"/>
    <x v="2"/>
    <s v="Station-11"/>
    <n v="89.6"/>
    <n v="29.9"/>
    <n v="20.399999999999999"/>
    <n v="1.9"/>
    <n v="1.1499999999999999"/>
    <n v="35.6"/>
    <n v="19.5"/>
    <n v="40.299999999999997"/>
    <n v="1.7"/>
    <n v="225"/>
    <x v="1"/>
    <s v="Good"/>
    <s v="Cool"/>
    <s v="Normal Humidity"/>
    <s v="Low Wind"/>
  </r>
  <r>
    <s v="AQ101262"/>
    <d v="2025-05-31T00:00:00"/>
    <x v="10"/>
    <x v="3"/>
    <s v="Station-15"/>
    <n v="25.6"/>
    <n v="108.9"/>
    <n v="25.1"/>
    <n v="8.5"/>
    <n v="0.49"/>
    <n v="62.4"/>
    <n v="29"/>
    <n v="64.900000000000006"/>
    <n v="1.9"/>
    <n v="178"/>
    <x v="2"/>
    <s v="Unhealthy"/>
    <s v="Normal"/>
    <s v="High Humidity"/>
    <s v="Low Wind"/>
  </r>
  <r>
    <s v="AQ101263"/>
    <d v="2025-10-24T00:00:00"/>
    <x v="6"/>
    <x v="1"/>
    <s v="Station-14"/>
    <n v="32.799999999999997"/>
    <n v="126.9"/>
    <n v="11.2"/>
    <n v="8.5"/>
    <n v="0.67"/>
    <n v="35.700000000000003"/>
    <n v="33.200000000000003"/>
    <n v="53.1"/>
    <n v="2.6"/>
    <n v="183"/>
    <x v="2"/>
    <s v="Unhealthy"/>
    <s v="Hot"/>
    <s v="Normal Humidity"/>
    <s v="Moderate Wind"/>
  </r>
  <r>
    <s v="AQ101264"/>
    <d v="2025-09-19T00:00:00"/>
    <x v="12"/>
    <x v="4"/>
    <s v="Station-15"/>
    <n v="71.099999999999994"/>
    <n v="129.80000000000001"/>
    <n v="9.5"/>
    <n v="18.600000000000001"/>
    <n v="1.21"/>
    <n v="45.1"/>
    <n v="28.4"/>
    <n v="62.7"/>
    <n v="2.4"/>
    <n v="269"/>
    <x v="1"/>
    <s v="Unhealthy"/>
    <s v="Normal"/>
    <s v="High Humidity"/>
    <s v="Moderate Wind"/>
  </r>
  <r>
    <s v="AQ101265"/>
    <d v="2025-05-17T00:00:00"/>
    <x v="9"/>
    <x v="0"/>
    <s v="Station-15"/>
    <n v="87"/>
    <n v="47.7"/>
    <n v="48.1"/>
    <n v="7.8"/>
    <n v="0.98"/>
    <n v="15.8"/>
    <n v="26.5"/>
    <n v="38.799999999999997"/>
    <n v="1.9"/>
    <n v="246"/>
    <x v="1"/>
    <s v="Good"/>
    <s v="Normal"/>
    <s v="Normal Humidity"/>
    <s v="Low Wind"/>
  </r>
  <r>
    <s v="AQ101266"/>
    <d v="2025-11-30T00:00:00"/>
    <x v="9"/>
    <x v="0"/>
    <s v="Station-10"/>
    <n v="49.3"/>
    <n v="40.5"/>
    <n v="27.8"/>
    <n v="12.5"/>
    <n v="0.67"/>
    <n v="65.400000000000006"/>
    <n v="29.9"/>
    <n v="49.2"/>
    <n v="1.9"/>
    <n v="182"/>
    <x v="2"/>
    <s v="Good"/>
    <s v="Normal"/>
    <s v="Normal Humidity"/>
    <s v="Low Wind"/>
  </r>
  <r>
    <s v="AQ101267"/>
    <d v="2025-07-03T00:00:00"/>
    <x v="6"/>
    <x v="1"/>
    <s v="Station-11"/>
    <n v="148.69999999999999"/>
    <n v="25.5"/>
    <n v="35.9"/>
    <n v="5.8"/>
    <n v="0.8"/>
    <n v="47.1"/>
    <n v="29.5"/>
    <n v="67.3"/>
    <n v="2.8"/>
    <n v="328"/>
    <x v="0"/>
    <s v="Good"/>
    <s v="Normal"/>
    <s v="High Humidity"/>
    <s v="Moderate Wind"/>
  </r>
  <r>
    <s v="AQ101268"/>
    <d v="2025-04-23T00:00:00"/>
    <x v="12"/>
    <x v="4"/>
    <s v="Station-07"/>
    <n v="9.9"/>
    <n v="116.9"/>
    <n v="22.2"/>
    <n v="19.100000000000001"/>
    <n v="0.61"/>
    <n v="21.5"/>
    <n v="32.299999999999997"/>
    <n v="47.4"/>
    <n v="2.6"/>
    <n v="148"/>
    <x v="2"/>
    <s v="Unhealthy"/>
    <s v="Hot"/>
    <s v="Normal Humidity"/>
    <s v="Moderate Wind"/>
  </r>
  <r>
    <s v="AQ101269"/>
    <d v="2025-08-22T00:00:00"/>
    <x v="6"/>
    <x v="1"/>
    <s v="Station-07"/>
    <n v="38.5"/>
    <n v="27.2"/>
    <n v="23.3"/>
    <n v="13.5"/>
    <n v="0.65"/>
    <n v="13.4"/>
    <n v="27.6"/>
    <n v="55.4"/>
    <n v="2.1"/>
    <n v="130"/>
    <x v="2"/>
    <s v="Good"/>
    <s v="Normal"/>
    <s v="Normal Humidity"/>
    <s v="Moderate Wind"/>
  </r>
  <r>
    <s v="AQ101270"/>
    <d v="2025-06-17T00:00:00"/>
    <x v="11"/>
    <x v="0"/>
    <s v="Station-14"/>
    <n v="48.8"/>
    <n v="115.2"/>
    <n v="23.2"/>
    <n v="4.8"/>
    <n v="1.36"/>
    <n v="32.299999999999997"/>
    <n v="34.299999999999997"/>
    <n v="47"/>
    <n v="3.3"/>
    <n v="223"/>
    <x v="1"/>
    <s v="Unhealthy"/>
    <s v="Hot"/>
    <s v="Normal Humidity"/>
    <s v="Moderate Wind"/>
  </r>
  <r>
    <s v="AQ101271"/>
    <d v="2025-12-17T00:00:00"/>
    <x v="15"/>
    <x v="3"/>
    <s v="Station-07"/>
    <n v="60"/>
    <n v="67.2"/>
    <n v="35.799999999999997"/>
    <n v="40.9"/>
    <n v="0.86"/>
    <n v="52.5"/>
    <n v="36.799999999999997"/>
    <n v="88.3"/>
    <n v="0.1"/>
    <n v="242"/>
    <x v="1"/>
    <s v="Moderate"/>
    <s v="Hot"/>
    <s v="High Humidity"/>
    <s v="Low Wind"/>
  </r>
  <r>
    <s v="AQ101272"/>
    <d v="2025-11-18T00:00:00"/>
    <x v="9"/>
    <x v="0"/>
    <s v="Station-07"/>
    <n v="51.5"/>
    <n v="46.7"/>
    <n v="23.3"/>
    <n v="13.4"/>
    <n v="0.32"/>
    <n v="38.6"/>
    <n v="23.8"/>
    <n v="63.6"/>
    <n v="3.3"/>
    <n v="166"/>
    <x v="2"/>
    <s v="Good"/>
    <s v="Normal"/>
    <s v="High Humidity"/>
    <s v="Moderate Wind"/>
  </r>
  <r>
    <s v="AQ101273"/>
    <d v="2025-01-04T00:00:00"/>
    <x v="13"/>
    <x v="4"/>
    <s v="Station-04"/>
    <n v="34.700000000000003"/>
    <n v="156"/>
    <n v="43.8"/>
    <n v="7.6"/>
    <n v="0.51"/>
    <n v="19.100000000000001"/>
    <n v="28.5"/>
    <n v="52.7"/>
    <n v="0.7"/>
    <n v="219"/>
    <x v="1"/>
    <s v="VeryUnhealthy"/>
    <s v="Normal"/>
    <s v="Normal Humidity"/>
    <s v="Low Wind"/>
  </r>
  <r>
    <s v="AQ101274"/>
    <d v="2025-04-02T00:00:00"/>
    <x v="8"/>
    <x v="2"/>
    <s v="Station-09"/>
    <n v="30"/>
    <n v="26.2"/>
    <n v="13.3"/>
    <n v="8.5"/>
    <n v="0.52"/>
    <n v="58.8"/>
    <n v="26.9"/>
    <n v="57.2"/>
    <n v="2"/>
    <n v="121"/>
    <x v="2"/>
    <s v="Good"/>
    <s v="Normal"/>
    <s v="Normal Humidity"/>
    <s v="Moderate Wind"/>
  </r>
  <r>
    <s v="AQ101275"/>
    <d v="2025-05-28T00:00:00"/>
    <x v="2"/>
    <x v="1"/>
    <s v="Station-15"/>
    <n v="56.5"/>
    <n v="192"/>
    <n v="7.4"/>
    <n v="10.7"/>
    <n v="0.27"/>
    <n v="8.1999999999999993"/>
    <n v="34.4"/>
    <n v="60.8"/>
    <n v="1.7"/>
    <n v="239"/>
    <x v="1"/>
    <s v="VeryUnhealthy"/>
    <s v="Hot"/>
    <s v="High Humidity"/>
    <s v="Low Wind"/>
  </r>
  <r>
    <s v="AQ101276"/>
    <d v="2025-09-06T00:00:00"/>
    <x v="8"/>
    <x v="2"/>
    <s v="Station-02"/>
    <n v="78.7"/>
    <n v="51.6"/>
    <n v="18.2"/>
    <n v="26.4"/>
    <n v="0.28999999999999998"/>
    <n v="47"/>
    <n v="23.3"/>
    <n v="57.6"/>
    <n v="1.9"/>
    <n v="221"/>
    <x v="1"/>
    <s v="Moderate"/>
    <s v="Normal"/>
    <s v="Normal Humidity"/>
    <s v="Low Wind"/>
  </r>
  <r>
    <s v="AQ101277"/>
    <d v="2025-08-12T00:00:00"/>
    <x v="12"/>
    <x v="4"/>
    <s v="Station-10"/>
    <n v="4.3"/>
    <n v="85.2"/>
    <n v="46.6"/>
    <n v="15"/>
    <n v="0.66"/>
    <n v="70.400000000000006"/>
    <n v="25.1"/>
    <n v="90.5"/>
    <n v="1.1000000000000001"/>
    <n v="158"/>
    <x v="2"/>
    <s v="Moderate"/>
    <s v="Normal"/>
    <s v="High Humidity"/>
    <s v="Low Wind"/>
  </r>
  <r>
    <s v="AQ101278"/>
    <d v="2025-11-19T00:00:00"/>
    <x v="1"/>
    <x v="1"/>
    <s v="Station-08"/>
    <n v="119.2"/>
    <n v="142.9"/>
    <n v="29.8"/>
    <n v="16.8"/>
    <n v="1.22"/>
    <n v="22.2"/>
    <n v="21.1"/>
    <n v="27.7"/>
    <n v="1.6"/>
    <n v="360"/>
    <x v="0"/>
    <s v="Unhealthy"/>
    <s v="Normal"/>
    <s v="Low Humidity"/>
    <s v="Low Wind"/>
  </r>
  <r>
    <s v="AQ101279"/>
    <d v="2025-02-27T00:00:00"/>
    <x v="5"/>
    <x v="4"/>
    <s v="Station-11"/>
    <n v="67.5"/>
    <n v="86.6"/>
    <n v="6.2"/>
    <n v="11.4"/>
    <n v="0.77"/>
    <n v="23.1"/>
    <n v="27.9"/>
    <n v="56.9"/>
    <n v="1.4"/>
    <n v="207"/>
    <x v="1"/>
    <s v="Moderate"/>
    <s v="Normal"/>
    <s v="Normal Humidity"/>
    <s v="Low Wind"/>
  </r>
  <r>
    <s v="AQ101280"/>
    <d v="2025-08-19T00:00:00"/>
    <x v="4"/>
    <x v="3"/>
    <s v="Station-03"/>
    <n v="34.9"/>
    <n v="182.3"/>
    <n v="34.700000000000003"/>
    <n v="5.8"/>
    <n v="0.92"/>
    <n v="14"/>
    <n v="27.9"/>
    <n v="60.8"/>
    <n v="3"/>
    <n v="235"/>
    <x v="1"/>
    <s v="VeryUnhealthy"/>
    <s v="Normal"/>
    <s v="High Humidity"/>
    <s v="Moderate Wind"/>
  </r>
  <r>
    <s v="AQ101281"/>
    <d v="2025-11-29T00:00:00"/>
    <x v="2"/>
    <x v="1"/>
    <s v="Station-02"/>
    <n v="36"/>
    <n v="134"/>
    <n v="21.7"/>
    <n v="31.8"/>
    <n v="0.91"/>
    <n v="48.3"/>
    <n v="29.1"/>
    <n v="90.4"/>
    <n v="0.8"/>
    <n v="229"/>
    <x v="1"/>
    <s v="Unhealthy"/>
    <s v="Normal"/>
    <s v="High Humidity"/>
    <s v="Low Wind"/>
  </r>
  <r>
    <s v="AQ101282"/>
    <d v="2025-02-12T00:00:00"/>
    <x v="7"/>
    <x v="2"/>
    <s v="Station-05"/>
    <n v="61"/>
    <n v="64.2"/>
    <n v="7.6"/>
    <n v="7.5"/>
    <n v="0.51"/>
    <n v="62.3"/>
    <n v="27"/>
    <n v="74.099999999999994"/>
    <n v="2.9"/>
    <n v="191"/>
    <x v="2"/>
    <s v="Moderate"/>
    <s v="Normal"/>
    <s v="High Humidity"/>
    <s v="Moderate Wind"/>
  </r>
  <r>
    <s v="AQ101283"/>
    <d v="2025-09-03T00:00:00"/>
    <x v="3"/>
    <x v="2"/>
    <s v="Station-09"/>
    <n v="35.5"/>
    <n v="148"/>
    <n v="36.799999999999997"/>
    <n v="15.8"/>
    <n v="1.18"/>
    <n v="41.1"/>
    <n v="25"/>
    <n v="78"/>
    <n v="1.5"/>
    <n v="241"/>
    <x v="1"/>
    <s v="Unhealthy"/>
    <s v="Normal"/>
    <s v="High Humidity"/>
    <s v="Low Wind"/>
  </r>
  <r>
    <s v="AQ101284"/>
    <d v="2025-08-27T00:00:00"/>
    <x v="15"/>
    <x v="3"/>
    <s v="Station-04"/>
    <n v="12.6"/>
    <n v="104.6"/>
    <n v="13.2"/>
    <n v="10.3"/>
    <n v="0.23"/>
    <n v="26.2"/>
    <n v="35.200000000000003"/>
    <n v="59.1"/>
    <n v="2"/>
    <n v="123"/>
    <x v="2"/>
    <s v="Unhealthy"/>
    <s v="Hot"/>
    <s v="Normal Humidity"/>
    <s v="Moderate Wind"/>
  </r>
  <r>
    <s v="AQ101285"/>
    <d v="2025-01-15T00:00:00"/>
    <x v="10"/>
    <x v="3"/>
    <s v="Station-09"/>
    <n v="35.4"/>
    <n v="161.6"/>
    <n v="34.9"/>
    <n v="2.4"/>
    <n v="0.47"/>
    <n v="40.6"/>
    <n v="23.9"/>
    <n v="51.4"/>
    <n v="3.1"/>
    <n v="221"/>
    <x v="1"/>
    <s v="VeryUnhealthy"/>
    <s v="Normal"/>
    <s v="Normal Humidity"/>
    <s v="Moderate Wind"/>
  </r>
  <r>
    <s v="AQ101286"/>
    <d v="2025-01-16T00:00:00"/>
    <x v="14"/>
    <x v="3"/>
    <s v="Station-11"/>
    <n v="19.600000000000001"/>
    <n v="104.2"/>
    <n v="24"/>
    <n v="20.8"/>
    <n v="0.34"/>
    <n v="11.2"/>
    <n v="23.8"/>
    <n v="59.7"/>
    <n v="3.8"/>
    <n v="146"/>
    <x v="2"/>
    <s v="Unhealthy"/>
    <s v="Normal"/>
    <s v="Normal Humidity"/>
    <s v="Moderate Wind"/>
  </r>
  <r>
    <s v="AQ101287"/>
    <d v="2025-01-20T00:00:00"/>
    <x v="7"/>
    <x v="2"/>
    <s v="Station-01"/>
    <n v="29.1"/>
    <n v="89.2"/>
    <n v="14.9"/>
    <n v="20.399999999999999"/>
    <n v="0.36"/>
    <n v="36"/>
    <n v="18.600000000000001"/>
    <n v="53.6"/>
    <n v="1.7"/>
    <n v="156"/>
    <x v="2"/>
    <s v="Moderate"/>
    <s v="Cool"/>
    <s v="Normal Humidity"/>
    <s v="Low Wind"/>
  </r>
  <r>
    <s v="AQ101288"/>
    <d v="2025-04-13T00:00:00"/>
    <x v="6"/>
    <x v="1"/>
    <s v="Station-10"/>
    <n v="38.700000000000003"/>
    <n v="81.099999999999994"/>
    <n v="16.3"/>
    <n v="15.6"/>
    <n v="0.22"/>
    <n v="7.4"/>
    <n v="28"/>
    <n v="81.3"/>
    <n v="0.2"/>
    <n v="147"/>
    <x v="2"/>
    <s v="Moderate"/>
    <s v="Normal"/>
    <s v="High Humidity"/>
    <s v="Low Wind"/>
  </r>
  <r>
    <s v="AQ101289"/>
    <d v="2025-09-08T00:00:00"/>
    <x v="13"/>
    <x v="4"/>
    <s v="Station-06"/>
    <n v="22.8"/>
    <n v="111.3"/>
    <n v="6.1"/>
    <n v="4.9000000000000004"/>
    <n v="0.1"/>
    <n v="16.3"/>
    <n v="19.899999999999999"/>
    <n v="61.6"/>
    <n v="3.1"/>
    <n v="127"/>
    <x v="2"/>
    <s v="Unhealthy"/>
    <s v="Cool"/>
    <s v="High Humidity"/>
    <s v="Moderate Wind"/>
  </r>
  <r>
    <s v="AQ101290"/>
    <d v="2025-11-19T00:00:00"/>
    <x v="14"/>
    <x v="3"/>
    <s v="Station-13"/>
    <n v="52.7"/>
    <n v="53"/>
    <n v="26.7"/>
    <n v="21.4"/>
    <n v="0.54"/>
    <n v="17.899999999999999"/>
    <n v="25.8"/>
    <n v="57.2"/>
    <n v="1.7"/>
    <n v="177"/>
    <x v="2"/>
    <s v="Moderate"/>
    <s v="Normal"/>
    <s v="Normal Humidity"/>
    <s v="Low Wind"/>
  </r>
  <r>
    <s v="AQ101291"/>
    <d v="2025-09-07T00:00:00"/>
    <x v="6"/>
    <x v="1"/>
    <s v="Station-15"/>
    <n v="78.900000000000006"/>
    <n v="175.9"/>
    <n v="21.7"/>
    <n v="23.1"/>
    <n v="2.15"/>
    <n v="37.700000000000003"/>
    <n v="23"/>
    <n v="66"/>
    <n v="3.3"/>
    <n v="345"/>
    <x v="0"/>
    <s v="VeryUnhealthy"/>
    <s v="Normal"/>
    <s v="High Humidity"/>
    <s v="Moderate Wind"/>
  </r>
  <r>
    <s v="AQ101292"/>
    <d v="2025-09-18T00:00:00"/>
    <x v="12"/>
    <x v="4"/>
    <s v="Station-14"/>
    <n v="62.6"/>
    <n v="160.1"/>
    <n v="20.9"/>
    <n v="25.1"/>
    <n v="0.75"/>
    <n v="14.6"/>
    <n v="23.4"/>
    <n v="72.900000000000006"/>
    <n v="3.3"/>
    <n v="264"/>
    <x v="1"/>
    <s v="VeryUnhealthy"/>
    <s v="Normal"/>
    <s v="High Humidity"/>
    <s v="Moderate Wind"/>
  </r>
  <r>
    <s v="AQ101293"/>
    <d v="2025-05-26T00:00:00"/>
    <x v="10"/>
    <x v="3"/>
    <s v="Station-03"/>
    <n v="22.5"/>
    <n v="86.9"/>
    <n v="20.7"/>
    <n v="12.4"/>
    <n v="0.75"/>
    <n v="42.4"/>
    <n v="35.700000000000003"/>
    <n v="70.8"/>
    <n v="3"/>
    <n v="156"/>
    <x v="2"/>
    <s v="Moderate"/>
    <s v="Hot"/>
    <s v="High Humidity"/>
    <s v="Moderate Wind"/>
  </r>
  <r>
    <s v="AQ101294"/>
    <d v="2025-03-20T00:00:00"/>
    <x v="9"/>
    <x v="0"/>
    <s v="Station-02"/>
    <n v="23.7"/>
    <n v="88.4"/>
    <n v="24.6"/>
    <n v="12.7"/>
    <n v="1.06"/>
    <n v="55.2"/>
    <n v="28.6"/>
    <n v="47.8"/>
    <n v="2.7"/>
    <n v="175"/>
    <x v="2"/>
    <s v="Moderate"/>
    <s v="Normal"/>
    <s v="Normal Humidity"/>
    <s v="Moderate Wind"/>
  </r>
  <r>
    <s v="AQ101295"/>
    <d v="2025-07-23T00:00:00"/>
    <x v="8"/>
    <x v="2"/>
    <s v="Station-13"/>
    <n v="129.9"/>
    <n v="78.7"/>
    <n v="14"/>
    <n v="27.2"/>
    <n v="0.79"/>
    <n v="17.7"/>
    <n v="30.6"/>
    <n v="37.200000000000003"/>
    <n v="1.7"/>
    <n v="317"/>
    <x v="0"/>
    <s v="Moderate"/>
    <s v="Hot"/>
    <s v="Normal Humidity"/>
    <s v="Low Wind"/>
  </r>
  <r>
    <s v="AQ101296"/>
    <d v="2025-09-10T00:00:00"/>
    <x v="15"/>
    <x v="3"/>
    <s v="Station-15"/>
    <n v="45.9"/>
    <n v="151.4"/>
    <n v="6.1"/>
    <n v="3.8"/>
    <n v="0.39"/>
    <n v="36.5"/>
    <n v="23"/>
    <n v="71"/>
    <n v="1.8"/>
    <n v="206"/>
    <x v="1"/>
    <s v="VeryUnhealthy"/>
    <s v="Normal"/>
    <s v="High Humidity"/>
    <s v="Low Wind"/>
  </r>
  <r>
    <s v="AQ101297"/>
    <d v="2025-11-12T00:00:00"/>
    <x v="11"/>
    <x v="0"/>
    <s v="Station-04"/>
    <n v="26.7"/>
    <n v="52.6"/>
    <n v="25.7"/>
    <n v="19.100000000000001"/>
    <n v="1.4"/>
    <n v="46.3"/>
    <n v="25.6"/>
    <n v="49.5"/>
    <n v="2.5"/>
    <n v="167"/>
    <x v="2"/>
    <s v="Moderate"/>
    <s v="Normal"/>
    <s v="Normal Humidity"/>
    <s v="Moderate Wind"/>
  </r>
  <r>
    <s v="AQ101298"/>
    <d v="2025-07-29T00:00:00"/>
    <x v="7"/>
    <x v="2"/>
    <s v="Station-13"/>
    <n v="26.8"/>
    <n v="98.3"/>
    <n v="39.299999999999997"/>
    <n v="19.8"/>
    <n v="1.87"/>
    <n v="61.2"/>
    <n v="25.2"/>
    <n v="98"/>
    <n v="0.1"/>
    <n v="226"/>
    <x v="1"/>
    <s v="Moderate"/>
    <s v="Normal"/>
    <s v="High Humidity"/>
    <s v="Low Wind"/>
  </r>
  <r>
    <s v="AQ101299"/>
    <d v="2025-12-22T00:00:00"/>
    <x v="5"/>
    <x v="4"/>
    <s v="Station-09"/>
    <n v="90.8"/>
    <n v="74.2"/>
    <n v="42.7"/>
    <n v="10.3"/>
    <n v="0.52"/>
    <n v="38.200000000000003"/>
    <n v="15.5"/>
    <n v="69.8"/>
    <n v="3.1"/>
    <n v="265"/>
    <x v="1"/>
    <s v="Moderate"/>
    <s v="Cool"/>
    <s v="High Humidity"/>
    <s v="Moderate Wind"/>
  </r>
  <r>
    <s v="AQ101300"/>
    <d v="2025-10-23T00:00:00"/>
    <x v="1"/>
    <x v="1"/>
    <s v="Station-06"/>
    <n v="69.2"/>
    <n v="102.9"/>
    <n v="60.6"/>
    <n v="8.8000000000000007"/>
    <n v="1.45"/>
    <n v="52"/>
    <n v="24.1"/>
    <n v="66.400000000000006"/>
    <n v="1.6"/>
    <n v="292"/>
    <x v="1"/>
    <s v="Unhealthy"/>
    <s v="Normal"/>
    <s v="High Humidity"/>
    <s v="Low Wind"/>
  </r>
  <r>
    <s v="AQ101301"/>
    <d v="2025-12-12T00:00:00"/>
    <x v="6"/>
    <x v="1"/>
    <s v="Station-01"/>
    <n v="49.9"/>
    <n v="104"/>
    <n v="39.6"/>
    <n v="7.1"/>
    <n v="1.1499999999999999"/>
    <n v="13"/>
    <n v="21.3"/>
    <n v="47.4"/>
    <n v="2.9"/>
    <n v="219"/>
    <x v="1"/>
    <s v="Unhealthy"/>
    <s v="Normal"/>
    <s v="Normal Humidity"/>
    <s v="Moderate Wind"/>
  </r>
  <r>
    <s v="AQ101302"/>
    <d v="2025-09-03T00:00:00"/>
    <x v="0"/>
    <x v="0"/>
    <s v="Station-09"/>
    <n v="50.6"/>
    <n v="136.6"/>
    <n v="26"/>
    <n v="1.1000000000000001"/>
    <n v="0.34"/>
    <n v="34.799999999999997"/>
    <n v="37.700000000000003"/>
    <n v="89.6"/>
    <n v="1.1000000000000001"/>
    <n v="215"/>
    <x v="1"/>
    <s v="Unhealthy"/>
    <s v="Hot"/>
    <s v="High Humidity"/>
    <s v="Low Wind"/>
  </r>
  <r>
    <s v="AQ101303"/>
    <d v="2025-03-28T00:00:00"/>
    <x v="5"/>
    <x v="4"/>
    <s v="Station-10"/>
    <n v="39.799999999999997"/>
    <n v="68.3"/>
    <n v="25.9"/>
    <n v="16.3"/>
    <n v="1.02"/>
    <n v="51.8"/>
    <n v="25.1"/>
    <n v="56.2"/>
    <n v="1.4"/>
    <n v="189"/>
    <x v="2"/>
    <s v="Moderate"/>
    <s v="Normal"/>
    <s v="Normal Humidity"/>
    <s v="Low Wind"/>
  </r>
  <r>
    <s v="AQ101304"/>
    <d v="2025-10-29T00:00:00"/>
    <x v="9"/>
    <x v="0"/>
    <s v="Station-02"/>
    <n v="18.7"/>
    <n v="63"/>
    <n v="11.2"/>
    <n v="5.8"/>
    <n v="0.99"/>
    <n v="25.7"/>
    <n v="34.4"/>
    <n v="42"/>
    <n v="1.6"/>
    <n v="120"/>
    <x v="2"/>
    <s v="Moderate"/>
    <s v="Hot"/>
    <s v="Normal Humidity"/>
    <s v="Low Wind"/>
  </r>
  <r>
    <s v="AQ101305"/>
    <d v="2025-08-19T00:00:00"/>
    <x v="5"/>
    <x v="4"/>
    <s v="Station-06"/>
    <n v="57.9"/>
    <n v="75.900000000000006"/>
    <n v="10.4"/>
    <n v="33.799999999999997"/>
    <n v="1.08"/>
    <n v="70"/>
    <n v="34.299999999999997"/>
    <n v="74.599999999999994"/>
    <n v="2"/>
    <n v="232"/>
    <x v="1"/>
    <s v="Moderate"/>
    <s v="Hot"/>
    <s v="High Humidity"/>
    <s v="Moderate Wind"/>
  </r>
  <r>
    <s v="AQ101306"/>
    <d v="2025-09-24T00:00:00"/>
    <x v="13"/>
    <x v="4"/>
    <s v="Station-04"/>
    <n v="47.1"/>
    <n v="65.900000000000006"/>
    <n v="41.6"/>
    <n v="10.1"/>
    <n v="0.91"/>
    <n v="50.7"/>
    <n v="25.8"/>
    <n v="74.400000000000006"/>
    <n v="3.6"/>
    <n v="204"/>
    <x v="1"/>
    <s v="Moderate"/>
    <s v="Normal"/>
    <s v="High Humidity"/>
    <s v="Moderate Wind"/>
  </r>
  <r>
    <s v="AQ101307"/>
    <d v="2025-04-14T00:00:00"/>
    <x v="0"/>
    <x v="0"/>
    <s v="Station-02"/>
    <n v="58.1"/>
    <n v="161.1"/>
    <n v="33.799999999999997"/>
    <n v="13.9"/>
    <n v="0.45"/>
    <n v="39.9"/>
    <n v="25.8"/>
    <n v="60.3"/>
    <n v="1.4"/>
    <n v="264"/>
    <x v="1"/>
    <s v="VeryUnhealthy"/>
    <s v="Normal"/>
    <s v="High Humidity"/>
    <s v="Low Wind"/>
  </r>
  <r>
    <s v="AQ101308"/>
    <d v="2025-01-31T00:00:00"/>
    <x v="5"/>
    <x v="4"/>
    <s v="Station-05"/>
    <n v="47.3"/>
    <n v="109.1"/>
    <n v="9.6"/>
    <n v="10.1"/>
    <n v="0.71"/>
    <n v="62.5"/>
    <n v="22.9"/>
    <n v="54.8"/>
    <n v="4"/>
    <n v="207"/>
    <x v="1"/>
    <s v="Unhealthy"/>
    <s v="Normal"/>
    <s v="Normal Humidity"/>
    <s v="Moderate Wind"/>
  </r>
  <r>
    <s v="AQ101309"/>
    <d v="2025-12-20T00:00:00"/>
    <x v="13"/>
    <x v="4"/>
    <s v="Station-02"/>
    <n v="55.8"/>
    <n v="21.6"/>
    <n v="34.299999999999997"/>
    <n v="13.8"/>
    <n v="0.5"/>
    <n v="13.3"/>
    <n v="28.8"/>
    <n v="68.8"/>
    <n v="4.4000000000000004"/>
    <n v="159"/>
    <x v="2"/>
    <s v="Good"/>
    <s v="Normal"/>
    <s v="High Humidity"/>
    <s v="Moderate Wind"/>
  </r>
  <r>
    <s v="AQ101310"/>
    <d v="2025-06-22T00:00:00"/>
    <x v="9"/>
    <x v="0"/>
    <s v="Station-08"/>
    <n v="78.8"/>
    <n v="90.5"/>
    <n v="24.6"/>
    <n v="21.9"/>
    <n v="0.32"/>
    <n v="55.7"/>
    <n v="34.299999999999997"/>
    <n v="44.9"/>
    <n v="1.5"/>
    <n v="253"/>
    <x v="1"/>
    <s v="Moderate"/>
    <s v="Hot"/>
    <s v="Normal Humidity"/>
    <s v="Low Wind"/>
  </r>
  <r>
    <s v="AQ101311"/>
    <d v="2025-08-06T00:00:00"/>
    <x v="14"/>
    <x v="3"/>
    <s v="Station-13"/>
    <n v="40.4"/>
    <n v="43.5"/>
    <n v="14.1"/>
    <n v="24.3"/>
    <n v="0.35"/>
    <n v="78.400000000000006"/>
    <n v="26.6"/>
    <n v="88.1"/>
    <n v="2.8"/>
    <n v="165"/>
    <x v="2"/>
    <s v="Good"/>
    <s v="Normal"/>
    <s v="High Humidity"/>
    <s v="Moderate Wind"/>
  </r>
  <r>
    <s v="AQ101312"/>
    <d v="2025-01-23T00:00:00"/>
    <x v="14"/>
    <x v="3"/>
    <s v="Station-02"/>
    <n v="20.7"/>
    <n v="34.1"/>
    <n v="33.200000000000003"/>
    <n v="11.1"/>
    <n v="0.81"/>
    <n v="16.8"/>
    <n v="22.9"/>
    <n v="71"/>
    <n v="1.4"/>
    <n v="117"/>
    <x v="2"/>
    <s v="Good"/>
    <s v="Normal"/>
    <s v="High Humidity"/>
    <s v="Low Wind"/>
  </r>
  <r>
    <s v="AQ101313"/>
    <d v="2025-11-13T00:00:00"/>
    <x v="9"/>
    <x v="0"/>
    <s v="Station-12"/>
    <n v="24.4"/>
    <n v="145.30000000000001"/>
    <n v="15.8"/>
    <n v="27.4"/>
    <n v="0.33"/>
    <n v="18.5"/>
    <n v="37.799999999999997"/>
    <n v="87.6"/>
    <n v="1.9"/>
    <n v="182"/>
    <x v="2"/>
    <s v="Unhealthy"/>
    <s v="Hot"/>
    <s v="High Humidity"/>
    <s v="Low Wind"/>
  </r>
  <r>
    <s v="AQ101314"/>
    <d v="2025-04-15T00:00:00"/>
    <x v="9"/>
    <x v="0"/>
    <s v="Station-15"/>
    <n v="19.8"/>
    <n v="116.1"/>
    <n v="30.7"/>
    <n v="4.4000000000000004"/>
    <n v="0.47"/>
    <n v="25.9"/>
    <n v="15.6"/>
    <n v="51.4"/>
    <n v="1"/>
    <n v="158"/>
    <x v="2"/>
    <s v="Unhealthy"/>
    <s v="Cool"/>
    <s v="Normal Humidity"/>
    <s v="Low Wind"/>
  </r>
  <r>
    <s v="AQ101315"/>
    <d v="2025-01-05T00:00:00"/>
    <x v="11"/>
    <x v="0"/>
    <s v="Station-03"/>
    <n v="49.1"/>
    <n v="97.6"/>
    <n v="27.3"/>
    <n v="12.1"/>
    <n v="1.34"/>
    <n v="43.2"/>
    <n v="34.4"/>
    <n v="73.900000000000006"/>
    <n v="2.4"/>
    <n v="225"/>
    <x v="1"/>
    <s v="Moderate"/>
    <s v="Hot"/>
    <s v="High Humidity"/>
    <s v="Moderate Wind"/>
  </r>
  <r>
    <s v="AQ101316"/>
    <d v="2025-04-13T00:00:00"/>
    <x v="9"/>
    <x v="0"/>
    <s v="Station-14"/>
    <n v="36"/>
    <n v="41"/>
    <n v="8.1999999999999993"/>
    <n v="20.100000000000001"/>
    <n v="0.51"/>
    <n v="79.8"/>
    <n v="36.9"/>
    <n v="67.099999999999994"/>
    <n v="2.6"/>
    <n v="154"/>
    <x v="2"/>
    <s v="Good"/>
    <s v="Hot"/>
    <s v="High Humidity"/>
    <s v="Moderate Wind"/>
  </r>
  <r>
    <s v="AQ101317"/>
    <d v="2025-02-26T00:00:00"/>
    <x v="2"/>
    <x v="1"/>
    <s v="Station-15"/>
    <n v="21.3"/>
    <n v="96.6"/>
    <n v="19.600000000000001"/>
    <n v="7.9"/>
    <n v="1.92"/>
    <n v="19.7"/>
    <n v="27.1"/>
    <n v="62.5"/>
    <n v="2.4"/>
    <n v="175"/>
    <x v="2"/>
    <s v="Moderate"/>
    <s v="Normal"/>
    <s v="High Humidity"/>
    <s v="Moderate Wind"/>
  </r>
  <r>
    <s v="AQ101318"/>
    <d v="2025-06-20T00:00:00"/>
    <x v="11"/>
    <x v="0"/>
    <s v="Station-06"/>
    <n v="39.6"/>
    <n v="87.9"/>
    <n v="31.8"/>
    <n v="12.5"/>
    <n v="0.66"/>
    <n v="40.200000000000003"/>
    <n v="17.399999999999999"/>
    <n v="56.3"/>
    <n v="2.7"/>
    <n v="189"/>
    <x v="2"/>
    <s v="Moderate"/>
    <s v="Cool"/>
    <s v="Normal Humidity"/>
    <s v="Moderate Wind"/>
  </r>
  <r>
    <s v="AQ101319"/>
    <d v="2025-08-30T00:00:00"/>
    <x v="1"/>
    <x v="1"/>
    <s v="Station-01"/>
    <n v="10.1"/>
    <n v="22.8"/>
    <n v="47.5"/>
    <n v="2.7"/>
    <n v="1.58"/>
    <n v="37.6"/>
    <n v="25.4"/>
    <n v="70.900000000000006"/>
    <n v="1.7"/>
    <n v="127"/>
    <x v="2"/>
    <s v="Good"/>
    <s v="Normal"/>
    <s v="High Humidity"/>
    <s v="Low Wind"/>
  </r>
  <r>
    <s v="AQ101320"/>
    <d v="2025-05-01T00:00:00"/>
    <x v="9"/>
    <x v="0"/>
    <s v="Station-13"/>
    <n v="29.5"/>
    <n v="44.5"/>
    <n v="25.6"/>
    <n v="7.1"/>
    <n v="0.67"/>
    <n v="56.5"/>
    <n v="33.799999999999997"/>
    <n v="57.7"/>
    <n v="0.9"/>
    <n v="144"/>
    <x v="2"/>
    <s v="Good"/>
    <s v="Hot"/>
    <s v="Normal Humidity"/>
    <s v="Low Wind"/>
  </r>
  <r>
    <s v="AQ101321"/>
    <d v="2025-03-06T00:00:00"/>
    <x v="8"/>
    <x v="2"/>
    <s v="Station-01"/>
    <n v="76.099999999999994"/>
    <n v="87.1"/>
    <n v="42.7"/>
    <n v="13.2"/>
    <n v="0.26"/>
    <n v="46.9"/>
    <n v="37.799999999999997"/>
    <n v="56.6"/>
    <n v="2.7"/>
    <n v="249"/>
    <x v="1"/>
    <s v="Moderate"/>
    <s v="Hot"/>
    <s v="Normal Humidity"/>
    <s v="Moderate Wind"/>
  </r>
  <r>
    <s v="AQ101322"/>
    <d v="2025-03-26T00:00:00"/>
    <x v="13"/>
    <x v="4"/>
    <s v="Station-08"/>
    <n v="95"/>
    <n v="94.3"/>
    <n v="11.2"/>
    <n v="5.2"/>
    <n v="0.12"/>
    <n v="30.1"/>
    <n v="32.799999999999997"/>
    <n v="63.1"/>
    <n v="1"/>
    <n v="242"/>
    <x v="1"/>
    <s v="Moderate"/>
    <s v="Hot"/>
    <s v="High Humidity"/>
    <s v="Low Wind"/>
  </r>
  <r>
    <s v="AQ101323"/>
    <d v="2025-02-26T00:00:00"/>
    <x v="5"/>
    <x v="4"/>
    <s v="Station-05"/>
    <n v="39.5"/>
    <n v="100.7"/>
    <n v="34.299999999999997"/>
    <n v="43.9"/>
    <n v="0.51"/>
    <n v="8.1"/>
    <n v="29.9"/>
    <n v="59.9"/>
    <n v="2.1"/>
    <n v="203"/>
    <x v="1"/>
    <s v="Unhealthy"/>
    <s v="Normal"/>
    <s v="Normal Humidity"/>
    <s v="Moderate Wind"/>
  </r>
  <r>
    <s v="AQ101324"/>
    <d v="2025-11-10T00:00:00"/>
    <x v="3"/>
    <x v="2"/>
    <s v="Station-04"/>
    <n v="19.100000000000001"/>
    <n v="72.3"/>
    <n v="17"/>
    <n v="2.8"/>
    <n v="1"/>
    <n v="54.1"/>
    <n v="23.6"/>
    <n v="83.4"/>
    <n v="3.2"/>
    <n v="142"/>
    <x v="2"/>
    <s v="Moderate"/>
    <s v="Normal"/>
    <s v="High Humidity"/>
    <s v="Moderate Wind"/>
  </r>
  <r>
    <s v="AQ101325"/>
    <d v="2025-07-07T00:00:00"/>
    <x v="3"/>
    <x v="2"/>
    <s v="Station-07"/>
    <n v="83.4"/>
    <n v="91.2"/>
    <n v="45.5"/>
    <n v="11.5"/>
    <n v="1.37"/>
    <n v="44.2"/>
    <n v="23.3"/>
    <n v="64.599999999999994"/>
    <n v="3.2"/>
    <n v="291"/>
    <x v="1"/>
    <s v="Moderate"/>
    <s v="Normal"/>
    <s v="High Humidity"/>
    <s v="Moderate Wind"/>
  </r>
  <r>
    <s v="AQ101326"/>
    <d v="2025-01-20T00:00:00"/>
    <x v="13"/>
    <x v="4"/>
    <s v="Station-09"/>
    <n v="54"/>
    <n v="39.9"/>
    <n v="50.5"/>
    <n v="20.8"/>
    <n v="0.28999999999999998"/>
    <n v="26"/>
    <n v="30.8"/>
    <n v="85.1"/>
    <n v="2.8"/>
    <n v="186"/>
    <x v="2"/>
    <s v="Good"/>
    <s v="Hot"/>
    <s v="High Humidity"/>
    <s v="Moderate Wind"/>
  </r>
  <r>
    <s v="AQ101327"/>
    <d v="2025-06-02T00:00:00"/>
    <x v="6"/>
    <x v="1"/>
    <s v="Station-03"/>
    <n v="83.1"/>
    <n v="122.5"/>
    <n v="72.400000000000006"/>
    <n v="3.8"/>
    <n v="0.52"/>
    <n v="32.200000000000003"/>
    <n v="36"/>
    <n v="59.5"/>
    <n v="3.1"/>
    <n v="301"/>
    <x v="0"/>
    <s v="Unhealthy"/>
    <s v="Hot"/>
    <s v="Normal Humidity"/>
    <s v="Moderate Wind"/>
  </r>
  <r>
    <s v="AQ101328"/>
    <d v="2025-06-18T00:00:00"/>
    <x v="10"/>
    <x v="3"/>
    <s v="Station-03"/>
    <n v="38.9"/>
    <n v="113"/>
    <n v="60.3"/>
    <n v="24"/>
    <n v="0.89"/>
    <n v="54.8"/>
    <n v="23.1"/>
    <n v="45.3"/>
    <n v="0.6"/>
    <n v="248"/>
    <x v="1"/>
    <s v="Unhealthy"/>
    <s v="Normal"/>
    <s v="Normal Humidity"/>
    <s v="Low Wind"/>
  </r>
  <r>
    <s v="AQ101329"/>
    <d v="2025-09-18T00:00:00"/>
    <x v="1"/>
    <x v="1"/>
    <s v="Station-15"/>
    <n v="48.6"/>
    <n v="96.9"/>
    <n v="19.3"/>
    <n v="17.5"/>
    <n v="0.61"/>
    <n v="53.8"/>
    <n v="25.7"/>
    <n v="76.8"/>
    <n v="2.8"/>
    <n v="208"/>
    <x v="1"/>
    <s v="Moderate"/>
    <s v="Normal"/>
    <s v="High Humidity"/>
    <s v="Moderate Wind"/>
  </r>
  <r>
    <s v="AQ101330"/>
    <d v="2025-08-24T00:00:00"/>
    <x v="11"/>
    <x v="0"/>
    <s v="Station-10"/>
    <n v="36.6"/>
    <n v="50.3"/>
    <n v="3.4"/>
    <n v="17.2"/>
    <n v="0.8"/>
    <n v="53"/>
    <n v="31.6"/>
    <n v="56.4"/>
    <n v="2.4"/>
    <n v="150"/>
    <x v="2"/>
    <s v="Moderate"/>
    <s v="Hot"/>
    <s v="Normal Humidity"/>
    <s v="Moderate Wind"/>
  </r>
  <r>
    <s v="AQ101331"/>
    <d v="2025-09-21T00:00:00"/>
    <x v="0"/>
    <x v="0"/>
    <s v="Station-11"/>
    <n v="65"/>
    <n v="90.1"/>
    <n v="32.9"/>
    <n v="23.2"/>
    <n v="1.6"/>
    <n v="31.1"/>
    <n v="25.1"/>
    <n v="45"/>
    <n v="2.6"/>
    <n v="259"/>
    <x v="1"/>
    <s v="Moderate"/>
    <s v="Normal"/>
    <s v="Normal Humidity"/>
    <s v="Moderate Wind"/>
  </r>
  <r>
    <s v="AQ101332"/>
    <d v="2025-03-11T00:00:00"/>
    <x v="2"/>
    <x v="1"/>
    <s v="Station-13"/>
    <n v="91.8"/>
    <n v="89.6"/>
    <n v="29.8"/>
    <n v="13.9"/>
    <n v="0.76"/>
    <n v="9.8000000000000007"/>
    <n v="36.4"/>
    <n v="98"/>
    <n v="1.6"/>
    <n v="262"/>
    <x v="1"/>
    <s v="Moderate"/>
    <s v="Hot"/>
    <s v="High Humidity"/>
    <s v="Low Wind"/>
  </r>
  <r>
    <s v="AQ101333"/>
    <d v="2025-01-07T00:00:00"/>
    <x v="12"/>
    <x v="4"/>
    <s v="Station-03"/>
    <n v="19.899999999999999"/>
    <n v="39.799999999999997"/>
    <n v="64.8"/>
    <n v="14.7"/>
    <n v="0.25"/>
    <n v="35.799999999999997"/>
    <n v="33.1"/>
    <n v="70.099999999999994"/>
    <n v="2.2999999999999998"/>
    <n v="142"/>
    <x v="2"/>
    <s v="Good"/>
    <s v="Hot"/>
    <s v="High Humidity"/>
    <s v="Moderate Wind"/>
  </r>
  <r>
    <s v="AQ101334"/>
    <d v="2025-06-16T00:00:00"/>
    <x v="10"/>
    <x v="3"/>
    <s v="Station-01"/>
    <n v="14"/>
    <n v="126.1"/>
    <n v="21.4"/>
    <n v="14.3"/>
    <n v="1.35"/>
    <n v="61.2"/>
    <n v="18.899999999999999"/>
    <n v="53.7"/>
    <n v="1.3"/>
    <n v="193"/>
    <x v="2"/>
    <s v="Unhealthy"/>
    <s v="Cool"/>
    <s v="Normal Humidity"/>
    <s v="Low Wind"/>
  </r>
  <r>
    <s v="AQ101335"/>
    <d v="2025-04-29T00:00:00"/>
    <x v="13"/>
    <x v="4"/>
    <s v="Station-07"/>
    <n v="79.3"/>
    <n v="133.69999999999999"/>
    <n v="25.7"/>
    <n v="6"/>
    <n v="0.31"/>
    <n v="22.9"/>
    <n v="29.8"/>
    <n v="67.5"/>
    <n v="1.3"/>
    <n v="257"/>
    <x v="1"/>
    <s v="Unhealthy"/>
    <s v="Normal"/>
    <s v="High Humidity"/>
    <s v="Low Wind"/>
  </r>
  <r>
    <s v="AQ101336"/>
    <d v="2025-05-05T00:00:00"/>
    <x v="9"/>
    <x v="0"/>
    <s v="Station-02"/>
    <n v="59.4"/>
    <n v="123.8"/>
    <n v="24.7"/>
    <n v="11"/>
    <n v="0.51"/>
    <n v="38.200000000000003"/>
    <n v="34.6"/>
    <n v="83.1"/>
    <n v="0.8"/>
    <n v="233"/>
    <x v="1"/>
    <s v="Unhealthy"/>
    <s v="Hot"/>
    <s v="High Humidity"/>
    <s v="Low Wind"/>
  </r>
  <r>
    <s v="AQ101337"/>
    <d v="2025-11-26T00:00:00"/>
    <x v="12"/>
    <x v="4"/>
    <s v="Station-04"/>
    <n v="37.299999999999997"/>
    <n v="104.1"/>
    <n v="44.4"/>
    <n v="3.7"/>
    <n v="1.24"/>
    <n v="43.6"/>
    <n v="34.200000000000003"/>
    <n v="70.900000000000006"/>
    <n v="1.6"/>
    <n v="216"/>
    <x v="1"/>
    <s v="Unhealthy"/>
    <s v="Hot"/>
    <s v="High Humidity"/>
    <s v="Low Wind"/>
  </r>
  <r>
    <s v="AQ101338"/>
    <d v="2025-11-11T00:00:00"/>
    <x v="11"/>
    <x v="0"/>
    <s v="Station-04"/>
    <n v="46.6"/>
    <n v="156.30000000000001"/>
    <n v="33.299999999999997"/>
    <n v="3.1"/>
    <n v="1.76"/>
    <n v="18.2"/>
    <n v="32"/>
    <n v="73"/>
    <n v="1.1000000000000001"/>
    <n v="257"/>
    <x v="1"/>
    <s v="VeryUnhealthy"/>
    <s v="Hot"/>
    <s v="High Humidity"/>
    <s v="Low Wind"/>
  </r>
  <r>
    <s v="AQ101339"/>
    <d v="2025-10-12T00:00:00"/>
    <x v="4"/>
    <x v="3"/>
    <s v="Station-03"/>
    <n v="27.3"/>
    <n v="144"/>
    <n v="24.9"/>
    <n v="11.9"/>
    <n v="1.77"/>
    <n v="48.2"/>
    <n v="19.899999999999999"/>
    <n v="61.9"/>
    <n v="0.9"/>
    <n v="231"/>
    <x v="1"/>
    <s v="Unhealthy"/>
    <s v="Cool"/>
    <s v="High Humidity"/>
    <s v="Low Wind"/>
  </r>
  <r>
    <s v="AQ101340"/>
    <d v="2025-01-19T00:00:00"/>
    <x v="10"/>
    <x v="3"/>
    <s v="Station-03"/>
    <n v="17.3"/>
    <n v="76.3"/>
    <n v="38.200000000000003"/>
    <n v="8"/>
    <n v="0.39"/>
    <n v="41.8"/>
    <n v="14.8"/>
    <n v="94.6"/>
    <n v="3"/>
    <n v="142"/>
    <x v="2"/>
    <s v="Moderate"/>
    <s v="Cool"/>
    <s v="High Humidity"/>
    <s v="Moderate Wind"/>
  </r>
  <r>
    <s v="AQ101341"/>
    <d v="2025-03-17T00:00:00"/>
    <x v="0"/>
    <x v="0"/>
    <s v="Station-15"/>
    <n v="82.8"/>
    <n v="79.400000000000006"/>
    <n v="54.3"/>
    <n v="3.7"/>
    <n v="1.07"/>
    <n v="19.2"/>
    <n v="33.200000000000003"/>
    <n v="55.8"/>
    <n v="2.7"/>
    <n v="266"/>
    <x v="1"/>
    <s v="Moderate"/>
    <s v="Hot"/>
    <s v="Normal Humidity"/>
    <s v="Moderate Wind"/>
  </r>
  <r>
    <s v="AQ101342"/>
    <d v="2025-01-23T00:00:00"/>
    <x v="11"/>
    <x v="0"/>
    <s v="Station-02"/>
    <n v="50.8"/>
    <n v="46.4"/>
    <n v="13.7"/>
    <n v="29.1"/>
    <n v="1.73"/>
    <n v="8.6"/>
    <n v="38.6"/>
    <n v="64.7"/>
    <n v="1.2"/>
    <n v="190"/>
    <x v="2"/>
    <s v="Good"/>
    <s v="Hot"/>
    <s v="High Humidity"/>
    <s v="Low Wind"/>
  </r>
  <r>
    <s v="AQ101343"/>
    <d v="2025-04-10T00:00:00"/>
    <x v="3"/>
    <x v="2"/>
    <s v="Station-04"/>
    <n v="92.7"/>
    <n v="77.3"/>
    <n v="6.8"/>
    <n v="7"/>
    <n v="0.65"/>
    <n v="21.8"/>
    <n v="30.2"/>
    <n v="78.099999999999994"/>
    <n v="2.5"/>
    <n v="235"/>
    <x v="1"/>
    <s v="Moderate"/>
    <s v="Hot"/>
    <s v="High Humidity"/>
    <s v="Moderate Wind"/>
  </r>
  <r>
    <s v="AQ101344"/>
    <d v="2025-06-21T00:00:00"/>
    <x v="0"/>
    <x v="0"/>
    <s v="Station-12"/>
    <n v="15"/>
    <n v="55.3"/>
    <n v="24.2"/>
    <n v="11.5"/>
    <n v="1.1599999999999999"/>
    <n v="25.4"/>
    <n v="22.4"/>
    <n v="80.599999999999994"/>
    <n v="1.5"/>
    <n v="128"/>
    <x v="2"/>
    <s v="Moderate"/>
    <s v="Normal"/>
    <s v="High Humidity"/>
    <s v="Low Wind"/>
  </r>
  <r>
    <s v="AQ101345"/>
    <d v="2025-04-18T00:00:00"/>
    <x v="15"/>
    <x v="3"/>
    <s v="Station-04"/>
    <n v="95.6"/>
    <n v="97.4"/>
    <n v="16.8"/>
    <n v="13.9"/>
    <n v="0.91"/>
    <n v="110.8"/>
    <n v="27.6"/>
    <n v="51.7"/>
    <n v="2.1"/>
    <n v="312"/>
    <x v="0"/>
    <s v="Moderate"/>
    <s v="Normal"/>
    <s v="Normal Humidity"/>
    <s v="Moderate Wind"/>
  </r>
  <r>
    <s v="AQ101346"/>
    <d v="2025-09-16T00:00:00"/>
    <x v="7"/>
    <x v="2"/>
    <s v="Station-04"/>
    <n v="40.6"/>
    <n v="42.6"/>
    <n v="5.2"/>
    <n v="6.5"/>
    <n v="0.88"/>
    <n v="31.5"/>
    <n v="19.8"/>
    <n v="80.400000000000006"/>
    <n v="2.5"/>
    <n v="138"/>
    <x v="2"/>
    <s v="Good"/>
    <s v="Cool"/>
    <s v="High Humidity"/>
    <s v="Moderate Wind"/>
  </r>
  <r>
    <s v="AQ101347"/>
    <d v="2025-02-02T00:00:00"/>
    <x v="1"/>
    <x v="1"/>
    <s v="Station-05"/>
    <n v="33.200000000000003"/>
    <n v="114.6"/>
    <n v="36.200000000000003"/>
    <n v="7.2"/>
    <n v="1.06"/>
    <n v="12.6"/>
    <n v="20.399999999999999"/>
    <n v="87.8"/>
    <n v="2.4"/>
    <n v="194"/>
    <x v="2"/>
    <s v="Unhealthy"/>
    <s v="Normal"/>
    <s v="High Humidity"/>
    <s v="Moderate Wind"/>
  </r>
  <r>
    <s v="AQ101348"/>
    <d v="2025-11-15T00:00:00"/>
    <x v="12"/>
    <x v="4"/>
    <s v="Station-12"/>
    <n v="34.6"/>
    <n v="138.5"/>
    <n v="45"/>
    <n v="11.2"/>
    <n v="0.42"/>
    <n v="12.3"/>
    <n v="34.700000000000003"/>
    <n v="43.7"/>
    <n v="1.4"/>
    <n v="205"/>
    <x v="1"/>
    <s v="Unhealthy"/>
    <s v="Hot"/>
    <s v="Normal Humidity"/>
    <s v="Low Wind"/>
  </r>
  <r>
    <s v="AQ101349"/>
    <d v="2025-02-15T00:00:00"/>
    <x v="8"/>
    <x v="2"/>
    <s v="Station-14"/>
    <n v="40"/>
    <n v="113.1"/>
    <n v="34.1"/>
    <n v="19.399999999999999"/>
    <n v="1.03"/>
    <n v="41.1"/>
    <n v="12.8"/>
    <n v="48.1"/>
    <n v="3"/>
    <n v="223"/>
    <x v="1"/>
    <s v="Unhealthy"/>
    <s v="Cool"/>
    <s v="Normal Humidity"/>
    <s v="Moderate Wind"/>
  </r>
  <r>
    <s v="AQ101350"/>
    <d v="2025-07-05T00:00:00"/>
    <x v="15"/>
    <x v="3"/>
    <s v="Station-05"/>
    <n v="42.7"/>
    <n v="76"/>
    <n v="15.1"/>
    <n v="11.2"/>
    <n v="1.06"/>
    <n v="46.5"/>
    <n v="28.9"/>
    <n v="32.9"/>
    <n v="2.1"/>
    <n v="185"/>
    <x v="2"/>
    <s v="Moderate"/>
    <s v="Normal"/>
    <s v="Normal Humidity"/>
    <s v="Moderate Wind"/>
  </r>
  <r>
    <s v="AQ101351"/>
    <d v="2025-08-07T00:00:00"/>
    <x v="10"/>
    <x v="3"/>
    <s v="Station-13"/>
    <n v="31.5"/>
    <n v="37.6"/>
    <n v="48.2"/>
    <n v="5.5"/>
    <n v="1.08"/>
    <n v="36.299999999999997"/>
    <n v="36.299999999999997"/>
    <n v="91.1"/>
    <n v="1.7"/>
    <n v="161"/>
    <x v="2"/>
    <s v="Good"/>
    <s v="Hot"/>
    <s v="High Humidity"/>
    <s v="Low Wind"/>
  </r>
  <r>
    <s v="AQ101352"/>
    <d v="2025-12-19T00:00:00"/>
    <x v="2"/>
    <x v="1"/>
    <s v="Station-07"/>
    <n v="37.799999999999997"/>
    <n v="131.80000000000001"/>
    <n v="5.0999999999999996"/>
    <n v="3.2"/>
    <n v="0.57999999999999996"/>
    <n v="32.799999999999997"/>
    <n v="17"/>
    <n v="59.8"/>
    <n v="0.2"/>
    <n v="182"/>
    <x v="2"/>
    <s v="Unhealthy"/>
    <s v="Cool"/>
    <s v="Normal Humidity"/>
    <s v="Low Wind"/>
  </r>
  <r>
    <s v="AQ101353"/>
    <d v="2025-01-07T00:00:00"/>
    <x v="5"/>
    <x v="4"/>
    <s v="Station-11"/>
    <n v="21.6"/>
    <n v="72.599999999999994"/>
    <n v="10"/>
    <n v="13.7"/>
    <n v="1.17"/>
    <n v="10.8"/>
    <n v="35.799999999999997"/>
    <n v="84"/>
    <n v="1.4"/>
    <n v="133"/>
    <x v="2"/>
    <s v="Moderate"/>
    <s v="Hot"/>
    <s v="High Humidity"/>
    <s v="Low Wind"/>
  </r>
  <r>
    <s v="AQ101354"/>
    <d v="2025-09-02T00:00:00"/>
    <x v="4"/>
    <x v="3"/>
    <s v="Station-12"/>
    <n v="40.299999999999997"/>
    <n v="36.4"/>
    <n v="54.5"/>
    <n v="3.4"/>
    <n v="1.73"/>
    <n v="44.7"/>
    <n v="23.1"/>
    <n v="55.8"/>
    <n v="2.8"/>
    <n v="197"/>
    <x v="2"/>
    <s v="Good"/>
    <s v="Normal"/>
    <s v="Normal Humidity"/>
    <s v="Moderate Wind"/>
  </r>
  <r>
    <s v="AQ101355"/>
    <d v="2025-11-10T00:00:00"/>
    <x v="3"/>
    <x v="2"/>
    <s v="Station-08"/>
    <n v="49.2"/>
    <n v="79.2"/>
    <n v="33.9"/>
    <n v="2.2999999999999998"/>
    <n v="0.78"/>
    <n v="5.9"/>
    <n v="17.3"/>
    <n v="74.900000000000006"/>
    <n v="2.6"/>
    <n v="181"/>
    <x v="2"/>
    <s v="Moderate"/>
    <s v="Cool"/>
    <s v="High Humidity"/>
    <s v="Moderate Wind"/>
  </r>
  <r>
    <s v="AQ101356"/>
    <d v="2025-12-14T00:00:00"/>
    <x v="4"/>
    <x v="3"/>
    <s v="Station-14"/>
    <n v="34.1"/>
    <n v="77.3"/>
    <n v="42.4"/>
    <n v="5"/>
    <n v="0.77"/>
    <n v="48.6"/>
    <n v="38.700000000000003"/>
    <n v="56.8"/>
    <n v="3.1"/>
    <n v="183"/>
    <x v="2"/>
    <s v="Moderate"/>
    <s v="Hot"/>
    <s v="Normal Humidity"/>
    <s v="Moderate Wind"/>
  </r>
  <r>
    <s v="AQ101357"/>
    <d v="2025-10-14T00:00:00"/>
    <x v="8"/>
    <x v="2"/>
    <s v="Station-01"/>
    <n v="48.3"/>
    <n v="100.7"/>
    <n v="44.9"/>
    <n v="18.899999999999999"/>
    <n v="0.61"/>
    <n v="6"/>
    <n v="21.8"/>
    <n v="59.7"/>
    <n v="1"/>
    <n v="210"/>
    <x v="1"/>
    <s v="Unhealthy"/>
    <s v="Normal"/>
    <s v="Normal Humidity"/>
    <s v="Low Wind"/>
  </r>
  <r>
    <s v="AQ101358"/>
    <d v="2025-11-09T00:00:00"/>
    <x v="6"/>
    <x v="1"/>
    <s v="Station-07"/>
    <n v="28.9"/>
    <n v="59.1"/>
    <n v="32.6"/>
    <n v="3.5"/>
    <n v="0.78"/>
    <n v="11.1"/>
    <n v="28.4"/>
    <n v="75.400000000000006"/>
    <n v="2.2000000000000002"/>
    <n v="138"/>
    <x v="2"/>
    <s v="Moderate"/>
    <s v="Normal"/>
    <s v="High Humidity"/>
    <s v="Moderate Wind"/>
  </r>
  <r>
    <s v="AQ101359"/>
    <d v="2025-01-05T00:00:00"/>
    <x v="11"/>
    <x v="0"/>
    <s v="Station-05"/>
    <n v="23.6"/>
    <n v="90.4"/>
    <n v="9.6999999999999993"/>
    <n v="8.6"/>
    <n v="0.14000000000000001"/>
    <n v="24.1"/>
    <n v="26.7"/>
    <n v="61.2"/>
    <n v="3"/>
    <n v="125"/>
    <x v="2"/>
    <s v="Moderate"/>
    <s v="Normal"/>
    <s v="High Humidity"/>
    <s v="Moderate Wind"/>
  </r>
  <r>
    <s v="AQ101360"/>
    <d v="2025-11-23T00:00:00"/>
    <x v="6"/>
    <x v="1"/>
    <s v="Station-06"/>
    <n v="15.4"/>
    <n v="29.1"/>
    <n v="18.2"/>
    <n v="11.3"/>
    <n v="1.26"/>
    <n v="18.399999999999999"/>
    <n v="24.3"/>
    <n v="59.1"/>
    <n v="1.7"/>
    <n v="106"/>
    <x v="2"/>
    <s v="Good"/>
    <s v="Normal"/>
    <s v="Normal Humidity"/>
    <s v="Low Wind"/>
  </r>
  <r>
    <s v="AQ101361"/>
    <d v="2025-04-29T00:00:00"/>
    <x v="4"/>
    <x v="3"/>
    <s v="Station-06"/>
    <n v="43.6"/>
    <n v="88.3"/>
    <n v="19"/>
    <n v="1.5"/>
    <n v="0.44"/>
    <n v="23.2"/>
    <n v="33.4"/>
    <n v="64.599999999999994"/>
    <n v="2.5"/>
    <n v="165"/>
    <x v="2"/>
    <s v="Moderate"/>
    <s v="Hot"/>
    <s v="High Humidity"/>
    <s v="Moderate Wind"/>
  </r>
  <r>
    <s v="AQ101362"/>
    <d v="2025-01-12T00:00:00"/>
    <x v="10"/>
    <x v="3"/>
    <s v="Station-10"/>
    <n v="110.4"/>
    <n v="110.6"/>
    <n v="15.5"/>
    <n v="23.8"/>
    <n v="0.16"/>
    <n v="16.899999999999999"/>
    <n v="28.5"/>
    <n v="54.7"/>
    <n v="1"/>
    <n v="289"/>
    <x v="1"/>
    <s v="Unhealthy"/>
    <s v="Normal"/>
    <s v="Normal Humidity"/>
    <s v="Low Wind"/>
  </r>
  <r>
    <s v="AQ101363"/>
    <d v="2025-01-01T00:00:00"/>
    <x v="7"/>
    <x v="2"/>
    <s v="Station-12"/>
    <n v="86.7"/>
    <n v="58.2"/>
    <n v="35.200000000000003"/>
    <n v="20.7"/>
    <n v="0.03"/>
    <n v="49.9"/>
    <n v="41.3"/>
    <n v="83.7"/>
    <n v="1.7"/>
    <n v="242"/>
    <x v="1"/>
    <s v="Moderate"/>
    <s v="Hot"/>
    <s v="High Humidity"/>
    <s v="Low Wind"/>
  </r>
  <r>
    <s v="AQ101364"/>
    <d v="2025-11-18T00:00:00"/>
    <x v="5"/>
    <x v="4"/>
    <s v="Station-04"/>
    <n v="114.7"/>
    <n v="140.9"/>
    <n v="26.5"/>
    <n v="13.5"/>
    <n v="0.97"/>
    <n v="58.1"/>
    <n v="21.6"/>
    <n v="57.7"/>
    <n v="2.8"/>
    <n v="356"/>
    <x v="0"/>
    <s v="Unhealthy"/>
    <s v="Normal"/>
    <s v="Normal Humidity"/>
    <s v="Moderate Wind"/>
  </r>
  <r>
    <s v="AQ101365"/>
    <d v="2025-05-22T00:00:00"/>
    <x v="7"/>
    <x v="2"/>
    <s v="Station-05"/>
    <n v="62.9"/>
    <n v="18.2"/>
    <n v="48"/>
    <n v="14.9"/>
    <n v="1.24"/>
    <n v="38.299999999999997"/>
    <n v="23.3"/>
    <n v="55.3"/>
    <n v="2.8"/>
    <n v="210"/>
    <x v="1"/>
    <s v="Good"/>
    <s v="Normal"/>
    <s v="Normal Humidity"/>
    <s v="Moderate Wind"/>
  </r>
  <r>
    <s v="AQ101366"/>
    <d v="2025-08-29T00:00:00"/>
    <x v="7"/>
    <x v="2"/>
    <s v="Station-04"/>
    <n v="26.5"/>
    <n v="74"/>
    <n v="16.3"/>
    <n v="8"/>
    <n v="0.41"/>
    <n v="40.4"/>
    <n v="21.6"/>
    <n v="39.5"/>
    <n v="3"/>
    <n v="138"/>
    <x v="2"/>
    <s v="Moderate"/>
    <s v="Normal"/>
    <s v="Normal Humidity"/>
    <s v="Moderate Wind"/>
  </r>
  <r>
    <s v="AQ101367"/>
    <d v="2025-07-16T00:00:00"/>
    <x v="3"/>
    <x v="2"/>
    <s v="Station-14"/>
    <n v="58.2"/>
    <n v="60.1"/>
    <n v="36.200000000000003"/>
    <n v="3.3"/>
    <n v="0.45"/>
    <n v="22.7"/>
    <n v="23.6"/>
    <n v="66.099999999999994"/>
    <n v="4.4000000000000004"/>
    <n v="185"/>
    <x v="2"/>
    <s v="Moderate"/>
    <s v="Normal"/>
    <s v="High Humidity"/>
    <s v="Moderate Wind"/>
  </r>
  <r>
    <s v="AQ101368"/>
    <d v="2025-02-22T00:00:00"/>
    <x v="12"/>
    <x v="4"/>
    <s v="Station-03"/>
    <n v="57.5"/>
    <n v="70.900000000000006"/>
    <n v="47.2"/>
    <n v="4.5999999999999996"/>
    <n v="0.04"/>
    <n v="5.2"/>
    <n v="20.3"/>
    <n v="74.2"/>
    <n v="2.2000000000000002"/>
    <n v="182"/>
    <x v="2"/>
    <s v="Moderate"/>
    <s v="Normal"/>
    <s v="High Humidity"/>
    <s v="Moderate Wind"/>
  </r>
  <r>
    <s v="AQ101369"/>
    <d v="2025-12-02T00:00:00"/>
    <x v="13"/>
    <x v="4"/>
    <s v="Station-14"/>
    <n v="28.1"/>
    <n v="60.1"/>
    <n v="4.5999999999999996"/>
    <n v="30.3"/>
    <n v="1.18"/>
    <n v="24.7"/>
    <n v="29"/>
    <n v="83.2"/>
    <n v="2"/>
    <n v="150"/>
    <x v="2"/>
    <s v="Moderate"/>
    <s v="Normal"/>
    <s v="High Humidity"/>
    <s v="Moderate Wind"/>
  </r>
  <r>
    <s v="AQ101370"/>
    <d v="2025-01-31T00:00:00"/>
    <x v="13"/>
    <x v="4"/>
    <s v="Station-05"/>
    <n v="24.5"/>
    <n v="30.5"/>
    <n v="27.4"/>
    <n v="13.6"/>
    <n v="0.74"/>
    <n v="26.3"/>
    <n v="26.1"/>
    <n v="27.1"/>
    <n v="4.5999999999999996"/>
    <n v="121"/>
    <x v="2"/>
    <s v="Good"/>
    <s v="Normal"/>
    <s v="Low Humidity"/>
    <s v="Moderate Wind"/>
  </r>
  <r>
    <s v="AQ101371"/>
    <d v="2025-01-17T00:00:00"/>
    <x v="7"/>
    <x v="2"/>
    <s v="Station-12"/>
    <n v="14.3"/>
    <n v="55.4"/>
    <n v="67.3"/>
    <n v="12.7"/>
    <n v="1.04"/>
    <n v="34.299999999999997"/>
    <n v="29.6"/>
    <n v="72.5"/>
    <n v="2.9"/>
    <n v="163"/>
    <x v="2"/>
    <s v="Moderate"/>
    <s v="Normal"/>
    <s v="High Humidity"/>
    <s v="Moderate Wind"/>
  </r>
  <r>
    <s v="AQ101372"/>
    <d v="2025-02-13T00:00:00"/>
    <x v="7"/>
    <x v="2"/>
    <s v="Station-09"/>
    <n v="24.3"/>
    <n v="13.3"/>
    <n v="1.5"/>
    <n v="28.8"/>
    <n v="0.85"/>
    <n v="101.9"/>
    <n v="28.3"/>
    <n v="89"/>
    <n v="1.7"/>
    <n v="136"/>
    <x v="2"/>
    <s v="Good"/>
    <s v="Normal"/>
    <s v="High Humidity"/>
    <s v="Low Wind"/>
  </r>
  <r>
    <s v="AQ101373"/>
    <d v="2025-06-10T00:00:00"/>
    <x v="5"/>
    <x v="4"/>
    <s v="Station-01"/>
    <n v="24.5"/>
    <n v="82.6"/>
    <n v="11.8"/>
    <n v="3.2"/>
    <n v="0.11"/>
    <n v="37.200000000000003"/>
    <n v="18.5"/>
    <n v="72.2"/>
    <n v="2.6"/>
    <n v="124"/>
    <x v="2"/>
    <s v="Moderate"/>
    <s v="Cool"/>
    <s v="High Humidity"/>
    <s v="Moderate Wind"/>
  </r>
  <r>
    <s v="AQ101374"/>
    <d v="2025-06-28T00:00:00"/>
    <x v="0"/>
    <x v="0"/>
    <s v="Station-10"/>
    <n v="50.9"/>
    <n v="83.4"/>
    <n v="23.9"/>
    <n v="0.5"/>
    <n v="0.25"/>
    <n v="33.5"/>
    <n v="26.2"/>
    <n v="75"/>
    <n v="2.4"/>
    <n v="176"/>
    <x v="2"/>
    <s v="Moderate"/>
    <s v="Normal"/>
    <s v="High Humidity"/>
    <s v="Moderate Wind"/>
  </r>
  <r>
    <s v="AQ101375"/>
    <d v="2025-10-10T00:00:00"/>
    <x v="2"/>
    <x v="1"/>
    <s v="Station-08"/>
    <n v="31.6"/>
    <n v="60.8"/>
    <n v="14.6"/>
    <n v="19.899999999999999"/>
    <n v="0.56000000000000005"/>
    <n v="35.299999999999997"/>
    <n v="19.5"/>
    <n v="70"/>
    <n v="2.7"/>
    <n v="146"/>
    <x v="2"/>
    <s v="Moderate"/>
    <s v="Cool"/>
    <s v="High Humidity"/>
    <s v="Moderate Wind"/>
  </r>
  <r>
    <s v="AQ101376"/>
    <d v="2025-01-25T00:00:00"/>
    <x v="5"/>
    <x v="4"/>
    <s v="Station-14"/>
    <n v="43.7"/>
    <n v="62.4"/>
    <n v="27.3"/>
    <n v="14.2"/>
    <n v="1.27"/>
    <n v="80.900000000000006"/>
    <n v="19.899999999999999"/>
    <n v="53.8"/>
    <n v="2.5"/>
    <n v="210"/>
    <x v="1"/>
    <s v="Moderate"/>
    <s v="Cool"/>
    <s v="Normal Humidity"/>
    <s v="Moderate Wind"/>
  </r>
  <r>
    <s v="AQ101377"/>
    <d v="2025-12-26T00:00:00"/>
    <x v="3"/>
    <x v="2"/>
    <s v="Station-06"/>
    <n v="65.099999999999994"/>
    <n v="95.7"/>
    <n v="28.4"/>
    <n v="16"/>
    <n v="1.44"/>
    <n v="34.4"/>
    <n v="21.9"/>
    <n v="71.5"/>
    <n v="2.4"/>
    <n v="252"/>
    <x v="1"/>
    <s v="Moderate"/>
    <s v="Normal"/>
    <s v="High Humidity"/>
    <s v="Moderate Wind"/>
  </r>
  <r>
    <s v="AQ101378"/>
    <d v="2025-06-02T00:00:00"/>
    <x v="12"/>
    <x v="4"/>
    <s v="Station-05"/>
    <n v="54.7"/>
    <n v="66.900000000000006"/>
    <n v="41.1"/>
    <n v="14.7"/>
    <n v="0.26"/>
    <n v="21.1"/>
    <n v="23.2"/>
    <n v="64.5"/>
    <n v="2.8"/>
    <n v="190"/>
    <x v="2"/>
    <s v="Moderate"/>
    <s v="Normal"/>
    <s v="High Humidity"/>
    <s v="Moderate Wind"/>
  </r>
  <r>
    <s v="AQ101379"/>
    <d v="2025-11-22T00:00:00"/>
    <x v="15"/>
    <x v="3"/>
    <s v="Station-05"/>
    <n v="22.1"/>
    <n v="58.2"/>
    <n v="25.9"/>
    <n v="9.4"/>
    <n v="1.02"/>
    <n v="37.200000000000003"/>
    <n v="26.6"/>
    <n v="63.6"/>
    <n v="3"/>
    <n v="143"/>
    <x v="2"/>
    <s v="Moderate"/>
    <s v="Normal"/>
    <s v="High Humidity"/>
    <s v="Moderate Wind"/>
  </r>
  <r>
    <s v="AQ101380"/>
    <d v="2025-03-01T00:00:00"/>
    <x v="9"/>
    <x v="0"/>
    <s v="Station-12"/>
    <n v="24.2"/>
    <n v="107.8"/>
    <n v="57.8"/>
    <n v="2.6"/>
    <n v="0.93"/>
    <n v="17.7"/>
    <n v="24.7"/>
    <n v="46.1"/>
    <n v="1.8"/>
    <n v="188"/>
    <x v="2"/>
    <s v="Unhealthy"/>
    <s v="Normal"/>
    <s v="Normal Humidity"/>
    <s v="Low Wind"/>
  </r>
  <r>
    <s v="AQ101381"/>
    <d v="2025-05-14T00:00:00"/>
    <x v="6"/>
    <x v="1"/>
    <s v="Station-02"/>
    <n v="25"/>
    <n v="90.2"/>
    <n v="26.2"/>
    <n v="2.1"/>
    <n v="1.19"/>
    <n v="31.6"/>
    <n v="24.7"/>
    <n v="70.900000000000006"/>
    <n v="1.4"/>
    <n v="165"/>
    <x v="2"/>
    <s v="Moderate"/>
    <s v="Normal"/>
    <s v="High Humidity"/>
    <s v="Low Wind"/>
  </r>
  <r>
    <s v="AQ101382"/>
    <d v="2025-01-17T00:00:00"/>
    <x v="6"/>
    <x v="1"/>
    <s v="Station-10"/>
    <n v="35.5"/>
    <n v="164.1"/>
    <n v="12.2"/>
    <n v="34.1"/>
    <n v="0.91"/>
    <n v="42"/>
    <n v="28.3"/>
    <n v="85.1"/>
    <n v="3.4"/>
    <n v="239"/>
    <x v="1"/>
    <s v="VeryUnhealthy"/>
    <s v="Normal"/>
    <s v="High Humidity"/>
    <s v="Moderate Wind"/>
  </r>
  <r>
    <s v="AQ101383"/>
    <d v="2025-06-17T00:00:00"/>
    <x v="5"/>
    <x v="4"/>
    <s v="Station-06"/>
    <n v="53.2"/>
    <n v="118.8"/>
    <n v="13.5"/>
    <n v="16.399999999999999"/>
    <n v="0.52"/>
    <n v="73"/>
    <n v="28.4"/>
    <n v="60"/>
    <n v="1.2"/>
    <n v="230"/>
    <x v="1"/>
    <s v="Unhealthy"/>
    <s v="Normal"/>
    <s v="Normal Humidity"/>
    <s v="Low Wind"/>
  </r>
  <r>
    <s v="AQ101384"/>
    <d v="2025-02-09T00:00:00"/>
    <x v="12"/>
    <x v="4"/>
    <s v="Station-15"/>
    <n v="38.299999999999997"/>
    <n v="56.7"/>
    <n v="16.100000000000001"/>
    <n v="3.5"/>
    <n v="0.49"/>
    <n v="51.7"/>
    <n v="29.4"/>
    <n v="71.599999999999994"/>
    <n v="2.8"/>
    <n v="149"/>
    <x v="2"/>
    <s v="Moderate"/>
    <s v="Normal"/>
    <s v="High Humidity"/>
    <s v="Moderate Wind"/>
  </r>
  <r>
    <s v="AQ101385"/>
    <d v="2025-06-09T00:00:00"/>
    <x v="15"/>
    <x v="3"/>
    <s v="Station-08"/>
    <n v="129.80000000000001"/>
    <n v="53.6"/>
    <n v="61"/>
    <n v="4.2"/>
    <n v="0.44"/>
    <n v="36.700000000000003"/>
    <n v="23"/>
    <n v="62.8"/>
    <n v="2"/>
    <n v="322"/>
    <x v="0"/>
    <s v="Moderate"/>
    <s v="Normal"/>
    <s v="High Humidity"/>
    <s v="Moderate Wind"/>
  </r>
  <r>
    <s v="AQ101386"/>
    <d v="2025-02-02T00:00:00"/>
    <x v="7"/>
    <x v="2"/>
    <s v="Station-15"/>
    <n v="51.4"/>
    <n v="103.3"/>
    <n v="12.5"/>
    <n v="11.6"/>
    <n v="0.38"/>
    <n v="35.799999999999997"/>
    <n v="14"/>
    <n v="59"/>
    <n v="3.2"/>
    <n v="193"/>
    <x v="2"/>
    <s v="Unhealthy"/>
    <s v="Cool"/>
    <s v="Normal Humidity"/>
    <s v="Moderate Wind"/>
  </r>
  <r>
    <s v="AQ101387"/>
    <d v="2025-06-12T00:00:00"/>
    <x v="3"/>
    <x v="2"/>
    <s v="Station-15"/>
    <n v="32.1"/>
    <n v="155.6"/>
    <n v="17.399999999999999"/>
    <n v="4.5999999999999996"/>
    <n v="0.51"/>
    <n v="54.9"/>
    <n v="15.8"/>
    <n v="22.8"/>
    <n v="2.8"/>
    <n v="207"/>
    <x v="1"/>
    <s v="VeryUnhealthy"/>
    <s v="Cool"/>
    <s v="Low Humidity"/>
    <s v="Moderate Wind"/>
  </r>
  <r>
    <s v="AQ101388"/>
    <d v="2025-11-25T00:00:00"/>
    <x v="15"/>
    <x v="3"/>
    <s v="Station-08"/>
    <n v="30.9"/>
    <n v="125.7"/>
    <n v="29.9"/>
    <n v="5.0999999999999996"/>
    <n v="0.82"/>
    <n v="71.400000000000006"/>
    <n v="26.3"/>
    <n v="53.3"/>
    <n v="2"/>
    <n v="211"/>
    <x v="1"/>
    <s v="Unhealthy"/>
    <s v="Normal"/>
    <s v="Normal Humidity"/>
    <s v="Moderate Wind"/>
  </r>
  <r>
    <s v="AQ101389"/>
    <d v="2025-01-08T00:00:00"/>
    <x v="10"/>
    <x v="3"/>
    <s v="Station-04"/>
    <n v="55.7"/>
    <n v="81.7"/>
    <n v="22.1"/>
    <n v="16.399999999999999"/>
    <n v="1.2"/>
    <n v="28.9"/>
    <n v="20.2"/>
    <n v="68.7"/>
    <n v="2"/>
    <n v="214"/>
    <x v="1"/>
    <s v="Moderate"/>
    <s v="Normal"/>
    <s v="High Humidity"/>
    <s v="Moderate Wind"/>
  </r>
  <r>
    <s v="AQ101390"/>
    <d v="2025-08-29T00:00:00"/>
    <x v="8"/>
    <x v="2"/>
    <s v="Station-07"/>
    <n v="17.8"/>
    <n v="86.1"/>
    <n v="40.9"/>
    <n v="17.5"/>
    <n v="2.17"/>
    <n v="31.3"/>
    <n v="26.3"/>
    <n v="67.099999999999994"/>
    <n v="0.7"/>
    <n v="198"/>
    <x v="2"/>
    <s v="Moderate"/>
    <s v="Normal"/>
    <s v="High Humidity"/>
    <s v="Low Wind"/>
  </r>
  <r>
    <s v="AQ101391"/>
    <d v="2025-07-20T00:00:00"/>
    <x v="5"/>
    <x v="4"/>
    <s v="Station-05"/>
    <n v="96.2"/>
    <n v="63"/>
    <n v="13.6"/>
    <n v="30.6"/>
    <n v="1.43"/>
    <n v="37.700000000000003"/>
    <n v="34"/>
    <n v="66.099999999999994"/>
    <n v="4"/>
    <n v="280"/>
    <x v="1"/>
    <s v="Moderate"/>
    <s v="Hot"/>
    <s v="High Humidity"/>
    <s v="Moderate Wind"/>
  </r>
  <r>
    <s v="AQ101392"/>
    <d v="2025-08-22T00:00:00"/>
    <x v="0"/>
    <x v="0"/>
    <s v="Station-13"/>
    <n v="74.5"/>
    <n v="120.8"/>
    <n v="25.1"/>
    <n v="12.3"/>
    <n v="1"/>
    <n v="31.7"/>
    <n v="27.2"/>
    <n v="54.4"/>
    <n v="2.9"/>
    <n v="266"/>
    <x v="1"/>
    <s v="Unhealthy"/>
    <s v="Normal"/>
    <s v="Normal Humidity"/>
    <s v="Moderate Wind"/>
  </r>
  <r>
    <s v="AQ101393"/>
    <d v="2025-02-17T00:00:00"/>
    <x v="14"/>
    <x v="3"/>
    <s v="Station-15"/>
    <n v="47"/>
    <n v="150.5"/>
    <n v="20.8"/>
    <n v="3.8"/>
    <n v="0.13"/>
    <n v="14.6"/>
    <n v="18.899999999999999"/>
    <n v="59.6"/>
    <n v="1.3"/>
    <n v="202"/>
    <x v="1"/>
    <s v="VeryUnhealthy"/>
    <s v="Cool"/>
    <s v="Normal Humidity"/>
    <s v="Low Wind"/>
  </r>
  <r>
    <s v="AQ101394"/>
    <d v="2025-12-24T00:00:00"/>
    <x v="7"/>
    <x v="2"/>
    <s v="Station-01"/>
    <n v="29.6"/>
    <n v="130.5"/>
    <n v="17.8"/>
    <n v="14.4"/>
    <n v="0.05"/>
    <n v="48.2"/>
    <n v="23.2"/>
    <n v="67.5"/>
    <n v="3.4"/>
    <n v="179"/>
    <x v="2"/>
    <s v="Unhealthy"/>
    <s v="Normal"/>
    <s v="High Humidity"/>
    <s v="Moderate Wind"/>
  </r>
  <r>
    <s v="AQ101395"/>
    <d v="2025-09-20T00:00:00"/>
    <x v="8"/>
    <x v="2"/>
    <s v="Station-06"/>
    <n v="79.2"/>
    <n v="62.1"/>
    <n v="9.3000000000000007"/>
    <n v="9.5"/>
    <n v="0.81"/>
    <n v="32.299999999999997"/>
    <n v="23.6"/>
    <n v="93.4"/>
    <n v="2.7"/>
    <n v="216"/>
    <x v="1"/>
    <s v="Moderate"/>
    <s v="Normal"/>
    <s v="High Humidity"/>
    <s v="Moderate Wind"/>
  </r>
  <r>
    <s v="AQ101396"/>
    <d v="2025-07-23T00:00:00"/>
    <x v="13"/>
    <x v="4"/>
    <s v="Station-12"/>
    <n v="40.5"/>
    <n v="73.599999999999994"/>
    <n v="47.2"/>
    <n v="5.2"/>
    <n v="1.06"/>
    <n v="15.2"/>
    <n v="25.5"/>
    <n v="56.3"/>
    <n v="2.9"/>
    <n v="187"/>
    <x v="2"/>
    <s v="Moderate"/>
    <s v="Normal"/>
    <s v="Normal Humidity"/>
    <s v="Moderate Wind"/>
  </r>
  <r>
    <s v="AQ101397"/>
    <d v="2025-02-28T00:00:00"/>
    <x v="11"/>
    <x v="0"/>
    <s v="Station-14"/>
    <n v="51.8"/>
    <n v="114.1"/>
    <n v="16.8"/>
    <n v="10.4"/>
    <n v="0.28000000000000003"/>
    <n v="25.5"/>
    <n v="14.2"/>
    <n v="49.9"/>
    <n v="3.5"/>
    <n v="196"/>
    <x v="2"/>
    <s v="Unhealthy"/>
    <s v="Cool"/>
    <s v="Normal Humidity"/>
    <s v="Moderate Wind"/>
  </r>
  <r>
    <s v="AQ101398"/>
    <d v="2025-12-07T00:00:00"/>
    <x v="8"/>
    <x v="2"/>
    <s v="Station-13"/>
    <n v="69.900000000000006"/>
    <n v="74.3"/>
    <n v="13"/>
    <n v="10.4"/>
    <n v="1.56"/>
    <n v="31.6"/>
    <n v="28.7"/>
    <n v="53.3"/>
    <n v="4.8"/>
    <n v="231"/>
    <x v="1"/>
    <s v="Moderate"/>
    <s v="Normal"/>
    <s v="Normal Humidity"/>
    <s v="Moderate Wind"/>
  </r>
  <r>
    <s v="AQ101399"/>
    <d v="2025-03-23T00:00:00"/>
    <x v="9"/>
    <x v="0"/>
    <s v="Station-07"/>
    <n v="191.8"/>
    <n v="97.9"/>
    <n v="18.8"/>
    <n v="16.600000000000001"/>
    <n v="0.61"/>
    <n v="10.3"/>
    <n v="18.7"/>
    <n v="59.4"/>
    <n v="2.1"/>
    <n v="417"/>
    <x v="0"/>
    <s v="Moderate"/>
    <s v="Cool"/>
    <s v="Normal Humidity"/>
    <s v="Moderate Wind"/>
  </r>
  <r>
    <s v="AQ101400"/>
    <d v="2025-08-27T00:00:00"/>
    <x v="8"/>
    <x v="2"/>
    <s v="Station-14"/>
    <n v="122"/>
    <n v="153.69999999999999"/>
    <n v="5.3"/>
    <n v="18.5"/>
    <n v="1.1100000000000001"/>
    <n v="36.799999999999997"/>
    <n v="26.1"/>
    <n v="65.8"/>
    <n v="1.9"/>
    <n v="357"/>
    <x v="0"/>
    <s v="VeryUnhealthy"/>
    <s v="Normal"/>
    <s v="High Humidity"/>
    <s v="Low Wind"/>
  </r>
  <r>
    <s v="AQ101401"/>
    <d v="2025-03-10T00:00:00"/>
    <x v="10"/>
    <x v="3"/>
    <s v="Station-11"/>
    <n v="15.3"/>
    <n v="51.9"/>
    <n v="11.9"/>
    <n v="16.100000000000001"/>
    <n v="0.49"/>
    <n v="19.7"/>
    <n v="25.6"/>
    <n v="55.5"/>
    <n v="1.2"/>
    <n v="100"/>
    <x v="3"/>
    <s v="Moderate"/>
    <s v="Normal"/>
    <s v="Normal Humidity"/>
    <s v="Low Wind"/>
  </r>
  <r>
    <s v="AQ101402"/>
    <d v="2025-06-13T00:00:00"/>
    <x v="15"/>
    <x v="3"/>
    <s v="Station-01"/>
    <n v="15.2"/>
    <n v="26.5"/>
    <n v="41.1"/>
    <n v="8.5"/>
    <n v="1.24"/>
    <n v="40.1"/>
    <n v="25.7"/>
    <n v="78.099999999999994"/>
    <n v="4.2"/>
    <n v="129"/>
    <x v="2"/>
    <s v="Good"/>
    <s v="Normal"/>
    <s v="High Humidity"/>
    <s v="Moderate Wind"/>
  </r>
  <r>
    <s v="AQ101403"/>
    <d v="2025-01-10T00:00:00"/>
    <x v="9"/>
    <x v="0"/>
    <s v="Station-13"/>
    <n v="45.1"/>
    <n v="70.8"/>
    <n v="14.9"/>
    <n v="6.6"/>
    <n v="0.45"/>
    <n v="22.2"/>
    <n v="39.1"/>
    <n v="38.799999999999997"/>
    <n v="1.3"/>
    <n v="156"/>
    <x v="2"/>
    <s v="Moderate"/>
    <s v="Hot"/>
    <s v="Normal Humidity"/>
    <s v="Low Wind"/>
  </r>
  <r>
    <s v="AQ101404"/>
    <d v="2025-09-13T00:00:00"/>
    <x v="2"/>
    <x v="1"/>
    <s v="Station-10"/>
    <n v="49.1"/>
    <n v="148.5"/>
    <n v="53.9"/>
    <n v="7"/>
    <n v="1.1499999999999999"/>
    <n v="38.5"/>
    <n v="21.8"/>
    <n v="50"/>
    <n v="2.8"/>
    <n v="269"/>
    <x v="1"/>
    <s v="Unhealthy"/>
    <s v="Normal"/>
    <s v="Normal Humidity"/>
    <s v="Moderate Wind"/>
  </r>
  <r>
    <s v="AQ101405"/>
    <d v="2025-11-01T00:00:00"/>
    <x v="9"/>
    <x v="0"/>
    <s v="Station-15"/>
    <n v="40.4"/>
    <n v="72.3"/>
    <n v="12"/>
    <n v="26.8"/>
    <n v="0.15"/>
    <n v="49.5"/>
    <n v="29.1"/>
    <n v="70.400000000000006"/>
    <n v="1.4"/>
    <n v="166"/>
    <x v="2"/>
    <s v="Moderate"/>
    <s v="Normal"/>
    <s v="High Humidity"/>
    <s v="Low Wind"/>
  </r>
  <r>
    <s v="AQ101406"/>
    <d v="2025-06-07T00:00:00"/>
    <x v="11"/>
    <x v="0"/>
    <s v="Station-07"/>
    <n v="93.2"/>
    <n v="108.9"/>
    <n v="6.2"/>
    <n v="9.6999999999999993"/>
    <n v="0.93"/>
    <n v="27.3"/>
    <n v="26.8"/>
    <n v="74.900000000000006"/>
    <n v="1.8"/>
    <n v="267"/>
    <x v="1"/>
    <s v="Unhealthy"/>
    <s v="Normal"/>
    <s v="High Humidity"/>
    <s v="Low Wind"/>
  </r>
  <r>
    <s v="AQ101407"/>
    <d v="2025-10-26T00:00:00"/>
    <x v="0"/>
    <x v="0"/>
    <s v="Station-04"/>
    <n v="53.3"/>
    <n v="133.6"/>
    <n v="56.5"/>
    <n v="6"/>
    <n v="0.23"/>
    <n v="47"/>
    <n v="34.1"/>
    <n v="34.9"/>
    <n v="3"/>
    <n v="248"/>
    <x v="1"/>
    <s v="Unhealthy"/>
    <s v="Hot"/>
    <s v="Normal Humidity"/>
    <s v="Moderate Wind"/>
  </r>
  <r>
    <s v="AQ101408"/>
    <d v="2025-03-12T00:00:00"/>
    <x v="5"/>
    <x v="4"/>
    <s v="Station-02"/>
    <n v="29.7"/>
    <n v="81.099999999999994"/>
    <n v="8.9"/>
    <n v="12.5"/>
    <n v="0.8"/>
    <n v="68.099999999999994"/>
    <n v="20.5"/>
    <n v="98"/>
    <n v="1.3"/>
    <n v="167"/>
    <x v="2"/>
    <s v="Moderate"/>
    <s v="Normal"/>
    <s v="High Humidity"/>
    <s v="Low Wind"/>
  </r>
  <r>
    <s v="AQ101409"/>
    <d v="2025-01-18T00:00:00"/>
    <x v="3"/>
    <x v="2"/>
    <s v="Station-02"/>
    <n v="141.6"/>
    <n v="37.5"/>
    <n v="6"/>
    <n v="9.1999999999999993"/>
    <n v="0.48"/>
    <n v="17.600000000000001"/>
    <n v="31.7"/>
    <n v="58.3"/>
    <n v="3.3"/>
    <n v="282"/>
    <x v="1"/>
    <s v="Good"/>
    <s v="Hot"/>
    <s v="Normal Humidity"/>
    <s v="Moderate Wind"/>
  </r>
  <r>
    <s v="AQ101410"/>
    <d v="2025-01-21T00:00:00"/>
    <x v="10"/>
    <x v="3"/>
    <s v="Station-12"/>
    <n v="105.5"/>
    <n v="86.8"/>
    <n v="15.6"/>
    <n v="3.4"/>
    <n v="1.39"/>
    <n v="50.8"/>
    <n v="21.9"/>
    <n v="68.5"/>
    <n v="0.8"/>
    <n v="298"/>
    <x v="1"/>
    <s v="Moderate"/>
    <s v="Normal"/>
    <s v="High Humidity"/>
    <s v="Low Wind"/>
  </r>
  <r>
    <s v="AQ101411"/>
    <d v="2025-01-13T00:00:00"/>
    <x v="1"/>
    <x v="1"/>
    <s v="Station-10"/>
    <n v="52.7"/>
    <n v="75.7"/>
    <n v="49"/>
    <n v="8.4"/>
    <n v="0.62"/>
    <n v="46.2"/>
    <n v="13.4"/>
    <n v="36.4"/>
    <n v="3.6"/>
    <n v="215"/>
    <x v="1"/>
    <s v="Moderate"/>
    <s v="Cool"/>
    <s v="Normal Humidity"/>
    <s v="Moderate Wind"/>
  </r>
  <r>
    <s v="AQ101412"/>
    <d v="2025-12-04T00:00:00"/>
    <x v="10"/>
    <x v="3"/>
    <s v="Station-07"/>
    <n v="39.700000000000003"/>
    <n v="87"/>
    <n v="35.9"/>
    <n v="29.1"/>
    <n v="1.55"/>
    <n v="16.8"/>
    <n v="12.3"/>
    <n v="36.6"/>
    <n v="2.9"/>
    <n v="215"/>
    <x v="1"/>
    <s v="Moderate"/>
    <s v="Cool"/>
    <s v="Normal Humidity"/>
    <s v="Moderate Wind"/>
  </r>
  <r>
    <s v="AQ101413"/>
    <d v="2025-07-19T00:00:00"/>
    <x v="9"/>
    <x v="0"/>
    <s v="Station-10"/>
    <n v="66.599999999999994"/>
    <n v="68.099999999999994"/>
    <n v="19.5"/>
    <n v="13.6"/>
    <n v="0.42"/>
    <n v="37.299999999999997"/>
    <n v="30.4"/>
    <n v="53.1"/>
    <n v="3.8"/>
    <n v="203"/>
    <x v="1"/>
    <s v="Moderate"/>
    <s v="Hot"/>
    <s v="Normal Humidity"/>
    <s v="Moderate Wind"/>
  </r>
  <r>
    <s v="AQ101414"/>
    <d v="2025-05-14T00:00:00"/>
    <x v="15"/>
    <x v="3"/>
    <s v="Station-09"/>
    <n v="28.6"/>
    <n v="83.4"/>
    <n v="37.200000000000003"/>
    <n v="4.2"/>
    <n v="1.56"/>
    <n v="19.100000000000001"/>
    <n v="18.8"/>
    <n v="50.2"/>
    <n v="1.5"/>
    <n v="180"/>
    <x v="2"/>
    <s v="Moderate"/>
    <s v="Cool"/>
    <s v="Normal Humidity"/>
    <s v="Low Wind"/>
  </r>
  <r>
    <s v="AQ101415"/>
    <d v="2025-03-31T00:00:00"/>
    <x v="8"/>
    <x v="2"/>
    <s v="Station-05"/>
    <n v="63.3"/>
    <n v="137.9"/>
    <n v="7.8"/>
    <n v="12.8"/>
    <n v="1.64"/>
    <n v="44.1"/>
    <n v="29.9"/>
    <n v="98"/>
    <n v="1.7"/>
    <n v="267"/>
    <x v="1"/>
    <s v="Unhealthy"/>
    <s v="Normal"/>
    <s v="High Humidity"/>
    <s v="Low Wind"/>
  </r>
  <r>
    <s v="AQ101416"/>
    <d v="2025-11-02T00:00:00"/>
    <x v="12"/>
    <x v="4"/>
    <s v="Station-06"/>
    <n v="65.5"/>
    <n v="71.099999999999994"/>
    <n v="4.7"/>
    <n v="19.399999999999999"/>
    <n v="0.94"/>
    <n v="26.8"/>
    <n v="32.5"/>
    <n v="53.7"/>
    <n v="1.1000000000000001"/>
    <n v="204"/>
    <x v="1"/>
    <s v="Moderate"/>
    <s v="Hot"/>
    <s v="Normal Humidity"/>
    <s v="Low Wind"/>
  </r>
  <r>
    <s v="AQ101417"/>
    <d v="2025-06-16T00:00:00"/>
    <x v="11"/>
    <x v="0"/>
    <s v="Station-02"/>
    <n v="30.4"/>
    <n v="65.3"/>
    <n v="15"/>
    <n v="9.1999999999999993"/>
    <n v="0.27"/>
    <n v="5.9"/>
    <n v="31.4"/>
    <n v="51.1"/>
    <n v="2.2999999999999998"/>
    <n v="119"/>
    <x v="2"/>
    <s v="Moderate"/>
    <s v="Hot"/>
    <s v="Normal Humidity"/>
    <s v="Moderate Wind"/>
  </r>
  <r>
    <s v="AQ101418"/>
    <d v="2025-06-08T00:00:00"/>
    <x v="13"/>
    <x v="4"/>
    <s v="Station-05"/>
    <n v="36.5"/>
    <n v="43.8"/>
    <n v="18.100000000000001"/>
    <n v="3.4"/>
    <n v="0.14000000000000001"/>
    <n v="30.1"/>
    <n v="42.2"/>
    <n v="59.9"/>
    <n v="1.2"/>
    <n v="121"/>
    <x v="2"/>
    <s v="Good"/>
    <s v="Hot"/>
    <s v="Normal Humidity"/>
    <s v="Low Wind"/>
  </r>
  <r>
    <s v="AQ101419"/>
    <d v="2025-04-09T00:00:00"/>
    <x v="5"/>
    <x v="4"/>
    <s v="Station-15"/>
    <n v="38"/>
    <n v="61.3"/>
    <n v="24.6"/>
    <n v="20.9"/>
    <n v="0.21"/>
    <n v="21"/>
    <n v="24.3"/>
    <n v="71.3"/>
    <n v="2.2000000000000002"/>
    <n v="150"/>
    <x v="2"/>
    <s v="Moderate"/>
    <s v="Normal"/>
    <s v="High Humidity"/>
    <s v="Moderate Wind"/>
  </r>
  <r>
    <s v="AQ101420"/>
    <d v="2025-01-25T00:00:00"/>
    <x v="15"/>
    <x v="3"/>
    <s v="Station-13"/>
    <n v="72.5"/>
    <n v="144.4"/>
    <n v="17.5"/>
    <n v="5.9"/>
    <n v="0.75"/>
    <n v="9.6"/>
    <n v="38.1"/>
    <n v="98"/>
    <n v="2.4"/>
    <n v="251"/>
    <x v="1"/>
    <s v="Unhealthy"/>
    <s v="Hot"/>
    <s v="High Humidity"/>
    <s v="Moderate Wind"/>
  </r>
  <r>
    <s v="AQ101421"/>
    <d v="2025-08-01T00:00:00"/>
    <x v="3"/>
    <x v="2"/>
    <s v="Station-07"/>
    <n v="29.6"/>
    <n v="124.1"/>
    <n v="30.3"/>
    <n v="11.1"/>
    <n v="0.6"/>
    <n v="21.4"/>
    <n v="28.4"/>
    <n v="68.7"/>
    <n v="0.5"/>
    <n v="185"/>
    <x v="2"/>
    <s v="Unhealthy"/>
    <s v="Normal"/>
    <s v="High Humidity"/>
    <s v="Low Wind"/>
  </r>
  <r>
    <s v="AQ101422"/>
    <d v="2025-07-23T00:00:00"/>
    <x v="6"/>
    <x v="1"/>
    <s v="Station-13"/>
    <n v="61.5"/>
    <n v="68.3"/>
    <n v="53"/>
    <n v="9.3000000000000007"/>
    <n v="0.39"/>
    <n v="23.3"/>
    <n v="22.4"/>
    <n v="66.900000000000006"/>
    <n v="1.3"/>
    <n v="212"/>
    <x v="1"/>
    <s v="Moderate"/>
    <s v="Normal"/>
    <s v="High Humidity"/>
    <s v="Low Wind"/>
  </r>
  <r>
    <s v="AQ101423"/>
    <d v="2025-10-27T00:00:00"/>
    <x v="11"/>
    <x v="0"/>
    <s v="Station-05"/>
    <n v="77"/>
    <n v="82"/>
    <n v="22.8"/>
    <n v="7.7"/>
    <n v="0.76"/>
    <n v="43.8"/>
    <n v="23.5"/>
    <n v="57.9"/>
    <n v="1.4"/>
    <n v="239"/>
    <x v="1"/>
    <s v="Moderate"/>
    <s v="Normal"/>
    <s v="Normal Humidity"/>
    <s v="Low Wind"/>
  </r>
  <r>
    <s v="AQ101424"/>
    <d v="2025-02-02T00:00:00"/>
    <x v="11"/>
    <x v="0"/>
    <s v="Station-03"/>
    <n v="52.1"/>
    <n v="57"/>
    <n v="22.6"/>
    <n v="1.8"/>
    <n v="0.25"/>
    <n v="71.3"/>
    <n v="24.6"/>
    <n v="47.9"/>
    <n v="0.9"/>
    <n v="178"/>
    <x v="2"/>
    <s v="Moderate"/>
    <s v="Normal"/>
    <s v="Normal Humidity"/>
    <s v="Low Wind"/>
  </r>
  <r>
    <s v="AQ101425"/>
    <d v="2025-11-17T00:00:00"/>
    <x v="6"/>
    <x v="1"/>
    <s v="Station-03"/>
    <n v="25.5"/>
    <n v="178.1"/>
    <n v="38.9"/>
    <n v="8.8000000000000007"/>
    <n v="1.73"/>
    <n v="20.2"/>
    <n v="22"/>
    <n v="69"/>
    <n v="1.1000000000000001"/>
    <n v="246"/>
    <x v="1"/>
    <s v="VeryUnhealthy"/>
    <s v="Normal"/>
    <s v="High Humidity"/>
    <s v="Low Wind"/>
  </r>
  <r>
    <s v="AQ101426"/>
    <d v="2025-09-22T00:00:00"/>
    <x v="2"/>
    <x v="1"/>
    <s v="Station-08"/>
    <n v="51.8"/>
    <n v="35"/>
    <n v="20.7"/>
    <n v="7"/>
    <n v="0.93"/>
    <n v="19"/>
    <n v="27.8"/>
    <n v="55.6"/>
    <n v="4.5"/>
    <n v="159"/>
    <x v="2"/>
    <s v="Good"/>
    <s v="Normal"/>
    <s v="Normal Humidity"/>
    <s v="Moderate Wind"/>
  </r>
  <r>
    <s v="AQ101427"/>
    <d v="2025-09-22T00:00:00"/>
    <x v="9"/>
    <x v="0"/>
    <s v="Station-11"/>
    <n v="63.1"/>
    <n v="48.3"/>
    <n v="18.399999999999999"/>
    <n v="11.6"/>
    <n v="0.7"/>
    <n v="69.2"/>
    <n v="27.1"/>
    <n v="85.9"/>
    <n v="1.8"/>
    <n v="204"/>
    <x v="1"/>
    <s v="Good"/>
    <s v="Normal"/>
    <s v="High Humidity"/>
    <s v="Low Wind"/>
  </r>
  <r>
    <s v="AQ101428"/>
    <d v="2025-05-24T00:00:00"/>
    <x v="9"/>
    <x v="0"/>
    <s v="Station-03"/>
    <n v="38.6"/>
    <n v="91.5"/>
    <n v="26.2"/>
    <n v="23.9"/>
    <n v="0.85"/>
    <n v="49.6"/>
    <n v="16"/>
    <n v="83.7"/>
    <n v="1.3"/>
    <n v="202"/>
    <x v="1"/>
    <s v="Moderate"/>
    <s v="Cool"/>
    <s v="High Humidity"/>
    <s v="Low Wind"/>
  </r>
  <r>
    <s v="AQ101429"/>
    <d v="2025-06-20T00:00:00"/>
    <x v="5"/>
    <x v="4"/>
    <s v="Station-15"/>
    <n v="71.3"/>
    <n v="38.299999999999997"/>
    <n v="14.3"/>
    <n v="25.7"/>
    <n v="0.28000000000000003"/>
    <n v="56.8"/>
    <n v="24.3"/>
    <n v="62"/>
    <n v="0.1"/>
    <n v="201"/>
    <x v="1"/>
    <s v="Good"/>
    <s v="Normal"/>
    <s v="High Humidity"/>
    <s v="Low Wind"/>
  </r>
  <r>
    <s v="AQ101430"/>
    <d v="2025-10-19T00:00:00"/>
    <x v="2"/>
    <x v="1"/>
    <s v="Station-02"/>
    <n v="87.6"/>
    <n v="45.8"/>
    <n v="4.3"/>
    <n v="32.1"/>
    <n v="1.02"/>
    <n v="33.4"/>
    <n v="18.8"/>
    <n v="73"/>
    <n v="1.5"/>
    <n v="236"/>
    <x v="1"/>
    <s v="Good"/>
    <s v="Cool"/>
    <s v="High Humidity"/>
    <s v="Low Wind"/>
  </r>
  <r>
    <s v="AQ101431"/>
    <d v="2025-05-17T00:00:00"/>
    <x v="6"/>
    <x v="1"/>
    <s v="Station-03"/>
    <n v="73.099999999999994"/>
    <n v="132.6"/>
    <n v="43.7"/>
    <n v="20"/>
    <n v="1.17"/>
    <n v="22.5"/>
    <n v="27.8"/>
    <n v="47.9"/>
    <n v="2.9"/>
    <n v="291"/>
    <x v="1"/>
    <s v="Unhealthy"/>
    <s v="Normal"/>
    <s v="Normal Humidity"/>
    <s v="Moderate Wind"/>
  </r>
  <r>
    <s v="AQ101432"/>
    <d v="2025-02-07T00:00:00"/>
    <x v="13"/>
    <x v="4"/>
    <s v="Station-02"/>
    <n v="25.2"/>
    <n v="82"/>
    <n v="46.1"/>
    <n v="26.4"/>
    <n v="0.78"/>
    <n v="17.5"/>
    <n v="29.6"/>
    <n v="98"/>
    <n v="1.6"/>
    <n v="176"/>
    <x v="2"/>
    <s v="Moderate"/>
    <s v="Normal"/>
    <s v="High Humidity"/>
    <s v="Low Wind"/>
  </r>
  <r>
    <s v="AQ101433"/>
    <d v="2025-05-02T00:00:00"/>
    <x v="11"/>
    <x v="0"/>
    <s v="Station-11"/>
    <n v="31.8"/>
    <n v="77.5"/>
    <n v="15.2"/>
    <n v="29.6"/>
    <n v="0.82"/>
    <n v="14"/>
    <n v="34.299999999999997"/>
    <n v="89.8"/>
    <n v="1"/>
    <n v="161"/>
    <x v="2"/>
    <s v="Moderate"/>
    <s v="Hot"/>
    <s v="High Humidity"/>
    <s v="Low Wind"/>
  </r>
  <r>
    <s v="AQ101434"/>
    <d v="2025-01-10T00:00:00"/>
    <x v="7"/>
    <x v="2"/>
    <s v="Station-12"/>
    <n v="7.7"/>
    <n v="144.30000000000001"/>
    <n v="69"/>
    <n v="23.6"/>
    <n v="1.65"/>
    <n v="39.200000000000003"/>
    <n v="29.6"/>
    <n v="56.6"/>
    <n v="2.8"/>
    <n v="237"/>
    <x v="1"/>
    <s v="Unhealthy"/>
    <s v="Normal"/>
    <s v="Normal Humidity"/>
    <s v="Moderate Wind"/>
  </r>
  <r>
    <s v="AQ101435"/>
    <d v="2025-03-01T00:00:00"/>
    <x v="2"/>
    <x v="1"/>
    <s v="Station-04"/>
    <n v="63.3"/>
    <n v="25.4"/>
    <n v="23.5"/>
    <n v="39.1"/>
    <n v="0.77"/>
    <n v="15.6"/>
    <n v="35"/>
    <n v="54.6"/>
    <n v="2.4"/>
    <n v="190"/>
    <x v="2"/>
    <s v="Good"/>
    <s v="Hot"/>
    <s v="Normal Humidity"/>
    <s v="Moderate Wind"/>
  </r>
  <r>
    <s v="AQ101436"/>
    <d v="2025-02-14T00:00:00"/>
    <x v="3"/>
    <x v="2"/>
    <s v="Station-12"/>
    <n v="58.4"/>
    <n v="36.200000000000003"/>
    <n v="27.1"/>
    <n v="3.7"/>
    <n v="2.09"/>
    <n v="39.6"/>
    <n v="25.1"/>
    <n v="59.2"/>
    <n v="0.8"/>
    <n v="211"/>
    <x v="1"/>
    <s v="Good"/>
    <s v="Normal"/>
    <s v="Normal Humidity"/>
    <s v="Low Wind"/>
  </r>
  <r>
    <s v="AQ101437"/>
    <d v="2025-10-05T00:00:00"/>
    <x v="7"/>
    <x v="2"/>
    <s v="Station-03"/>
    <n v="19"/>
    <n v="36.1"/>
    <n v="40.1"/>
    <n v="7.8"/>
    <n v="0.7"/>
    <n v="34.5"/>
    <n v="18.899999999999999"/>
    <n v="24.8"/>
    <n v="1.2"/>
    <n v="124"/>
    <x v="2"/>
    <s v="Good"/>
    <s v="Cool"/>
    <s v="Low Humidity"/>
    <s v="Low Wind"/>
  </r>
  <r>
    <s v="AQ101438"/>
    <d v="2025-12-10T00:00:00"/>
    <x v="8"/>
    <x v="2"/>
    <s v="Station-07"/>
    <n v="75.2"/>
    <n v="144.80000000000001"/>
    <n v="19.2"/>
    <n v="4.5"/>
    <n v="0.5"/>
    <n v="26.1"/>
    <n v="31.3"/>
    <n v="51.6"/>
    <n v="3.4"/>
    <n v="257"/>
    <x v="1"/>
    <s v="Unhealthy"/>
    <s v="Hot"/>
    <s v="Normal Humidity"/>
    <s v="Moderate Wind"/>
  </r>
  <r>
    <s v="AQ101439"/>
    <d v="2025-05-08T00:00:00"/>
    <x v="15"/>
    <x v="3"/>
    <s v="Station-06"/>
    <n v="54.6"/>
    <n v="112.5"/>
    <n v="10.9"/>
    <n v="15.4"/>
    <n v="0.67"/>
    <n v="67.2"/>
    <n v="31.3"/>
    <n v="52.1"/>
    <n v="1.2"/>
    <n v="227"/>
    <x v="1"/>
    <s v="Unhealthy"/>
    <s v="Hot"/>
    <s v="Normal Humidity"/>
    <s v="Low Wind"/>
  </r>
  <r>
    <s v="AQ101440"/>
    <d v="2025-04-11T00:00:00"/>
    <x v="6"/>
    <x v="1"/>
    <s v="Station-03"/>
    <n v="75.599999999999994"/>
    <n v="43.1"/>
    <n v="30.6"/>
    <n v="13.7"/>
    <n v="0.63"/>
    <n v="25.3"/>
    <n v="26.4"/>
    <n v="61.1"/>
    <n v="3.7"/>
    <n v="210"/>
    <x v="1"/>
    <s v="Good"/>
    <s v="Normal"/>
    <s v="High Humidity"/>
    <s v="Moderate Wind"/>
  </r>
  <r>
    <s v="AQ101441"/>
    <d v="2025-10-11T00:00:00"/>
    <x v="8"/>
    <x v="2"/>
    <s v="Station-12"/>
    <n v="23.7"/>
    <n v="104.2"/>
    <n v="5.5"/>
    <n v="26.4"/>
    <n v="0.57999999999999996"/>
    <n v="72.8"/>
    <n v="39"/>
    <n v="73.8"/>
    <n v="2.7"/>
    <n v="176"/>
    <x v="2"/>
    <s v="Unhealthy"/>
    <s v="Hot"/>
    <s v="High Humidity"/>
    <s v="Moderate Wind"/>
  </r>
  <r>
    <s v="AQ101442"/>
    <d v="2025-08-03T00:00:00"/>
    <x v="0"/>
    <x v="0"/>
    <s v="Station-01"/>
    <n v="27.5"/>
    <n v="50.6"/>
    <n v="18.7"/>
    <n v="5.7"/>
    <n v="0.52"/>
    <n v="33.1"/>
    <n v="20.9"/>
    <n v="48.5"/>
    <n v="1.5"/>
    <n v="124"/>
    <x v="2"/>
    <s v="Moderate"/>
    <s v="Normal"/>
    <s v="Normal Humidity"/>
    <s v="Low Wind"/>
  </r>
  <r>
    <s v="AQ101443"/>
    <d v="2025-05-12T00:00:00"/>
    <x v="13"/>
    <x v="4"/>
    <s v="Station-01"/>
    <n v="16.399999999999999"/>
    <n v="66.5"/>
    <n v="12.6"/>
    <n v="10.6"/>
    <n v="1.02"/>
    <n v="59.9"/>
    <n v="28"/>
    <n v="40.700000000000003"/>
    <n v="2.5"/>
    <n v="139"/>
    <x v="2"/>
    <s v="Moderate"/>
    <s v="Normal"/>
    <s v="Normal Humidity"/>
    <s v="Moderate Wind"/>
  </r>
  <r>
    <s v="AQ101444"/>
    <d v="2025-05-23T00:00:00"/>
    <x v="3"/>
    <x v="2"/>
    <s v="Station-02"/>
    <n v="31.9"/>
    <n v="143.5"/>
    <n v="23.5"/>
    <n v="20.2"/>
    <n v="0.91"/>
    <n v="23.3"/>
    <n v="22"/>
    <n v="83.8"/>
    <n v="2"/>
    <n v="210"/>
    <x v="1"/>
    <s v="Unhealthy"/>
    <s v="Normal"/>
    <s v="High Humidity"/>
    <s v="Moderate Wind"/>
  </r>
  <r>
    <s v="AQ101445"/>
    <d v="2025-12-20T00:00:00"/>
    <x v="6"/>
    <x v="1"/>
    <s v="Station-01"/>
    <n v="38.200000000000003"/>
    <n v="81.099999999999994"/>
    <n v="33.6"/>
    <n v="13.6"/>
    <n v="0.71"/>
    <n v="29.2"/>
    <n v="19.8"/>
    <n v="73.7"/>
    <n v="2.2999999999999998"/>
    <n v="181"/>
    <x v="2"/>
    <s v="Moderate"/>
    <s v="Cool"/>
    <s v="High Humidity"/>
    <s v="Moderate Wind"/>
  </r>
  <r>
    <s v="AQ101446"/>
    <d v="2025-03-20T00:00:00"/>
    <x v="11"/>
    <x v="0"/>
    <s v="Station-14"/>
    <n v="22.6"/>
    <n v="53.8"/>
    <n v="47.1"/>
    <n v="5.8"/>
    <n v="0.47"/>
    <n v="19.8"/>
    <n v="27.2"/>
    <n v="79.5"/>
    <n v="3.2"/>
    <n v="134"/>
    <x v="2"/>
    <s v="Moderate"/>
    <s v="Normal"/>
    <s v="High Humidity"/>
    <s v="Moderate Wind"/>
  </r>
  <r>
    <s v="AQ101447"/>
    <d v="2025-06-30T00:00:00"/>
    <x v="4"/>
    <x v="3"/>
    <s v="Station-04"/>
    <n v="62.1"/>
    <n v="111.6"/>
    <n v="17.8"/>
    <n v="5.3"/>
    <n v="1.75"/>
    <n v="29.7"/>
    <n v="22.1"/>
    <n v="53.9"/>
    <n v="2.5"/>
    <n v="247"/>
    <x v="1"/>
    <s v="Unhealthy"/>
    <s v="Normal"/>
    <s v="Normal Humidity"/>
    <s v="Moderate Wind"/>
  </r>
  <r>
    <s v="AQ101448"/>
    <d v="2025-02-28T00:00:00"/>
    <x v="11"/>
    <x v="0"/>
    <s v="Station-05"/>
    <n v="33.6"/>
    <n v="61.6"/>
    <n v="42.3"/>
    <n v="14.8"/>
    <n v="0.69"/>
    <n v="32.299999999999997"/>
    <n v="36.9"/>
    <n v="71.2"/>
    <n v="1.9"/>
    <n v="170"/>
    <x v="2"/>
    <s v="Moderate"/>
    <s v="Hot"/>
    <s v="High Humidity"/>
    <s v="Low Wind"/>
  </r>
  <r>
    <s v="AQ101449"/>
    <d v="2025-08-29T00:00:00"/>
    <x v="1"/>
    <x v="1"/>
    <s v="Station-11"/>
    <n v="56.6"/>
    <n v="105.4"/>
    <n v="17"/>
    <n v="13"/>
    <n v="0.91"/>
    <n v="44.3"/>
    <n v="23.1"/>
    <n v="30"/>
    <n v="1.7"/>
    <n v="224"/>
    <x v="1"/>
    <s v="Unhealthy"/>
    <s v="Normal"/>
    <s v="Normal Humidity"/>
    <s v="Low Wind"/>
  </r>
  <r>
    <s v="AQ101450"/>
    <d v="2025-08-05T00:00:00"/>
    <x v="7"/>
    <x v="2"/>
    <s v="Station-02"/>
    <n v="13.5"/>
    <n v="126.3"/>
    <n v="49"/>
    <n v="24.1"/>
    <n v="1.27"/>
    <n v="12.5"/>
    <n v="28.6"/>
    <n v="41.5"/>
    <n v="4.2"/>
    <n v="197"/>
    <x v="2"/>
    <s v="Unhealthy"/>
    <s v="Normal"/>
    <s v="Normal Humidity"/>
    <s v="Moderate Wind"/>
  </r>
  <r>
    <s v="AQ101451"/>
    <d v="2025-03-28T00:00:00"/>
    <x v="7"/>
    <x v="2"/>
    <s v="Station-04"/>
    <n v="96.2"/>
    <n v="58.8"/>
    <n v="9.1"/>
    <n v="13.7"/>
    <n v="0.62"/>
    <n v="12.6"/>
    <n v="30.8"/>
    <n v="62.9"/>
    <n v="2"/>
    <n v="230"/>
    <x v="1"/>
    <s v="Moderate"/>
    <s v="Hot"/>
    <s v="High Humidity"/>
    <s v="Moderate Wind"/>
  </r>
  <r>
    <s v="AQ101452"/>
    <d v="2025-06-19T00:00:00"/>
    <x v="7"/>
    <x v="2"/>
    <s v="Station-14"/>
    <n v="32.299999999999997"/>
    <n v="99.9"/>
    <n v="59.8"/>
    <n v="3.2"/>
    <n v="2.35"/>
    <n v="26.3"/>
    <n v="26.3"/>
    <n v="83"/>
    <n v="0.7"/>
    <n v="237"/>
    <x v="1"/>
    <s v="Moderate"/>
    <s v="Normal"/>
    <s v="High Humidity"/>
    <s v="Low Wind"/>
  </r>
  <r>
    <s v="AQ101453"/>
    <d v="2025-02-01T00:00:00"/>
    <x v="10"/>
    <x v="3"/>
    <s v="Station-15"/>
    <n v="24.2"/>
    <n v="90.2"/>
    <n v="46.7"/>
    <n v="15.4"/>
    <n v="0.87"/>
    <n v="16.399999999999999"/>
    <n v="36.6"/>
    <n v="56.3"/>
    <n v="2.7"/>
    <n v="175"/>
    <x v="2"/>
    <s v="Moderate"/>
    <s v="Hot"/>
    <s v="Normal Humidity"/>
    <s v="Moderate Wind"/>
  </r>
  <r>
    <s v="AQ101454"/>
    <d v="2025-12-17T00:00:00"/>
    <x v="11"/>
    <x v="0"/>
    <s v="Station-14"/>
    <n v="50.7"/>
    <n v="29.5"/>
    <n v="37.9"/>
    <n v="2.9"/>
    <n v="0.35"/>
    <n v="83.7"/>
    <n v="29.1"/>
    <n v="66.599999999999994"/>
    <n v="2"/>
    <n v="179"/>
    <x v="2"/>
    <s v="Good"/>
    <s v="Normal"/>
    <s v="High Humidity"/>
    <s v="Moderate Wind"/>
  </r>
  <r>
    <s v="AQ101455"/>
    <d v="2025-11-04T00:00:00"/>
    <x v="15"/>
    <x v="3"/>
    <s v="Station-04"/>
    <n v="108.3"/>
    <n v="172.3"/>
    <n v="19.399999999999999"/>
    <n v="13.6"/>
    <n v="1.31"/>
    <n v="31.3"/>
    <n v="20"/>
    <n v="64.8"/>
    <n v="1.4"/>
    <n v="357"/>
    <x v="0"/>
    <s v="VeryUnhealthy"/>
    <s v="Normal"/>
    <s v="High Humidity"/>
    <s v="Low Wind"/>
  </r>
  <r>
    <s v="AQ101456"/>
    <d v="2025-10-30T00:00:00"/>
    <x v="8"/>
    <x v="2"/>
    <s v="Station-07"/>
    <n v="111.6"/>
    <n v="103.2"/>
    <n v="15.3"/>
    <n v="25.9"/>
    <n v="0.47"/>
    <n v="18.5"/>
    <n v="31.7"/>
    <n v="77.3"/>
    <n v="1.7"/>
    <n v="296"/>
    <x v="1"/>
    <s v="Unhealthy"/>
    <s v="Hot"/>
    <s v="High Humidity"/>
    <s v="Low Wind"/>
  </r>
  <r>
    <s v="AQ101457"/>
    <d v="2025-04-27T00:00:00"/>
    <x v="6"/>
    <x v="1"/>
    <s v="Station-09"/>
    <n v="39.4"/>
    <n v="135"/>
    <n v="40.799999999999997"/>
    <n v="7"/>
    <n v="0.96"/>
    <n v="75.599999999999994"/>
    <n v="21.8"/>
    <n v="84.9"/>
    <n v="0.3"/>
    <n v="246"/>
    <x v="1"/>
    <s v="Unhealthy"/>
    <s v="Normal"/>
    <s v="High Humidity"/>
    <s v="Low Wind"/>
  </r>
  <r>
    <s v="AQ101458"/>
    <d v="2025-10-27T00:00:00"/>
    <x v="12"/>
    <x v="4"/>
    <s v="Station-05"/>
    <n v="43.8"/>
    <n v="47.6"/>
    <n v="11.8"/>
    <n v="7.7"/>
    <n v="0.42"/>
    <n v="26"/>
    <n v="20.3"/>
    <n v="58.6"/>
    <n v="2.5"/>
    <n v="138"/>
    <x v="2"/>
    <s v="Good"/>
    <s v="Normal"/>
    <s v="Normal Humidity"/>
    <s v="Moderate Wind"/>
  </r>
  <r>
    <s v="AQ101459"/>
    <d v="2025-04-12T00:00:00"/>
    <x v="10"/>
    <x v="3"/>
    <s v="Station-02"/>
    <n v="41.8"/>
    <n v="13.4"/>
    <n v="50.6"/>
    <n v="30.6"/>
    <n v="0.79"/>
    <n v="32.299999999999997"/>
    <n v="27.3"/>
    <n v="57.9"/>
    <n v="2.8"/>
    <n v="172"/>
    <x v="2"/>
    <s v="Good"/>
    <s v="Normal"/>
    <s v="Normal Humidity"/>
    <s v="Moderate Wind"/>
  </r>
  <r>
    <s v="AQ101460"/>
    <d v="2025-01-25T00:00:00"/>
    <x v="13"/>
    <x v="4"/>
    <s v="Station-04"/>
    <n v="34.6"/>
    <n v="124.6"/>
    <n v="35.200000000000003"/>
    <n v="5.4"/>
    <n v="0.22"/>
    <n v="21.2"/>
    <n v="21"/>
    <n v="47.7"/>
    <n v="0.7"/>
    <n v="183"/>
    <x v="2"/>
    <s v="Unhealthy"/>
    <s v="Normal"/>
    <s v="Normal Humidity"/>
    <s v="Low Wind"/>
  </r>
  <r>
    <s v="AQ101461"/>
    <d v="2025-03-03T00:00:00"/>
    <x v="8"/>
    <x v="2"/>
    <s v="Station-01"/>
    <n v="33.9"/>
    <n v="37.6"/>
    <n v="103.3"/>
    <n v="10.5"/>
    <n v="0.96"/>
    <n v="43.7"/>
    <n v="25.5"/>
    <n v="75.8"/>
    <n v="2.8"/>
    <n v="212"/>
    <x v="1"/>
    <s v="Good"/>
    <s v="Normal"/>
    <s v="High Humidity"/>
    <s v="Moderate Wind"/>
  </r>
  <r>
    <s v="AQ101462"/>
    <d v="2025-06-14T00:00:00"/>
    <x v="13"/>
    <x v="4"/>
    <s v="Station-09"/>
    <n v="15.5"/>
    <n v="60.2"/>
    <n v="34.700000000000003"/>
    <n v="22"/>
    <n v="0.66"/>
    <n v="60.1"/>
    <n v="16.7"/>
    <n v="63.3"/>
    <n v="3.4"/>
    <n v="151"/>
    <x v="2"/>
    <s v="Moderate"/>
    <s v="Cool"/>
    <s v="High Humidity"/>
    <s v="Moderate Wind"/>
  </r>
  <r>
    <s v="AQ101463"/>
    <d v="2025-07-08T00:00:00"/>
    <x v="6"/>
    <x v="1"/>
    <s v="Station-15"/>
    <n v="7.5"/>
    <n v="35.700000000000003"/>
    <n v="12.6"/>
    <n v="27.8"/>
    <n v="0.56999999999999995"/>
    <n v="36.299999999999997"/>
    <n v="38.1"/>
    <n v="42.9"/>
    <n v="1.4"/>
    <n v="95"/>
    <x v="3"/>
    <s v="Good"/>
    <s v="Hot"/>
    <s v="Normal Humidity"/>
    <s v="Low Wind"/>
  </r>
  <r>
    <s v="AQ101464"/>
    <d v="2025-01-02T00:00:00"/>
    <x v="3"/>
    <x v="2"/>
    <s v="Station-04"/>
    <n v="64.900000000000006"/>
    <n v="102.6"/>
    <n v="25.6"/>
    <n v="7.2"/>
    <n v="0.35"/>
    <n v="91.8"/>
    <n v="29"/>
    <n v="46.7"/>
    <n v="2.4"/>
    <n v="246"/>
    <x v="1"/>
    <s v="Unhealthy"/>
    <s v="Normal"/>
    <s v="Normal Humidity"/>
    <s v="Moderate Wind"/>
  </r>
  <r>
    <s v="AQ101465"/>
    <d v="2025-11-29T00:00:00"/>
    <x v="4"/>
    <x v="3"/>
    <s v="Station-01"/>
    <n v="28.3"/>
    <n v="42"/>
    <n v="16.899999999999999"/>
    <n v="2.8"/>
    <n v="1.1200000000000001"/>
    <n v="25.9"/>
    <n v="27.2"/>
    <n v="71"/>
    <n v="3.6"/>
    <n v="128"/>
    <x v="2"/>
    <s v="Good"/>
    <s v="Normal"/>
    <s v="High Humidity"/>
    <s v="Moderate Wind"/>
  </r>
  <r>
    <s v="AQ101466"/>
    <d v="2025-11-06T00:00:00"/>
    <x v="12"/>
    <x v="4"/>
    <s v="Station-04"/>
    <n v="23.6"/>
    <n v="46.3"/>
    <n v="3.2"/>
    <n v="6"/>
    <n v="1.82"/>
    <n v="32.6"/>
    <n v="30.4"/>
    <n v="94.3"/>
    <n v="2.6"/>
    <n v="135"/>
    <x v="2"/>
    <s v="Good"/>
    <s v="Hot"/>
    <s v="High Humidity"/>
    <s v="Moderate Wind"/>
  </r>
  <r>
    <s v="AQ101467"/>
    <d v="2025-05-31T00:00:00"/>
    <x v="3"/>
    <x v="2"/>
    <s v="Station-10"/>
    <n v="92.7"/>
    <n v="89.1"/>
    <n v="29.9"/>
    <n v="20.8"/>
    <n v="0.5"/>
    <n v="33.299999999999997"/>
    <n v="36.4"/>
    <n v="48.1"/>
    <n v="3.8"/>
    <n v="272"/>
    <x v="1"/>
    <s v="Moderate"/>
    <s v="Hot"/>
    <s v="Normal Humidity"/>
    <s v="Moderate Wind"/>
  </r>
  <r>
    <s v="AQ101468"/>
    <d v="2025-04-04T00:00:00"/>
    <x v="2"/>
    <x v="1"/>
    <s v="Station-14"/>
    <n v="46.8"/>
    <n v="138.4"/>
    <n v="14.8"/>
    <n v="23.8"/>
    <n v="0.71"/>
    <n v="38.5"/>
    <n v="22"/>
    <n v="55.9"/>
    <n v="1.5"/>
    <n v="228"/>
    <x v="1"/>
    <s v="Unhealthy"/>
    <s v="Normal"/>
    <s v="Normal Humidity"/>
    <s v="Low Wind"/>
  </r>
  <r>
    <s v="AQ101469"/>
    <d v="2025-08-12T00:00:00"/>
    <x v="10"/>
    <x v="3"/>
    <s v="Station-15"/>
    <n v="43"/>
    <n v="162"/>
    <n v="23"/>
    <n v="14.1"/>
    <n v="0.47"/>
    <n v="2.4"/>
    <n v="29.1"/>
    <n v="59"/>
    <n v="2.6"/>
    <n v="215"/>
    <x v="1"/>
    <s v="VeryUnhealthy"/>
    <s v="Normal"/>
    <s v="Normal Humidity"/>
    <s v="Moderate Wind"/>
  </r>
  <r>
    <s v="AQ101470"/>
    <d v="2025-06-06T00:00:00"/>
    <x v="1"/>
    <x v="1"/>
    <s v="Station-01"/>
    <n v="31"/>
    <n v="53.4"/>
    <n v="45.3"/>
    <n v="6"/>
    <n v="0.87"/>
    <n v="54"/>
    <n v="37.4"/>
    <n v="62"/>
    <n v="3.6"/>
    <n v="171"/>
    <x v="2"/>
    <s v="Moderate"/>
    <s v="Hot"/>
    <s v="High Humidity"/>
    <s v="Moderate Wind"/>
  </r>
  <r>
    <s v="AQ101471"/>
    <d v="2025-08-22T00:00:00"/>
    <x v="8"/>
    <x v="2"/>
    <s v="Station-02"/>
    <n v="72.8"/>
    <n v="134.9"/>
    <n v="20.2"/>
    <n v="7.2"/>
    <n v="1.51"/>
    <n v="117.9"/>
    <n v="9.8000000000000007"/>
    <n v="63.5"/>
    <n v="3.3"/>
    <n v="316"/>
    <x v="0"/>
    <s v="Unhealthy"/>
    <s v="Cool"/>
    <s v="High Humidity"/>
    <s v="Moderate Wind"/>
  </r>
  <r>
    <s v="AQ101472"/>
    <d v="2025-03-28T00:00:00"/>
    <x v="15"/>
    <x v="3"/>
    <s v="Station-03"/>
    <n v="87.1"/>
    <n v="92.5"/>
    <n v="29"/>
    <n v="24"/>
    <n v="1.22"/>
    <n v="10.6"/>
    <n v="31.2"/>
    <n v="61.9"/>
    <n v="1.7"/>
    <n v="275"/>
    <x v="1"/>
    <s v="Moderate"/>
    <s v="Hot"/>
    <s v="High Humidity"/>
    <s v="Low Wind"/>
  </r>
  <r>
    <s v="AQ101473"/>
    <d v="2025-04-08T00:00:00"/>
    <x v="6"/>
    <x v="1"/>
    <s v="Station-05"/>
    <n v="38.6"/>
    <n v="104.5"/>
    <n v="24.9"/>
    <n v="11.4"/>
    <n v="0.19"/>
    <n v="19.100000000000001"/>
    <n v="25.7"/>
    <n v="46.6"/>
    <n v="3.2"/>
    <n v="171"/>
    <x v="2"/>
    <s v="Unhealthy"/>
    <s v="Normal"/>
    <s v="Normal Humidity"/>
    <s v="Moderate Wind"/>
  </r>
  <r>
    <s v="AQ101474"/>
    <d v="2025-02-02T00:00:00"/>
    <x v="10"/>
    <x v="3"/>
    <s v="Station-02"/>
    <n v="20"/>
    <n v="66.7"/>
    <n v="23.3"/>
    <n v="9.4"/>
    <n v="0.64"/>
    <n v="57.2"/>
    <n v="25.4"/>
    <n v="65.3"/>
    <n v="1.7"/>
    <n v="142"/>
    <x v="2"/>
    <s v="Moderate"/>
    <s v="Normal"/>
    <s v="High Humidity"/>
    <s v="Low Wind"/>
  </r>
  <r>
    <s v="AQ101475"/>
    <d v="2025-08-11T00:00:00"/>
    <x v="11"/>
    <x v="0"/>
    <s v="Station-07"/>
    <n v="40.5"/>
    <n v="46.9"/>
    <n v="67.900000000000006"/>
    <n v="4.8"/>
    <n v="0.67"/>
    <n v="80"/>
    <n v="17.600000000000001"/>
    <n v="37.299999999999997"/>
    <n v="3"/>
    <n v="206"/>
    <x v="1"/>
    <s v="Good"/>
    <s v="Cool"/>
    <s v="Normal Humidity"/>
    <s v="Moderate Wind"/>
  </r>
  <r>
    <s v="AQ101476"/>
    <d v="2025-12-16T00:00:00"/>
    <x v="3"/>
    <x v="2"/>
    <s v="Station-01"/>
    <n v="143.6"/>
    <n v="116.2"/>
    <n v="17.2"/>
    <n v="13.3"/>
    <n v="1.03"/>
    <n v="54"/>
    <n v="30.3"/>
    <n v="92.6"/>
    <n v="1.7"/>
    <n v="378"/>
    <x v="0"/>
    <s v="Unhealthy"/>
    <s v="Hot"/>
    <s v="High Humidity"/>
    <s v="Low Wind"/>
  </r>
  <r>
    <s v="AQ101477"/>
    <d v="2025-11-24T00:00:00"/>
    <x v="15"/>
    <x v="3"/>
    <s v="Station-15"/>
    <n v="51.1"/>
    <n v="145.19999999999999"/>
    <n v="94.6"/>
    <n v="16.8"/>
    <n v="0.16"/>
    <n v="100.7"/>
    <n v="29.7"/>
    <n v="47.9"/>
    <n v="3.4"/>
    <n v="313"/>
    <x v="0"/>
    <s v="Unhealthy"/>
    <s v="Normal"/>
    <s v="Normal Humidity"/>
    <s v="Moderate Wind"/>
  </r>
  <r>
    <s v="AQ101478"/>
    <d v="2025-07-26T00:00:00"/>
    <x v="11"/>
    <x v="0"/>
    <s v="Station-02"/>
    <n v="99.1"/>
    <n v="48.9"/>
    <n v="25.5"/>
    <n v="7.7"/>
    <n v="1.04"/>
    <n v="49.6"/>
    <n v="34.799999999999997"/>
    <n v="53.3"/>
    <n v="1.6"/>
    <n v="264"/>
    <x v="1"/>
    <s v="Good"/>
    <s v="Hot"/>
    <s v="Normal Humidity"/>
    <s v="Low Wind"/>
  </r>
  <r>
    <s v="AQ101479"/>
    <d v="2025-02-19T00:00:00"/>
    <x v="3"/>
    <x v="2"/>
    <s v="Station-09"/>
    <n v="54.8"/>
    <n v="54.4"/>
    <n v="39.299999999999997"/>
    <n v="28.5"/>
    <n v="0.25"/>
    <n v="19.2"/>
    <n v="31.1"/>
    <n v="64.3"/>
    <n v="3.4"/>
    <n v="189"/>
    <x v="2"/>
    <s v="Moderate"/>
    <s v="Hot"/>
    <s v="High Humidity"/>
    <s v="Moderate Wind"/>
  </r>
  <r>
    <s v="AQ101480"/>
    <d v="2025-06-17T00:00:00"/>
    <x v="10"/>
    <x v="3"/>
    <s v="Station-14"/>
    <n v="44.5"/>
    <n v="67.7"/>
    <n v="20"/>
    <n v="10.8"/>
    <n v="0.18"/>
    <n v="41.5"/>
    <n v="24.8"/>
    <n v="76.2"/>
    <n v="2.1"/>
    <n v="162"/>
    <x v="2"/>
    <s v="Moderate"/>
    <s v="Normal"/>
    <s v="High Humidity"/>
    <s v="Moderate Wind"/>
  </r>
  <r>
    <s v="AQ101481"/>
    <d v="2025-06-08T00:00:00"/>
    <x v="1"/>
    <x v="1"/>
    <s v="Station-09"/>
    <n v="33.700000000000003"/>
    <n v="70.900000000000006"/>
    <n v="13.5"/>
    <n v="6.6"/>
    <n v="0.38"/>
    <n v="104.3"/>
    <n v="23.3"/>
    <n v="51.9"/>
    <n v="3.3"/>
    <n v="172"/>
    <x v="2"/>
    <s v="Moderate"/>
    <s v="Normal"/>
    <s v="Normal Humidity"/>
    <s v="Moderate Wind"/>
  </r>
  <r>
    <s v="AQ101482"/>
    <d v="2025-10-11T00:00:00"/>
    <x v="7"/>
    <x v="2"/>
    <s v="Station-15"/>
    <n v="82.5"/>
    <n v="89.3"/>
    <n v="43"/>
    <n v="30.5"/>
    <n v="0.46"/>
    <n v="42.6"/>
    <n v="28.6"/>
    <n v="63.5"/>
    <n v="1.5"/>
    <n v="276"/>
    <x v="1"/>
    <s v="Moderate"/>
    <s v="Normal"/>
    <s v="High Humidity"/>
    <s v="Low Wind"/>
  </r>
  <r>
    <s v="AQ101483"/>
    <d v="2025-04-12T00:00:00"/>
    <x v="10"/>
    <x v="3"/>
    <s v="Station-06"/>
    <n v="58.3"/>
    <n v="146"/>
    <n v="60.9"/>
    <n v="21"/>
    <n v="1.25"/>
    <n v="16.899999999999999"/>
    <n v="18.100000000000001"/>
    <n v="89.1"/>
    <n v="3"/>
    <n v="290"/>
    <x v="1"/>
    <s v="Unhealthy"/>
    <s v="Cool"/>
    <s v="High Humidity"/>
    <s v="Moderate Wind"/>
  </r>
  <r>
    <s v="AQ101484"/>
    <d v="2025-06-28T00:00:00"/>
    <x v="4"/>
    <x v="3"/>
    <s v="Station-15"/>
    <n v="68.599999999999994"/>
    <n v="89.7"/>
    <n v="62.7"/>
    <n v="11.3"/>
    <n v="0.28000000000000003"/>
    <n v="31.5"/>
    <n v="17"/>
    <n v="49"/>
    <n v="2.5"/>
    <n v="247"/>
    <x v="1"/>
    <s v="Moderate"/>
    <s v="Cool"/>
    <s v="Normal Humidity"/>
    <s v="Moderate Wind"/>
  </r>
  <r>
    <s v="AQ101485"/>
    <d v="2025-06-30T00:00:00"/>
    <x v="10"/>
    <x v="3"/>
    <s v="Station-02"/>
    <n v="52.7"/>
    <n v="16.2"/>
    <n v="58.6"/>
    <n v="20.100000000000001"/>
    <n v="0.85"/>
    <n v="54.4"/>
    <n v="31.9"/>
    <n v="59.7"/>
    <n v="0.1"/>
    <n v="202"/>
    <x v="1"/>
    <s v="Good"/>
    <s v="Hot"/>
    <s v="Normal Humidity"/>
    <s v="Low Wind"/>
  </r>
  <r>
    <s v="AQ101486"/>
    <d v="2025-11-06T00:00:00"/>
    <x v="8"/>
    <x v="2"/>
    <s v="Station-06"/>
    <n v="24.8"/>
    <n v="113"/>
    <n v="42.1"/>
    <n v="25.9"/>
    <n v="0.49"/>
    <n v="26.6"/>
    <n v="22.8"/>
    <n v="69.2"/>
    <n v="0.4"/>
    <n v="189"/>
    <x v="2"/>
    <s v="Unhealthy"/>
    <s v="Normal"/>
    <s v="High Humidity"/>
    <s v="Low Wind"/>
  </r>
  <r>
    <s v="AQ101487"/>
    <d v="2025-12-12T00:00:00"/>
    <x v="1"/>
    <x v="1"/>
    <s v="Station-10"/>
    <n v="7.9"/>
    <n v="146.69999999999999"/>
    <n v="37.1"/>
    <n v="25.8"/>
    <n v="0.65"/>
    <n v="33.299999999999997"/>
    <n v="19.399999999999999"/>
    <n v="58.7"/>
    <n v="2.8"/>
    <n v="187"/>
    <x v="2"/>
    <s v="Unhealthy"/>
    <s v="Cool"/>
    <s v="Normal Humidity"/>
    <s v="Moderate Wind"/>
  </r>
  <r>
    <s v="AQ101488"/>
    <d v="2025-10-23T00:00:00"/>
    <x v="6"/>
    <x v="1"/>
    <s v="Station-15"/>
    <n v="57.5"/>
    <n v="156.30000000000001"/>
    <n v="39.5"/>
    <n v="10.3"/>
    <n v="0.77"/>
    <n v="49.4"/>
    <n v="29.7"/>
    <n v="64.400000000000006"/>
    <n v="1.4"/>
    <n v="274"/>
    <x v="1"/>
    <s v="VeryUnhealthy"/>
    <s v="Normal"/>
    <s v="High Humidity"/>
    <s v="Low Wind"/>
  </r>
  <r>
    <s v="AQ101489"/>
    <d v="2025-04-23T00:00:00"/>
    <x v="12"/>
    <x v="4"/>
    <s v="Station-14"/>
    <n v="23.8"/>
    <n v="122.9"/>
    <n v="6.3"/>
    <n v="18.100000000000001"/>
    <n v="0.99"/>
    <n v="16.5"/>
    <n v="20.399999999999999"/>
    <n v="47.4"/>
    <n v="2.5"/>
    <n v="168"/>
    <x v="2"/>
    <s v="Unhealthy"/>
    <s v="Normal"/>
    <s v="Normal Humidity"/>
    <s v="Moderate Wind"/>
  </r>
  <r>
    <s v="AQ101490"/>
    <d v="2025-01-09T00:00:00"/>
    <x v="12"/>
    <x v="4"/>
    <s v="Station-14"/>
    <n v="38.9"/>
    <n v="171.9"/>
    <n v="8.8000000000000007"/>
    <n v="1.2"/>
    <n v="1.62"/>
    <n v="14.5"/>
    <n v="27.8"/>
    <n v="74.2"/>
    <n v="2"/>
    <n v="229"/>
    <x v="1"/>
    <s v="VeryUnhealthy"/>
    <s v="Normal"/>
    <s v="High Humidity"/>
    <s v="Moderate Wind"/>
  </r>
  <r>
    <s v="AQ101491"/>
    <d v="2025-08-11T00:00:00"/>
    <x v="3"/>
    <x v="2"/>
    <s v="Station-07"/>
    <n v="40.6"/>
    <n v="76"/>
    <n v="8.6999999999999993"/>
    <n v="20.399999999999999"/>
    <n v="0.66"/>
    <n v="63.7"/>
    <n v="21.9"/>
    <n v="57.2"/>
    <n v="1"/>
    <n v="181"/>
    <x v="2"/>
    <s v="Moderate"/>
    <s v="Normal"/>
    <s v="Normal Humidity"/>
    <s v="Low Wind"/>
  </r>
  <r>
    <s v="AQ101492"/>
    <d v="2025-06-28T00:00:00"/>
    <x v="13"/>
    <x v="4"/>
    <s v="Station-05"/>
    <n v="146.9"/>
    <n v="35.700000000000003"/>
    <n v="24.9"/>
    <n v="21.6"/>
    <n v="0.81"/>
    <n v="32.299999999999997"/>
    <n v="22.1"/>
    <n v="61.2"/>
    <n v="4.4000000000000004"/>
    <n v="328"/>
    <x v="0"/>
    <s v="Good"/>
    <s v="Normal"/>
    <s v="High Humidity"/>
    <s v="Moderate Wind"/>
  </r>
  <r>
    <s v="AQ101493"/>
    <d v="2025-12-08T00:00:00"/>
    <x v="14"/>
    <x v="3"/>
    <s v="Station-14"/>
    <n v="41.5"/>
    <n v="146.80000000000001"/>
    <n v="28.6"/>
    <n v="20.8"/>
    <n v="1.84"/>
    <n v="17.5"/>
    <n v="23.6"/>
    <n v="63.6"/>
    <n v="3"/>
    <n v="253"/>
    <x v="1"/>
    <s v="Unhealthy"/>
    <s v="Normal"/>
    <s v="High Humidity"/>
    <s v="Moderate Wind"/>
  </r>
  <r>
    <s v="AQ101494"/>
    <d v="2025-01-14T00:00:00"/>
    <x v="0"/>
    <x v="0"/>
    <s v="Station-09"/>
    <n v="71.599999999999994"/>
    <n v="70.5"/>
    <n v="26.5"/>
    <n v="29.4"/>
    <n v="0.61"/>
    <n v="23.2"/>
    <n v="20.7"/>
    <n v="59.6"/>
    <n v="2.6"/>
    <n v="228"/>
    <x v="1"/>
    <s v="Moderate"/>
    <s v="Normal"/>
    <s v="Normal Humidity"/>
    <s v="Moderate Wind"/>
  </r>
  <r>
    <s v="AQ101495"/>
    <d v="2025-08-21T00:00:00"/>
    <x v="11"/>
    <x v="0"/>
    <s v="Station-01"/>
    <n v="60.5"/>
    <n v="61.3"/>
    <n v="11.7"/>
    <n v="6.7"/>
    <n v="1.49"/>
    <n v="54.6"/>
    <n v="19.5"/>
    <n v="89.4"/>
    <n v="0.6"/>
    <n v="213"/>
    <x v="1"/>
    <s v="Moderate"/>
    <s v="Cool"/>
    <s v="High Humidity"/>
    <s v="Low Wind"/>
  </r>
  <r>
    <s v="AQ101496"/>
    <d v="2025-05-22T00:00:00"/>
    <x v="6"/>
    <x v="1"/>
    <s v="Station-10"/>
    <n v="53.8"/>
    <n v="137.6"/>
    <n v="22"/>
    <n v="10.8"/>
    <n v="0.77"/>
    <n v="12.2"/>
    <n v="29.5"/>
    <n v="53.8"/>
    <n v="3.7"/>
    <n v="225"/>
    <x v="1"/>
    <s v="Unhealthy"/>
    <s v="Normal"/>
    <s v="Normal Humidity"/>
    <s v="Moderate Wind"/>
  </r>
  <r>
    <s v="AQ101497"/>
    <d v="2025-07-08T00:00:00"/>
    <x v="10"/>
    <x v="3"/>
    <s v="Station-10"/>
    <n v="57.1"/>
    <n v="61.4"/>
    <n v="17.899999999999999"/>
    <n v="2"/>
    <n v="0.75"/>
    <n v="39"/>
    <n v="34.6"/>
    <n v="39.5"/>
    <n v="3.3"/>
    <n v="183"/>
    <x v="2"/>
    <s v="Moderate"/>
    <s v="Hot"/>
    <s v="Normal Humidity"/>
    <s v="Moderate Wind"/>
  </r>
  <r>
    <s v="AQ101498"/>
    <d v="2025-05-16T00:00:00"/>
    <x v="13"/>
    <x v="4"/>
    <s v="Station-03"/>
    <n v="87.4"/>
    <n v="69.400000000000006"/>
    <n v="38.799999999999997"/>
    <n v="2.5"/>
    <n v="0.5"/>
    <n v="41.9"/>
    <n v="23.4"/>
    <n v="66.7"/>
    <n v="2.8"/>
    <n v="249"/>
    <x v="1"/>
    <s v="Moderate"/>
    <s v="Normal"/>
    <s v="High Humidity"/>
    <s v="Moderate Wind"/>
  </r>
  <r>
    <s v="AQ101499"/>
    <d v="2025-01-29T00:00:00"/>
    <x v="15"/>
    <x v="3"/>
    <s v="Station-09"/>
    <n v="62.8"/>
    <n v="154.1"/>
    <n v="17"/>
    <n v="26.5"/>
    <n v="0.48"/>
    <n v="7.2"/>
    <n v="24.5"/>
    <n v="58.1"/>
    <n v="2.8"/>
    <n v="248"/>
    <x v="1"/>
    <s v="VeryUnhealthy"/>
    <s v="Normal"/>
    <s v="Normal Humidity"/>
    <s v="Moderate Wind"/>
  </r>
  <r>
    <s v="AQ101500"/>
    <d v="2025-10-19T00:00:00"/>
    <x v="0"/>
    <x v="0"/>
    <s v="Station-12"/>
    <n v="44.9"/>
    <n v="81.2"/>
    <n v="4.5"/>
    <n v="13.7"/>
    <n v="0.59"/>
    <n v="14.3"/>
    <n v="24.6"/>
    <n v="70.400000000000006"/>
    <n v="3.3"/>
    <n v="159"/>
    <x v="2"/>
    <s v="Moderate"/>
    <s v="Normal"/>
    <s v="High Humidity"/>
    <s v="Moderate Wi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ity ">
  <location ref="M2:N19" firstHeaderRow="1" firstDataRow="1" firstDataCol="1"/>
  <pivotFields count="20">
    <pivotField showAll="0"/>
    <pivotField numFmtId="164" showAll="0"/>
    <pivotField axis="axisRow" showAll="0">
      <items count="17">
        <item x="7"/>
        <item x="10"/>
        <item x="0"/>
        <item x="13"/>
        <item x="1"/>
        <item x="14"/>
        <item x="15"/>
        <item x="2"/>
        <item x="4"/>
        <item x="9"/>
        <item x="6"/>
        <item x="5"/>
        <item x="3"/>
        <item x="11"/>
        <item x="1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Wind_Speed_m_s" fld="13" subtotal="average" baseField="2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I2:J8" firstHeaderRow="1" firstDataRow="1" firstDataCol="1"/>
  <pivotFields count="20">
    <pivotField showAll="0"/>
    <pivotField numFmtId="164"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emperature_C" fld="11" subtotal="average" baseField="3" baseItem="0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ity" colHeaderCaption="AQI Category">
  <location ref="A2:F20" firstHeaderRow="1" firstDataRow="2" firstDataCol="1"/>
  <pivotFields count="20">
    <pivotField showAll="0"/>
    <pivotField numFmtId="164" showAll="0"/>
    <pivotField axis="axisRow" showAll="0">
      <items count="17">
        <item x="7"/>
        <item x="10"/>
        <item x="0"/>
        <item x="13"/>
        <item x="1"/>
        <item x="14"/>
        <item x="15"/>
        <item x="2"/>
        <item x="4"/>
        <item x="9"/>
        <item x="6"/>
        <item x="5"/>
        <item x="3"/>
        <item x="11"/>
        <item x="1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QI" fld="14" subtotal="count" baseField="2" baseItem="4"/>
  </dataFields>
  <formats count="1">
    <format dxfId="1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T1501" totalsRowShown="0" headerRowDxfId="35">
  <tableColumns count="20">
    <tableColumn id="1" name="Record_ID" dataDxfId="34"/>
    <tableColumn id="2" name="Date" dataDxfId="33"/>
    <tableColumn id="3" name="City" dataDxfId="32"/>
    <tableColumn id="4" name="Region" dataDxfId="31"/>
    <tableColumn id="5" name="Monitoring_Station" dataDxfId="30"/>
    <tableColumn id="6" name="PM2.5_ug_m3" dataDxfId="29"/>
    <tableColumn id="7" name="PM10_ug_m3" dataDxfId="28"/>
    <tableColumn id="8" name="NO2_ug_m3" dataDxfId="27"/>
    <tableColumn id="9" name="SO2_ug_m3" dataDxfId="26"/>
    <tableColumn id="10" name="CO_mg_m3" dataDxfId="25"/>
    <tableColumn id="11" name="O3_ug_m3" dataDxfId="24"/>
    <tableColumn id="12" name="Temperature_C" dataDxfId="23"/>
    <tableColumn id="13" name="Humidity_Percent" dataDxfId="22"/>
    <tableColumn id="14" name="Wind_Speed_m_s" dataDxfId="21"/>
    <tableColumn id="15" name="AQI" dataDxfId="20"/>
    <tableColumn id="16" name="AQI_Category" dataDxfId="19"/>
    <tableColumn id="17" name="Polution_Status" dataDxfId="18">
      <calculatedColumnFormula>IF(G2&lt;50,"Good",IF(G2&lt;=100,"Moderate",IF(G2&lt;=150,"Unhealthy","VeryUnhealthy")))</calculatedColumnFormula>
    </tableColumn>
    <tableColumn id="18" name="Temperature_Level" dataDxfId="17">
      <calculatedColumnFormula>IF(L2&lt;20,"Cool",IF(L2&lt;=30,"Normal","Hot"))</calculatedColumnFormula>
    </tableColumn>
    <tableColumn id="19" name="Humidity _Status" dataDxfId="16">
      <calculatedColumnFormula>IF(M2&lt;30,"Low Humidity",IF(M2&lt;=60,"Normal Humidity","High Humidity"))</calculatedColumnFormula>
    </tableColumn>
    <tableColumn id="20" name="Wind Condition" dataDxfId="15">
      <calculatedColumnFormula>IF(N2&lt;2,"Low Wind",IF(N2&lt;=5,"Moderate Wind","High Wind"))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04"/>
  <sheetViews>
    <sheetView tabSelected="1" workbookViewId="0">
      <selection activeCell="H10" sqref="H10"/>
    </sheetView>
  </sheetViews>
  <sheetFormatPr defaultRowHeight="15" x14ac:dyDescent="0.25"/>
  <cols>
    <col min="1" max="1" width="10" bestFit="1" customWidth="1"/>
    <col min="2" max="2" width="26.85546875" customWidth="1"/>
    <col min="3" max="3" width="13.5703125" bestFit="1" customWidth="1"/>
    <col min="4" max="4" width="7.42578125" bestFit="1" customWidth="1"/>
    <col min="5" max="5" width="18.5703125" bestFit="1" customWidth="1"/>
    <col min="6" max="6" width="13.5703125" bestFit="1" customWidth="1"/>
    <col min="7" max="7" width="12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s="2">
        <v>46010</v>
      </c>
      <c r="C2" t="s">
        <v>17</v>
      </c>
      <c r="D2" t="s">
        <v>18</v>
      </c>
      <c r="E2" t="s">
        <v>19</v>
      </c>
      <c r="F2">
        <v>103.5</v>
      </c>
      <c r="G2">
        <v>133</v>
      </c>
      <c r="H2">
        <v>27.2</v>
      </c>
      <c r="I2">
        <v>17.8</v>
      </c>
      <c r="J2">
        <v>1.66</v>
      </c>
      <c r="K2">
        <v>27</v>
      </c>
      <c r="L2">
        <v>28.4</v>
      </c>
      <c r="M2">
        <v>40.200000000000003</v>
      </c>
      <c r="N2">
        <v>2.6</v>
      </c>
      <c r="O2">
        <v>340</v>
      </c>
      <c r="P2" t="s">
        <v>20</v>
      </c>
    </row>
    <row r="3" spans="1:16" x14ac:dyDescent="0.25">
      <c r="A3" t="s">
        <v>21</v>
      </c>
      <c r="B3" s="2">
        <v>45911</v>
      </c>
      <c r="C3" t="s">
        <v>22</v>
      </c>
      <c r="D3" t="s">
        <v>23</v>
      </c>
      <c r="E3" t="s">
        <v>24</v>
      </c>
      <c r="F3">
        <v>69.3</v>
      </c>
      <c r="G3">
        <v>206.9</v>
      </c>
      <c r="H3">
        <v>43.2</v>
      </c>
      <c r="I3">
        <v>20</v>
      </c>
      <c r="J3">
        <v>0.96</v>
      </c>
      <c r="K3">
        <v>17</v>
      </c>
      <c r="L3">
        <v>36.9</v>
      </c>
      <c r="M3">
        <v>88.5</v>
      </c>
      <c r="N3">
        <v>1.5</v>
      </c>
      <c r="O3">
        <v>326</v>
      </c>
      <c r="P3" t="s">
        <v>20</v>
      </c>
    </row>
    <row r="4" spans="1:16" x14ac:dyDescent="0.25">
      <c r="A4" t="s">
        <v>25</v>
      </c>
      <c r="B4" s="2">
        <v>45803</v>
      </c>
      <c r="C4" t="s">
        <v>26</v>
      </c>
      <c r="D4" t="s">
        <v>23</v>
      </c>
      <c r="E4" t="s">
        <v>27</v>
      </c>
      <c r="F4">
        <v>42.2</v>
      </c>
      <c r="G4">
        <v>138.1</v>
      </c>
      <c r="H4">
        <v>24</v>
      </c>
      <c r="I4">
        <v>1.4</v>
      </c>
      <c r="J4">
        <v>0.14000000000000001</v>
      </c>
      <c r="K4">
        <v>62.3</v>
      </c>
      <c r="L4">
        <v>37.4</v>
      </c>
      <c r="M4">
        <v>53.4</v>
      </c>
      <c r="N4">
        <v>2.2000000000000002</v>
      </c>
      <c r="O4">
        <v>209</v>
      </c>
      <c r="P4" t="s">
        <v>28</v>
      </c>
    </row>
    <row r="5" spans="1:16" x14ac:dyDescent="0.25">
      <c r="A5" t="s">
        <v>29</v>
      </c>
      <c r="B5" s="2">
        <v>45716</v>
      </c>
      <c r="C5" t="s">
        <v>30</v>
      </c>
      <c r="D5" t="s">
        <v>31</v>
      </c>
      <c r="E5" t="s">
        <v>32</v>
      </c>
      <c r="F5">
        <v>18.2</v>
      </c>
      <c r="G5">
        <v>133.19999999999999</v>
      </c>
      <c r="H5">
        <v>45.4</v>
      </c>
      <c r="I5">
        <v>10.199999999999999</v>
      </c>
      <c r="J5">
        <v>0.55000000000000004</v>
      </c>
      <c r="K5">
        <v>53.4</v>
      </c>
      <c r="L5">
        <v>21.2</v>
      </c>
      <c r="M5">
        <v>34.200000000000003</v>
      </c>
      <c r="N5">
        <v>3.6</v>
      </c>
      <c r="O5">
        <v>197</v>
      </c>
      <c r="P5" t="s">
        <v>33</v>
      </c>
    </row>
    <row r="6" spans="1:16" x14ac:dyDescent="0.25">
      <c r="A6" t="s">
        <v>34</v>
      </c>
      <c r="B6" s="2">
        <v>45930</v>
      </c>
      <c r="C6" t="s">
        <v>35</v>
      </c>
      <c r="D6" t="s">
        <v>36</v>
      </c>
      <c r="E6" t="s">
        <v>32</v>
      </c>
      <c r="F6">
        <v>46</v>
      </c>
      <c r="G6">
        <v>58.1</v>
      </c>
      <c r="H6">
        <v>8.1</v>
      </c>
      <c r="I6">
        <v>12.6</v>
      </c>
      <c r="J6">
        <v>0.46</v>
      </c>
      <c r="K6">
        <v>21.9</v>
      </c>
      <c r="L6">
        <v>23.6</v>
      </c>
      <c r="M6">
        <v>47.1</v>
      </c>
      <c r="N6">
        <v>2.2000000000000002</v>
      </c>
      <c r="O6">
        <v>148</v>
      </c>
      <c r="P6" t="s">
        <v>33</v>
      </c>
    </row>
    <row r="7" spans="1:16" x14ac:dyDescent="0.25">
      <c r="A7" t="s">
        <v>37</v>
      </c>
      <c r="B7" s="2">
        <v>45969</v>
      </c>
      <c r="C7" t="s">
        <v>38</v>
      </c>
      <c r="D7" t="s">
        <v>39</v>
      </c>
      <c r="E7" t="s">
        <v>40</v>
      </c>
      <c r="F7">
        <v>40.1</v>
      </c>
      <c r="G7">
        <v>72.7</v>
      </c>
      <c r="H7">
        <v>47.7</v>
      </c>
      <c r="I7">
        <v>7.6</v>
      </c>
      <c r="J7">
        <v>1.68</v>
      </c>
      <c r="K7">
        <v>87.8</v>
      </c>
      <c r="L7">
        <v>29.9</v>
      </c>
      <c r="M7">
        <v>62.5</v>
      </c>
      <c r="N7">
        <v>1.8</v>
      </c>
      <c r="O7">
        <v>236</v>
      </c>
      <c r="P7" t="s">
        <v>28</v>
      </c>
    </row>
    <row r="8" spans="1:16" x14ac:dyDescent="0.25">
      <c r="A8" t="s">
        <v>41</v>
      </c>
      <c r="B8" s="2">
        <v>46009</v>
      </c>
      <c r="C8" t="s">
        <v>42</v>
      </c>
      <c r="D8" t="s">
        <v>23</v>
      </c>
      <c r="E8" t="s">
        <v>43</v>
      </c>
      <c r="F8">
        <v>118.1</v>
      </c>
      <c r="G8">
        <v>63</v>
      </c>
      <c r="H8">
        <v>74.7</v>
      </c>
      <c r="I8">
        <v>28.1</v>
      </c>
      <c r="J8">
        <v>0.63</v>
      </c>
      <c r="K8">
        <v>41.3</v>
      </c>
      <c r="L8">
        <v>32.200000000000003</v>
      </c>
      <c r="M8">
        <v>44</v>
      </c>
      <c r="N8">
        <v>1.4</v>
      </c>
      <c r="O8">
        <v>344</v>
      </c>
      <c r="P8" t="s">
        <v>20</v>
      </c>
    </row>
    <row r="9" spans="1:16" x14ac:dyDescent="0.25">
      <c r="A9" t="s">
        <v>44</v>
      </c>
      <c r="B9" s="2">
        <v>45742</v>
      </c>
      <c r="C9" t="s">
        <v>35</v>
      </c>
      <c r="D9" t="s">
        <v>36</v>
      </c>
      <c r="E9" t="s">
        <v>45</v>
      </c>
      <c r="F9">
        <v>49.1</v>
      </c>
      <c r="G9">
        <v>87.3</v>
      </c>
      <c r="H9">
        <v>83.2</v>
      </c>
      <c r="I9">
        <v>27.3</v>
      </c>
      <c r="J9">
        <v>0.17</v>
      </c>
      <c r="K9">
        <v>64.8</v>
      </c>
      <c r="L9">
        <v>32.200000000000003</v>
      </c>
      <c r="M9">
        <v>76.7</v>
      </c>
      <c r="N9">
        <v>2.6</v>
      </c>
      <c r="O9">
        <v>254</v>
      </c>
      <c r="P9" t="s">
        <v>28</v>
      </c>
    </row>
    <row r="10" spans="1:16" x14ac:dyDescent="0.25">
      <c r="A10" t="s">
        <v>46</v>
      </c>
      <c r="B10" s="2">
        <v>45885</v>
      </c>
      <c r="C10" t="s">
        <v>30</v>
      </c>
      <c r="D10" t="s">
        <v>31</v>
      </c>
      <c r="E10" t="s">
        <v>32</v>
      </c>
      <c r="F10">
        <v>55.8</v>
      </c>
      <c r="G10">
        <v>92.2</v>
      </c>
      <c r="H10">
        <v>85.9</v>
      </c>
      <c r="I10">
        <v>7.7</v>
      </c>
      <c r="J10">
        <v>1.02</v>
      </c>
      <c r="K10">
        <v>33.9</v>
      </c>
      <c r="L10">
        <v>29.8</v>
      </c>
      <c r="M10">
        <v>43.8</v>
      </c>
      <c r="N10">
        <v>0.9</v>
      </c>
      <c r="O10">
        <v>264</v>
      </c>
      <c r="P10" t="s">
        <v>28</v>
      </c>
    </row>
    <row r="11" spans="1:16" x14ac:dyDescent="0.25">
      <c r="A11" t="s">
        <v>47</v>
      </c>
      <c r="B11" s="2">
        <v>45684</v>
      </c>
      <c r="C11" t="s">
        <v>35</v>
      </c>
      <c r="D11" t="s">
        <v>36</v>
      </c>
      <c r="E11" t="s">
        <v>45</v>
      </c>
      <c r="F11">
        <v>3.8</v>
      </c>
      <c r="G11">
        <v>119.9</v>
      </c>
      <c r="H11">
        <v>23.6</v>
      </c>
      <c r="I11">
        <v>10.6</v>
      </c>
      <c r="J11">
        <v>0.8</v>
      </c>
      <c r="K11">
        <v>31.9</v>
      </c>
      <c r="L11">
        <v>36.9</v>
      </c>
      <c r="M11">
        <v>95.7</v>
      </c>
      <c r="N11">
        <v>3.4</v>
      </c>
      <c r="O11">
        <v>145</v>
      </c>
      <c r="P11" t="s">
        <v>33</v>
      </c>
    </row>
    <row r="12" spans="1:16" x14ac:dyDescent="0.25">
      <c r="A12" t="s">
        <v>48</v>
      </c>
      <c r="B12" s="2">
        <v>46005</v>
      </c>
      <c r="C12" t="s">
        <v>17</v>
      </c>
      <c r="D12" t="s">
        <v>18</v>
      </c>
      <c r="E12" t="s">
        <v>40</v>
      </c>
      <c r="F12">
        <v>101.6</v>
      </c>
      <c r="G12">
        <v>116.6</v>
      </c>
      <c r="H12">
        <v>19.100000000000001</v>
      </c>
      <c r="I12">
        <v>62.5</v>
      </c>
      <c r="J12">
        <v>1.1399999999999999</v>
      </c>
      <c r="K12">
        <v>9.1</v>
      </c>
      <c r="L12">
        <v>31.8</v>
      </c>
      <c r="M12">
        <v>64.5</v>
      </c>
      <c r="N12">
        <v>0.9</v>
      </c>
      <c r="O12">
        <v>330</v>
      </c>
      <c r="P12" t="s">
        <v>20</v>
      </c>
    </row>
    <row r="13" spans="1:16" x14ac:dyDescent="0.25">
      <c r="A13" t="s">
        <v>49</v>
      </c>
      <c r="B13" s="2">
        <v>45688</v>
      </c>
      <c r="C13" t="s">
        <v>50</v>
      </c>
      <c r="D13" t="s">
        <v>31</v>
      </c>
      <c r="E13" t="s">
        <v>19</v>
      </c>
      <c r="F13">
        <v>19.100000000000001</v>
      </c>
      <c r="G13">
        <v>80.099999999999994</v>
      </c>
      <c r="H13">
        <v>16.100000000000001</v>
      </c>
      <c r="I13">
        <v>13.3</v>
      </c>
      <c r="J13">
        <v>1.23</v>
      </c>
      <c r="K13">
        <v>18.899999999999999</v>
      </c>
      <c r="L13">
        <v>32.4</v>
      </c>
      <c r="M13">
        <v>57.4</v>
      </c>
      <c r="N13">
        <v>1.6</v>
      </c>
      <c r="O13">
        <v>144</v>
      </c>
      <c r="P13" t="s">
        <v>33</v>
      </c>
    </row>
    <row r="14" spans="1:16" x14ac:dyDescent="0.25">
      <c r="A14" t="s">
        <v>51</v>
      </c>
      <c r="B14" s="2">
        <v>45946</v>
      </c>
      <c r="C14" t="s">
        <v>52</v>
      </c>
      <c r="D14" t="s">
        <v>31</v>
      </c>
      <c r="E14" t="s">
        <v>32</v>
      </c>
      <c r="F14">
        <v>38.6</v>
      </c>
      <c r="G14">
        <v>113.7</v>
      </c>
      <c r="H14">
        <v>14.9</v>
      </c>
      <c r="I14">
        <v>23.9</v>
      </c>
      <c r="J14">
        <v>0.96</v>
      </c>
      <c r="K14">
        <v>32.200000000000003</v>
      </c>
      <c r="L14">
        <v>22.5</v>
      </c>
      <c r="M14">
        <v>71.5</v>
      </c>
      <c r="N14">
        <v>2</v>
      </c>
      <c r="O14">
        <v>203</v>
      </c>
      <c r="P14" t="s">
        <v>28</v>
      </c>
    </row>
    <row r="15" spans="1:16" x14ac:dyDescent="0.25">
      <c r="A15" t="s">
        <v>53</v>
      </c>
      <c r="B15" s="2">
        <v>45944</v>
      </c>
      <c r="C15" t="s">
        <v>54</v>
      </c>
      <c r="D15" t="s">
        <v>18</v>
      </c>
      <c r="E15" t="s">
        <v>55</v>
      </c>
      <c r="F15">
        <v>47.4</v>
      </c>
      <c r="G15">
        <v>74.5</v>
      </c>
      <c r="H15">
        <v>23.8</v>
      </c>
      <c r="I15">
        <v>4.5</v>
      </c>
      <c r="J15">
        <v>1.34</v>
      </c>
      <c r="K15">
        <v>15.2</v>
      </c>
      <c r="L15">
        <v>21.1</v>
      </c>
      <c r="M15">
        <v>58.8</v>
      </c>
      <c r="N15">
        <v>3.3</v>
      </c>
      <c r="O15">
        <v>187</v>
      </c>
      <c r="P15" t="s">
        <v>33</v>
      </c>
    </row>
    <row r="16" spans="1:16" x14ac:dyDescent="0.25">
      <c r="A16" t="s">
        <v>56</v>
      </c>
      <c r="B16" s="2">
        <v>45825</v>
      </c>
      <c r="C16" t="s">
        <v>52</v>
      </c>
      <c r="D16" t="s">
        <v>31</v>
      </c>
      <c r="E16" t="s">
        <v>27</v>
      </c>
      <c r="F16">
        <v>33.5</v>
      </c>
      <c r="G16">
        <v>19.8</v>
      </c>
      <c r="H16">
        <v>28.7</v>
      </c>
      <c r="I16">
        <v>13.2</v>
      </c>
      <c r="J16">
        <v>0.28999999999999998</v>
      </c>
      <c r="K16">
        <v>7.3</v>
      </c>
      <c r="L16">
        <v>29</v>
      </c>
      <c r="M16">
        <v>66.3</v>
      </c>
      <c r="N16">
        <v>3</v>
      </c>
      <c r="O16">
        <v>109</v>
      </c>
      <c r="P16" t="s">
        <v>33</v>
      </c>
    </row>
    <row r="17" spans="1:16" x14ac:dyDescent="0.25">
      <c r="A17" t="s">
        <v>57</v>
      </c>
      <c r="B17" s="2">
        <v>45964</v>
      </c>
      <c r="C17" t="s">
        <v>22</v>
      </c>
      <c r="D17" t="s">
        <v>23</v>
      </c>
      <c r="E17" t="s">
        <v>58</v>
      </c>
      <c r="F17">
        <v>32.6</v>
      </c>
      <c r="G17">
        <v>111</v>
      </c>
      <c r="H17">
        <v>49.5</v>
      </c>
      <c r="I17">
        <v>21.3</v>
      </c>
      <c r="J17">
        <v>1.03</v>
      </c>
      <c r="K17">
        <v>23</v>
      </c>
      <c r="L17">
        <v>27.9</v>
      </c>
      <c r="M17">
        <v>52.6</v>
      </c>
      <c r="N17">
        <v>2.4</v>
      </c>
      <c r="O17">
        <v>215</v>
      </c>
      <c r="P17" t="s">
        <v>28</v>
      </c>
    </row>
    <row r="18" spans="1:16" x14ac:dyDescent="0.25">
      <c r="A18" t="s">
        <v>59</v>
      </c>
      <c r="B18" s="2">
        <v>45680</v>
      </c>
      <c r="C18" t="s">
        <v>17</v>
      </c>
      <c r="D18" t="s">
        <v>18</v>
      </c>
      <c r="E18" t="s">
        <v>27</v>
      </c>
      <c r="F18">
        <v>60.3</v>
      </c>
      <c r="G18">
        <v>118.1</v>
      </c>
      <c r="H18">
        <v>15.9</v>
      </c>
      <c r="I18">
        <v>10.1</v>
      </c>
      <c r="J18">
        <v>0.13</v>
      </c>
      <c r="K18">
        <v>5.8</v>
      </c>
      <c r="L18">
        <v>24.4</v>
      </c>
      <c r="M18">
        <v>76</v>
      </c>
      <c r="N18">
        <v>1.5</v>
      </c>
      <c r="O18">
        <v>199</v>
      </c>
      <c r="P18" t="s">
        <v>33</v>
      </c>
    </row>
    <row r="19" spans="1:16" x14ac:dyDescent="0.25">
      <c r="A19" t="s">
        <v>60</v>
      </c>
      <c r="B19" s="2">
        <v>45979</v>
      </c>
      <c r="C19" t="s">
        <v>30</v>
      </c>
      <c r="D19" t="s">
        <v>31</v>
      </c>
      <c r="E19" t="s">
        <v>61</v>
      </c>
      <c r="F19">
        <v>38.6</v>
      </c>
      <c r="G19">
        <v>38.200000000000003</v>
      </c>
      <c r="H19">
        <v>18.5</v>
      </c>
      <c r="I19">
        <v>6.3</v>
      </c>
      <c r="J19">
        <v>0.94</v>
      </c>
      <c r="K19">
        <v>39.799999999999997</v>
      </c>
      <c r="L19">
        <v>24</v>
      </c>
      <c r="M19">
        <v>69.599999999999994</v>
      </c>
      <c r="N19">
        <v>2.5</v>
      </c>
      <c r="O19">
        <v>147</v>
      </c>
      <c r="P19" t="s">
        <v>33</v>
      </c>
    </row>
    <row r="20" spans="1:16" x14ac:dyDescent="0.25">
      <c r="A20" t="s">
        <v>62</v>
      </c>
      <c r="B20" s="2">
        <v>45789</v>
      </c>
      <c r="C20" t="s">
        <v>42</v>
      </c>
      <c r="D20" t="s">
        <v>23</v>
      </c>
      <c r="E20" t="s">
        <v>19</v>
      </c>
      <c r="F20">
        <v>13.5</v>
      </c>
      <c r="G20">
        <v>91.7</v>
      </c>
      <c r="H20">
        <v>18.3</v>
      </c>
      <c r="I20">
        <v>32.200000000000003</v>
      </c>
      <c r="J20">
        <v>1.07</v>
      </c>
      <c r="K20">
        <v>25.3</v>
      </c>
      <c r="L20">
        <v>32.6</v>
      </c>
      <c r="M20">
        <v>72.099999999999994</v>
      </c>
      <c r="N20">
        <v>2.5</v>
      </c>
      <c r="O20">
        <v>157</v>
      </c>
      <c r="P20" t="s">
        <v>33</v>
      </c>
    </row>
    <row r="21" spans="1:16" x14ac:dyDescent="0.25">
      <c r="A21" t="s">
        <v>63</v>
      </c>
      <c r="B21" s="2">
        <v>45933</v>
      </c>
      <c r="C21" t="s">
        <v>64</v>
      </c>
      <c r="D21" t="s">
        <v>36</v>
      </c>
      <c r="E21" t="s">
        <v>19</v>
      </c>
      <c r="F21">
        <v>18.3</v>
      </c>
      <c r="G21">
        <v>55.7</v>
      </c>
      <c r="H21">
        <v>19.7</v>
      </c>
      <c r="I21">
        <v>4.0999999999999996</v>
      </c>
      <c r="J21">
        <v>0.34</v>
      </c>
      <c r="K21">
        <v>84.8</v>
      </c>
      <c r="L21">
        <v>33.6</v>
      </c>
      <c r="M21">
        <v>53.5</v>
      </c>
      <c r="N21">
        <v>1.6</v>
      </c>
      <c r="O21">
        <v>131</v>
      </c>
      <c r="P21" t="s">
        <v>33</v>
      </c>
    </row>
    <row r="22" spans="1:16" x14ac:dyDescent="0.25">
      <c r="A22" t="s">
        <v>65</v>
      </c>
      <c r="B22" s="2">
        <v>45703</v>
      </c>
      <c r="C22" t="s">
        <v>22</v>
      </c>
      <c r="D22" t="s">
        <v>23</v>
      </c>
      <c r="E22" t="s">
        <v>61</v>
      </c>
      <c r="F22">
        <v>165</v>
      </c>
      <c r="G22">
        <v>79.599999999999994</v>
      </c>
      <c r="H22">
        <v>40.4</v>
      </c>
      <c r="I22">
        <v>13</v>
      </c>
      <c r="J22">
        <v>0.86</v>
      </c>
      <c r="K22">
        <v>62.4</v>
      </c>
      <c r="L22">
        <v>28.8</v>
      </c>
      <c r="M22">
        <v>58.3</v>
      </c>
      <c r="N22">
        <v>2</v>
      </c>
      <c r="O22">
        <v>407</v>
      </c>
      <c r="P22" t="s">
        <v>20</v>
      </c>
    </row>
    <row r="23" spans="1:16" x14ac:dyDescent="0.25">
      <c r="A23" t="s">
        <v>66</v>
      </c>
      <c r="B23" s="2">
        <v>45984</v>
      </c>
      <c r="C23" t="s">
        <v>67</v>
      </c>
      <c r="D23" t="s">
        <v>18</v>
      </c>
      <c r="E23" t="s">
        <v>68</v>
      </c>
      <c r="F23">
        <v>87.8</v>
      </c>
      <c r="G23">
        <v>76.8</v>
      </c>
      <c r="H23">
        <v>65.400000000000006</v>
      </c>
      <c r="I23">
        <v>17.399999999999999</v>
      </c>
      <c r="J23">
        <v>0.36</v>
      </c>
      <c r="K23">
        <v>29.3</v>
      </c>
      <c r="L23">
        <v>22.5</v>
      </c>
      <c r="M23">
        <v>27.2</v>
      </c>
      <c r="N23">
        <v>3</v>
      </c>
      <c r="O23">
        <v>277</v>
      </c>
      <c r="P23" t="s">
        <v>28</v>
      </c>
    </row>
    <row r="24" spans="1:16" x14ac:dyDescent="0.25">
      <c r="A24" t="s">
        <v>69</v>
      </c>
      <c r="B24" s="2">
        <v>45714</v>
      </c>
      <c r="C24" t="s">
        <v>52</v>
      </c>
      <c r="D24" t="s">
        <v>31</v>
      </c>
      <c r="E24" t="s">
        <v>70</v>
      </c>
      <c r="F24">
        <v>8.9</v>
      </c>
      <c r="G24">
        <v>41.6</v>
      </c>
      <c r="H24">
        <v>32.9</v>
      </c>
      <c r="I24">
        <v>11.5</v>
      </c>
      <c r="J24">
        <v>0.5</v>
      </c>
      <c r="K24">
        <v>14.9</v>
      </c>
      <c r="L24">
        <v>21.8</v>
      </c>
      <c r="M24">
        <v>67.099999999999994</v>
      </c>
      <c r="N24">
        <v>2.1</v>
      </c>
      <c r="O24">
        <v>95</v>
      </c>
      <c r="P24" t="s">
        <v>71</v>
      </c>
    </row>
    <row r="25" spans="1:16" x14ac:dyDescent="0.25">
      <c r="A25" t="s">
        <v>72</v>
      </c>
      <c r="B25" s="2">
        <v>45996</v>
      </c>
      <c r="C25" t="s">
        <v>54</v>
      </c>
      <c r="D25" t="s">
        <v>18</v>
      </c>
      <c r="E25" t="s">
        <v>70</v>
      </c>
      <c r="F25">
        <v>45.3</v>
      </c>
      <c r="G25">
        <v>135.69999999999999</v>
      </c>
      <c r="H25">
        <v>24.7</v>
      </c>
      <c r="I25">
        <v>6</v>
      </c>
      <c r="J25">
        <v>1.1299999999999999</v>
      </c>
      <c r="K25">
        <v>35.6</v>
      </c>
      <c r="L25">
        <v>19.8</v>
      </c>
      <c r="M25">
        <v>51.4</v>
      </c>
      <c r="N25">
        <v>1.1000000000000001</v>
      </c>
      <c r="O25">
        <v>229</v>
      </c>
      <c r="P25" t="s">
        <v>28</v>
      </c>
    </row>
    <row r="26" spans="1:16" x14ac:dyDescent="0.25">
      <c r="A26" t="s">
        <v>73</v>
      </c>
      <c r="B26" s="2">
        <v>45766</v>
      </c>
      <c r="C26" t="s">
        <v>64</v>
      </c>
      <c r="D26" t="s">
        <v>36</v>
      </c>
      <c r="E26" t="s">
        <v>74</v>
      </c>
      <c r="F26">
        <v>53.8</v>
      </c>
      <c r="G26">
        <v>171.3</v>
      </c>
      <c r="H26">
        <v>17.899999999999999</v>
      </c>
      <c r="I26">
        <v>6.5</v>
      </c>
      <c r="J26">
        <v>1.51</v>
      </c>
      <c r="K26">
        <v>48.7</v>
      </c>
      <c r="L26">
        <v>28.1</v>
      </c>
      <c r="M26">
        <v>75.400000000000006</v>
      </c>
      <c r="N26">
        <v>1.8</v>
      </c>
      <c r="O26">
        <v>276</v>
      </c>
      <c r="P26" t="s">
        <v>28</v>
      </c>
    </row>
    <row r="27" spans="1:16" x14ac:dyDescent="0.25">
      <c r="A27" t="s">
        <v>75</v>
      </c>
      <c r="B27" s="2">
        <v>45854</v>
      </c>
      <c r="C27" t="s">
        <v>30</v>
      </c>
      <c r="D27" t="s">
        <v>31</v>
      </c>
      <c r="E27" t="s">
        <v>45</v>
      </c>
      <c r="F27">
        <v>67.7</v>
      </c>
      <c r="G27">
        <v>133.9</v>
      </c>
      <c r="H27">
        <v>30.2</v>
      </c>
      <c r="I27">
        <v>11.2</v>
      </c>
      <c r="J27">
        <v>0.47</v>
      </c>
      <c r="K27">
        <v>61.4</v>
      </c>
      <c r="L27">
        <v>30.2</v>
      </c>
      <c r="M27">
        <v>65.400000000000006</v>
      </c>
      <c r="N27">
        <v>1.7</v>
      </c>
      <c r="O27">
        <v>267</v>
      </c>
      <c r="P27" t="s">
        <v>28</v>
      </c>
    </row>
    <row r="28" spans="1:16" x14ac:dyDescent="0.25">
      <c r="A28" t="s">
        <v>76</v>
      </c>
      <c r="B28" s="2">
        <v>45909</v>
      </c>
      <c r="C28" t="s">
        <v>77</v>
      </c>
      <c r="D28" t="s">
        <v>39</v>
      </c>
      <c r="E28" t="s">
        <v>24</v>
      </c>
      <c r="F28">
        <v>63</v>
      </c>
      <c r="G28">
        <v>42.8</v>
      </c>
      <c r="H28">
        <v>30.4</v>
      </c>
      <c r="I28">
        <v>5.5</v>
      </c>
      <c r="J28">
        <v>0.2</v>
      </c>
      <c r="K28">
        <v>51.7</v>
      </c>
      <c r="L28">
        <v>32.1</v>
      </c>
      <c r="M28">
        <v>53.3</v>
      </c>
      <c r="N28">
        <v>2.7</v>
      </c>
      <c r="O28">
        <v>185</v>
      </c>
      <c r="P28" t="s">
        <v>33</v>
      </c>
    </row>
    <row r="29" spans="1:16" x14ac:dyDescent="0.25">
      <c r="A29" t="s">
        <v>78</v>
      </c>
      <c r="B29" s="2">
        <v>45888</v>
      </c>
      <c r="C29" t="s">
        <v>50</v>
      </c>
      <c r="D29" t="s">
        <v>31</v>
      </c>
      <c r="E29" t="s">
        <v>40</v>
      </c>
      <c r="F29">
        <v>19.399999999999999</v>
      </c>
      <c r="G29">
        <v>215.5</v>
      </c>
      <c r="H29">
        <v>36.200000000000003</v>
      </c>
      <c r="I29">
        <v>40.299999999999997</v>
      </c>
      <c r="J29">
        <v>0.15</v>
      </c>
      <c r="K29">
        <v>38.200000000000003</v>
      </c>
      <c r="L29">
        <v>27.6</v>
      </c>
      <c r="M29">
        <v>64.8</v>
      </c>
      <c r="N29">
        <v>3.7</v>
      </c>
      <c r="O29">
        <v>249</v>
      </c>
      <c r="P29" t="s">
        <v>28</v>
      </c>
    </row>
    <row r="30" spans="1:16" x14ac:dyDescent="0.25">
      <c r="A30" t="s">
        <v>79</v>
      </c>
      <c r="B30" s="2">
        <v>45861</v>
      </c>
      <c r="C30" t="s">
        <v>42</v>
      </c>
      <c r="D30" t="s">
        <v>23</v>
      </c>
      <c r="E30" t="s">
        <v>68</v>
      </c>
      <c r="F30">
        <v>59.7</v>
      </c>
      <c r="G30">
        <v>93.9</v>
      </c>
      <c r="H30">
        <v>48.1</v>
      </c>
      <c r="I30">
        <v>20.100000000000001</v>
      </c>
      <c r="J30">
        <v>1.05</v>
      </c>
      <c r="K30">
        <v>47</v>
      </c>
      <c r="L30">
        <v>30.9</v>
      </c>
      <c r="M30">
        <v>80.7</v>
      </c>
      <c r="N30">
        <v>1.8</v>
      </c>
      <c r="O30">
        <v>257</v>
      </c>
      <c r="P30" t="s">
        <v>28</v>
      </c>
    </row>
    <row r="31" spans="1:16" x14ac:dyDescent="0.25">
      <c r="A31" t="s">
        <v>80</v>
      </c>
      <c r="B31" s="2">
        <v>46006</v>
      </c>
      <c r="C31" t="s">
        <v>81</v>
      </c>
      <c r="D31" t="s">
        <v>39</v>
      </c>
      <c r="E31" t="s">
        <v>24</v>
      </c>
      <c r="F31">
        <v>55.2</v>
      </c>
      <c r="G31">
        <v>39.799999999999997</v>
      </c>
      <c r="H31">
        <v>75.2</v>
      </c>
      <c r="I31">
        <v>29</v>
      </c>
      <c r="J31">
        <v>1.02</v>
      </c>
      <c r="K31">
        <v>69.2</v>
      </c>
      <c r="L31">
        <v>21.4</v>
      </c>
      <c r="M31">
        <v>88.5</v>
      </c>
      <c r="N31">
        <v>2.2999999999999998</v>
      </c>
      <c r="O31">
        <v>251</v>
      </c>
      <c r="P31" t="s">
        <v>28</v>
      </c>
    </row>
    <row r="32" spans="1:16" x14ac:dyDescent="0.25">
      <c r="A32" t="s">
        <v>82</v>
      </c>
      <c r="B32" s="2">
        <v>45877</v>
      </c>
      <c r="C32" t="s">
        <v>30</v>
      </c>
      <c r="D32" t="s">
        <v>31</v>
      </c>
      <c r="E32" t="s">
        <v>27</v>
      </c>
      <c r="F32">
        <v>11.2</v>
      </c>
      <c r="G32">
        <v>68.900000000000006</v>
      </c>
      <c r="H32">
        <v>13.7</v>
      </c>
      <c r="I32">
        <v>8.3000000000000007</v>
      </c>
      <c r="J32">
        <v>0.9</v>
      </c>
      <c r="K32">
        <v>51.8</v>
      </c>
      <c r="L32">
        <v>30.7</v>
      </c>
      <c r="M32">
        <v>53.3</v>
      </c>
      <c r="N32">
        <v>2.8</v>
      </c>
      <c r="O32">
        <v>125</v>
      </c>
      <c r="P32" t="s">
        <v>33</v>
      </c>
    </row>
    <row r="33" spans="1:16" x14ac:dyDescent="0.25">
      <c r="A33" t="s">
        <v>83</v>
      </c>
      <c r="B33" s="2">
        <v>45845</v>
      </c>
      <c r="C33" t="s">
        <v>17</v>
      </c>
      <c r="D33" t="s">
        <v>18</v>
      </c>
      <c r="E33" t="s">
        <v>24</v>
      </c>
      <c r="F33">
        <v>50.1</v>
      </c>
      <c r="G33">
        <v>77.5</v>
      </c>
      <c r="H33">
        <v>29.8</v>
      </c>
      <c r="I33">
        <v>21.5</v>
      </c>
      <c r="J33">
        <v>0.86</v>
      </c>
      <c r="K33">
        <v>34.799999999999997</v>
      </c>
      <c r="L33">
        <v>29</v>
      </c>
      <c r="M33">
        <v>75.099999999999994</v>
      </c>
      <c r="N33">
        <v>1.2</v>
      </c>
      <c r="O33">
        <v>207</v>
      </c>
      <c r="P33" t="s">
        <v>28</v>
      </c>
    </row>
    <row r="34" spans="1:16" x14ac:dyDescent="0.25">
      <c r="A34" t="s">
        <v>84</v>
      </c>
      <c r="B34" s="2">
        <v>45684</v>
      </c>
      <c r="C34" t="s">
        <v>30</v>
      </c>
      <c r="D34" t="s">
        <v>31</v>
      </c>
      <c r="E34" t="s">
        <v>24</v>
      </c>
      <c r="F34">
        <v>51.1</v>
      </c>
      <c r="G34">
        <v>50.1</v>
      </c>
      <c r="H34">
        <v>24.7</v>
      </c>
      <c r="I34">
        <v>5.6</v>
      </c>
      <c r="J34">
        <v>0.45</v>
      </c>
      <c r="K34">
        <v>32.299999999999997</v>
      </c>
      <c r="L34">
        <v>23.1</v>
      </c>
      <c r="M34">
        <v>62.9</v>
      </c>
      <c r="N34">
        <v>3.2</v>
      </c>
      <c r="O34">
        <v>164</v>
      </c>
      <c r="P34" t="s">
        <v>33</v>
      </c>
    </row>
    <row r="35" spans="1:16" x14ac:dyDescent="0.25">
      <c r="A35" t="s">
        <v>85</v>
      </c>
      <c r="B35" s="2">
        <v>45745</v>
      </c>
      <c r="C35" t="s">
        <v>38</v>
      </c>
      <c r="D35" t="s">
        <v>39</v>
      </c>
      <c r="E35" t="s">
        <v>74</v>
      </c>
      <c r="F35">
        <v>28.8</v>
      </c>
      <c r="G35">
        <v>87.4</v>
      </c>
      <c r="H35">
        <v>38.6</v>
      </c>
      <c r="I35">
        <v>17.3</v>
      </c>
      <c r="J35">
        <v>1.19</v>
      </c>
      <c r="K35">
        <v>38.200000000000003</v>
      </c>
      <c r="L35">
        <v>29.1</v>
      </c>
      <c r="M35">
        <v>58.8</v>
      </c>
      <c r="N35">
        <v>2.2999999999999998</v>
      </c>
      <c r="O35">
        <v>193</v>
      </c>
      <c r="P35" t="s">
        <v>33</v>
      </c>
    </row>
    <row r="36" spans="1:16" x14ac:dyDescent="0.25">
      <c r="A36" t="s">
        <v>86</v>
      </c>
      <c r="B36" s="2">
        <v>45825</v>
      </c>
      <c r="C36" t="s">
        <v>38</v>
      </c>
      <c r="D36" t="s">
        <v>39</v>
      </c>
      <c r="E36" t="s">
        <v>24</v>
      </c>
      <c r="F36">
        <v>50.7</v>
      </c>
      <c r="G36">
        <v>169</v>
      </c>
      <c r="H36">
        <v>26.1</v>
      </c>
      <c r="I36">
        <v>24.3</v>
      </c>
      <c r="J36">
        <v>0.69</v>
      </c>
      <c r="K36">
        <v>34.9</v>
      </c>
      <c r="L36">
        <v>21.3</v>
      </c>
      <c r="M36">
        <v>67.8</v>
      </c>
      <c r="N36">
        <v>3.5</v>
      </c>
      <c r="O36">
        <v>262</v>
      </c>
      <c r="P36" t="s">
        <v>28</v>
      </c>
    </row>
    <row r="37" spans="1:16" x14ac:dyDescent="0.25">
      <c r="A37" t="s">
        <v>87</v>
      </c>
      <c r="B37" s="2">
        <v>46000</v>
      </c>
      <c r="C37" t="s">
        <v>35</v>
      </c>
      <c r="D37" t="s">
        <v>36</v>
      </c>
      <c r="E37" t="s">
        <v>43</v>
      </c>
      <c r="F37">
        <v>55</v>
      </c>
      <c r="G37">
        <v>86.8</v>
      </c>
      <c r="H37">
        <v>70.599999999999994</v>
      </c>
      <c r="I37">
        <v>3</v>
      </c>
      <c r="J37">
        <v>0.57999999999999996</v>
      </c>
      <c r="K37">
        <v>23.6</v>
      </c>
      <c r="L37">
        <v>39.200000000000003</v>
      </c>
      <c r="M37">
        <v>92.5</v>
      </c>
      <c r="N37">
        <v>2.4</v>
      </c>
      <c r="O37">
        <v>228</v>
      </c>
      <c r="P37" t="s">
        <v>28</v>
      </c>
    </row>
    <row r="38" spans="1:16" x14ac:dyDescent="0.25">
      <c r="A38" t="s">
        <v>88</v>
      </c>
      <c r="B38" s="2">
        <v>45848</v>
      </c>
      <c r="C38" t="s">
        <v>22</v>
      </c>
      <c r="D38" t="s">
        <v>23</v>
      </c>
      <c r="E38" t="s">
        <v>40</v>
      </c>
      <c r="F38">
        <v>31.6</v>
      </c>
      <c r="G38">
        <v>118.2</v>
      </c>
      <c r="H38">
        <v>36</v>
      </c>
      <c r="I38">
        <v>6.6</v>
      </c>
      <c r="J38">
        <v>0.23</v>
      </c>
      <c r="K38">
        <v>19.8</v>
      </c>
      <c r="L38">
        <v>32.1</v>
      </c>
      <c r="M38">
        <v>44.1</v>
      </c>
      <c r="N38">
        <v>5.3</v>
      </c>
      <c r="O38">
        <v>175</v>
      </c>
      <c r="P38" t="s">
        <v>33</v>
      </c>
    </row>
    <row r="39" spans="1:16" x14ac:dyDescent="0.25">
      <c r="A39" t="s">
        <v>89</v>
      </c>
      <c r="B39" s="2">
        <v>45676</v>
      </c>
      <c r="C39" t="s">
        <v>64</v>
      </c>
      <c r="D39" t="s">
        <v>36</v>
      </c>
      <c r="E39" t="s">
        <v>68</v>
      </c>
      <c r="F39">
        <v>58.8</v>
      </c>
      <c r="G39">
        <v>89.6</v>
      </c>
      <c r="H39">
        <v>19.2</v>
      </c>
      <c r="I39">
        <v>18.2</v>
      </c>
      <c r="J39">
        <v>0.02</v>
      </c>
      <c r="K39">
        <v>75.3</v>
      </c>
      <c r="L39">
        <v>29</v>
      </c>
      <c r="M39">
        <v>57.3</v>
      </c>
      <c r="N39">
        <v>3.6</v>
      </c>
      <c r="O39">
        <v>215</v>
      </c>
      <c r="P39" t="s">
        <v>28</v>
      </c>
    </row>
    <row r="40" spans="1:16" x14ac:dyDescent="0.25">
      <c r="A40" t="s">
        <v>90</v>
      </c>
      <c r="B40" s="2">
        <v>45733</v>
      </c>
      <c r="C40" t="s">
        <v>22</v>
      </c>
      <c r="D40" t="s">
        <v>23</v>
      </c>
      <c r="E40" t="s">
        <v>91</v>
      </c>
      <c r="F40">
        <v>57</v>
      </c>
      <c r="G40">
        <v>33.6</v>
      </c>
      <c r="H40">
        <v>21.2</v>
      </c>
      <c r="I40">
        <v>2</v>
      </c>
      <c r="J40">
        <v>7.0000000000000007E-2</v>
      </c>
      <c r="K40">
        <v>10.199999999999999</v>
      </c>
      <c r="L40">
        <v>24.2</v>
      </c>
      <c r="M40">
        <v>65</v>
      </c>
      <c r="N40">
        <v>2.9</v>
      </c>
      <c r="O40">
        <v>138</v>
      </c>
      <c r="P40" t="s">
        <v>33</v>
      </c>
    </row>
    <row r="41" spans="1:16" x14ac:dyDescent="0.25">
      <c r="A41" t="s">
        <v>92</v>
      </c>
      <c r="B41" s="2">
        <v>45870</v>
      </c>
      <c r="C41" t="s">
        <v>93</v>
      </c>
      <c r="D41" t="s">
        <v>36</v>
      </c>
      <c r="E41" t="s">
        <v>74</v>
      </c>
      <c r="F41">
        <v>33.9</v>
      </c>
      <c r="G41">
        <v>94.6</v>
      </c>
      <c r="H41">
        <v>33.1</v>
      </c>
      <c r="I41">
        <v>40.299999999999997</v>
      </c>
      <c r="J41">
        <v>0.38</v>
      </c>
      <c r="K41">
        <v>63.8</v>
      </c>
      <c r="L41">
        <v>37.200000000000003</v>
      </c>
      <c r="M41">
        <v>40.4</v>
      </c>
      <c r="N41">
        <v>2.8</v>
      </c>
      <c r="O41">
        <v>209</v>
      </c>
      <c r="P41" t="s">
        <v>28</v>
      </c>
    </row>
    <row r="42" spans="1:16" x14ac:dyDescent="0.25">
      <c r="A42" t="s">
        <v>94</v>
      </c>
      <c r="B42" s="2">
        <v>45709</v>
      </c>
      <c r="C42" t="s">
        <v>17</v>
      </c>
      <c r="D42" t="s">
        <v>18</v>
      </c>
      <c r="E42" t="s">
        <v>40</v>
      </c>
      <c r="F42">
        <v>18.399999999999999</v>
      </c>
      <c r="G42">
        <v>67</v>
      </c>
      <c r="H42">
        <v>62.9</v>
      </c>
      <c r="I42">
        <v>13</v>
      </c>
      <c r="J42">
        <v>0.87</v>
      </c>
      <c r="K42">
        <v>15.6</v>
      </c>
      <c r="L42">
        <v>28.7</v>
      </c>
      <c r="M42">
        <v>54.4</v>
      </c>
      <c r="N42">
        <v>1.5</v>
      </c>
      <c r="O42">
        <v>161</v>
      </c>
      <c r="P42" t="s">
        <v>33</v>
      </c>
    </row>
    <row r="43" spans="1:16" x14ac:dyDescent="0.25">
      <c r="A43" t="s">
        <v>95</v>
      </c>
      <c r="B43" s="2">
        <v>45997</v>
      </c>
      <c r="C43" t="s">
        <v>81</v>
      </c>
      <c r="D43" t="s">
        <v>39</v>
      </c>
      <c r="E43" t="s">
        <v>19</v>
      </c>
      <c r="F43">
        <v>40.5</v>
      </c>
      <c r="G43">
        <v>154</v>
      </c>
      <c r="H43">
        <v>5.2</v>
      </c>
      <c r="I43">
        <v>8.6</v>
      </c>
      <c r="J43">
        <v>0.16</v>
      </c>
      <c r="K43">
        <v>38.9</v>
      </c>
      <c r="L43">
        <v>33.4</v>
      </c>
      <c r="M43">
        <v>41</v>
      </c>
      <c r="N43">
        <v>3</v>
      </c>
      <c r="O43">
        <v>197</v>
      </c>
      <c r="P43" t="s">
        <v>33</v>
      </c>
    </row>
    <row r="44" spans="1:16" x14ac:dyDescent="0.25">
      <c r="A44" t="s">
        <v>96</v>
      </c>
      <c r="B44" s="2">
        <v>45732</v>
      </c>
      <c r="C44" t="s">
        <v>42</v>
      </c>
      <c r="D44" t="s">
        <v>23</v>
      </c>
      <c r="E44" t="s">
        <v>97</v>
      </c>
      <c r="F44">
        <v>33.1</v>
      </c>
      <c r="G44">
        <v>65.8</v>
      </c>
      <c r="H44">
        <v>36.4</v>
      </c>
      <c r="I44">
        <v>10.8</v>
      </c>
      <c r="J44">
        <v>0.3</v>
      </c>
      <c r="K44">
        <v>34.299999999999997</v>
      </c>
      <c r="L44">
        <v>25.5</v>
      </c>
      <c r="M44">
        <v>64.2</v>
      </c>
      <c r="N44">
        <v>2.8</v>
      </c>
      <c r="O44">
        <v>155</v>
      </c>
      <c r="P44" t="s">
        <v>33</v>
      </c>
    </row>
    <row r="45" spans="1:16" x14ac:dyDescent="0.25">
      <c r="A45" t="s">
        <v>98</v>
      </c>
      <c r="B45" s="2">
        <v>45929</v>
      </c>
      <c r="C45" t="s">
        <v>99</v>
      </c>
      <c r="D45" t="s">
        <v>36</v>
      </c>
      <c r="E45" t="s">
        <v>19</v>
      </c>
      <c r="F45">
        <v>80.2</v>
      </c>
      <c r="G45">
        <v>168.9</v>
      </c>
      <c r="H45">
        <v>22.8</v>
      </c>
      <c r="I45">
        <v>10.4</v>
      </c>
      <c r="J45">
        <v>0.37</v>
      </c>
      <c r="K45">
        <v>93.9</v>
      </c>
      <c r="L45">
        <v>33.799999999999997</v>
      </c>
      <c r="M45">
        <v>57.3</v>
      </c>
      <c r="N45">
        <v>3.5</v>
      </c>
      <c r="O45">
        <v>315</v>
      </c>
      <c r="P45" t="s">
        <v>20</v>
      </c>
    </row>
    <row r="46" spans="1:16" x14ac:dyDescent="0.25">
      <c r="A46" t="s">
        <v>100</v>
      </c>
      <c r="B46" s="2">
        <v>45933</v>
      </c>
      <c r="C46" t="s">
        <v>64</v>
      </c>
      <c r="D46" t="s">
        <v>36</v>
      </c>
      <c r="E46" t="s">
        <v>74</v>
      </c>
      <c r="F46">
        <v>47.6</v>
      </c>
      <c r="G46">
        <v>78</v>
      </c>
      <c r="H46">
        <v>40.299999999999997</v>
      </c>
      <c r="I46">
        <v>12.9</v>
      </c>
      <c r="J46">
        <v>1.29</v>
      </c>
      <c r="K46">
        <v>110.9</v>
      </c>
      <c r="L46">
        <v>22.6</v>
      </c>
      <c r="M46">
        <v>79</v>
      </c>
      <c r="N46">
        <v>2.8</v>
      </c>
      <c r="O46">
        <v>250</v>
      </c>
      <c r="P46" t="s">
        <v>28</v>
      </c>
    </row>
    <row r="47" spans="1:16" x14ac:dyDescent="0.25">
      <c r="A47" t="s">
        <v>101</v>
      </c>
      <c r="B47" s="2">
        <v>45879</v>
      </c>
      <c r="C47" t="s">
        <v>30</v>
      </c>
      <c r="D47" t="s">
        <v>31</v>
      </c>
      <c r="E47" t="s">
        <v>91</v>
      </c>
      <c r="F47">
        <v>56.9</v>
      </c>
      <c r="G47">
        <v>154.9</v>
      </c>
      <c r="H47">
        <v>13.7</v>
      </c>
      <c r="I47">
        <v>6.1</v>
      </c>
      <c r="J47">
        <v>0.15</v>
      </c>
      <c r="K47">
        <v>13.5</v>
      </c>
      <c r="L47">
        <v>32.200000000000003</v>
      </c>
      <c r="M47">
        <v>74</v>
      </c>
      <c r="N47">
        <v>0.8</v>
      </c>
      <c r="O47">
        <v>217</v>
      </c>
      <c r="P47" t="s">
        <v>28</v>
      </c>
    </row>
    <row r="48" spans="1:16" x14ac:dyDescent="0.25">
      <c r="A48" t="s">
        <v>102</v>
      </c>
      <c r="B48" s="2">
        <v>45869</v>
      </c>
      <c r="C48" t="s">
        <v>17</v>
      </c>
      <c r="D48" t="s">
        <v>18</v>
      </c>
      <c r="E48" t="s">
        <v>68</v>
      </c>
      <c r="F48">
        <v>47.7</v>
      </c>
      <c r="G48">
        <v>50.5</v>
      </c>
      <c r="H48">
        <v>13.7</v>
      </c>
      <c r="I48">
        <v>14.1</v>
      </c>
      <c r="J48">
        <v>0.84</v>
      </c>
      <c r="K48">
        <v>46.2</v>
      </c>
      <c r="L48">
        <v>30.4</v>
      </c>
      <c r="M48">
        <v>52.9</v>
      </c>
      <c r="N48">
        <v>2.2000000000000002</v>
      </c>
      <c r="O48">
        <v>172</v>
      </c>
      <c r="P48" t="s">
        <v>33</v>
      </c>
    </row>
    <row r="49" spans="1:16" x14ac:dyDescent="0.25">
      <c r="A49" t="s">
        <v>103</v>
      </c>
      <c r="B49" s="2">
        <v>45835</v>
      </c>
      <c r="C49" t="s">
        <v>26</v>
      </c>
      <c r="D49" t="s">
        <v>23</v>
      </c>
      <c r="E49" t="s">
        <v>27</v>
      </c>
      <c r="F49">
        <v>90.2</v>
      </c>
      <c r="G49">
        <v>52.4</v>
      </c>
      <c r="H49">
        <v>10.199999999999999</v>
      </c>
      <c r="I49">
        <v>25.9</v>
      </c>
      <c r="J49">
        <v>0.22</v>
      </c>
      <c r="K49">
        <v>30.5</v>
      </c>
      <c r="L49">
        <v>25.3</v>
      </c>
      <c r="M49">
        <v>55.5</v>
      </c>
      <c r="N49">
        <v>1.3</v>
      </c>
      <c r="O49">
        <v>224</v>
      </c>
      <c r="P49" t="s">
        <v>28</v>
      </c>
    </row>
    <row r="50" spans="1:16" x14ac:dyDescent="0.25">
      <c r="A50" t="s">
        <v>104</v>
      </c>
      <c r="B50" s="2">
        <v>45730</v>
      </c>
      <c r="C50" t="s">
        <v>38</v>
      </c>
      <c r="D50" t="s">
        <v>39</v>
      </c>
      <c r="E50" t="s">
        <v>55</v>
      </c>
      <c r="F50">
        <v>39</v>
      </c>
      <c r="G50">
        <v>102.7</v>
      </c>
      <c r="H50">
        <v>52.3</v>
      </c>
      <c r="I50">
        <v>15.9</v>
      </c>
      <c r="J50">
        <v>0.28999999999999998</v>
      </c>
      <c r="K50">
        <v>120.3</v>
      </c>
      <c r="L50">
        <v>29.4</v>
      </c>
      <c r="M50">
        <v>55.3</v>
      </c>
      <c r="N50">
        <v>2.2000000000000002</v>
      </c>
      <c r="O50">
        <v>244</v>
      </c>
      <c r="P50" t="s">
        <v>28</v>
      </c>
    </row>
    <row r="51" spans="1:16" x14ac:dyDescent="0.25">
      <c r="A51" t="s">
        <v>105</v>
      </c>
      <c r="B51" s="2">
        <v>45757</v>
      </c>
      <c r="C51" t="s">
        <v>38</v>
      </c>
      <c r="D51" t="s">
        <v>39</v>
      </c>
      <c r="E51" t="s">
        <v>55</v>
      </c>
      <c r="F51">
        <v>40.1</v>
      </c>
      <c r="G51">
        <v>98.2</v>
      </c>
      <c r="H51">
        <v>20.2</v>
      </c>
      <c r="I51">
        <v>5.8</v>
      </c>
      <c r="J51">
        <v>0.95</v>
      </c>
      <c r="K51">
        <v>38</v>
      </c>
      <c r="L51">
        <v>31.2</v>
      </c>
      <c r="M51">
        <v>59.9</v>
      </c>
      <c r="N51">
        <v>2.2000000000000002</v>
      </c>
      <c r="O51">
        <v>189</v>
      </c>
      <c r="P51" t="s">
        <v>33</v>
      </c>
    </row>
    <row r="52" spans="1:16" x14ac:dyDescent="0.25">
      <c r="A52" t="s">
        <v>106</v>
      </c>
      <c r="B52" s="2">
        <v>45822</v>
      </c>
      <c r="C52" t="s">
        <v>67</v>
      </c>
      <c r="D52" t="s">
        <v>18</v>
      </c>
      <c r="E52" t="s">
        <v>68</v>
      </c>
      <c r="F52">
        <v>92.5</v>
      </c>
      <c r="G52">
        <v>76.900000000000006</v>
      </c>
      <c r="H52">
        <v>7.7</v>
      </c>
      <c r="I52">
        <v>24.4</v>
      </c>
      <c r="J52">
        <v>0.94</v>
      </c>
      <c r="K52">
        <v>28.5</v>
      </c>
      <c r="L52">
        <v>21.5</v>
      </c>
      <c r="M52">
        <v>57.2</v>
      </c>
      <c r="N52">
        <v>0.8</v>
      </c>
      <c r="O52">
        <v>258</v>
      </c>
      <c r="P52" t="s">
        <v>28</v>
      </c>
    </row>
    <row r="53" spans="1:16" x14ac:dyDescent="0.25">
      <c r="A53" t="s">
        <v>107</v>
      </c>
      <c r="B53" s="2">
        <v>45863</v>
      </c>
      <c r="C53" t="s">
        <v>35</v>
      </c>
      <c r="D53" t="s">
        <v>36</v>
      </c>
      <c r="E53" t="s">
        <v>27</v>
      </c>
      <c r="F53">
        <v>30.7</v>
      </c>
      <c r="G53">
        <v>61.6</v>
      </c>
      <c r="H53">
        <v>4.8</v>
      </c>
      <c r="I53">
        <v>12</v>
      </c>
      <c r="J53">
        <v>0.63</v>
      </c>
      <c r="K53">
        <v>44</v>
      </c>
      <c r="L53">
        <v>25.3</v>
      </c>
      <c r="M53">
        <v>65.400000000000006</v>
      </c>
      <c r="N53">
        <v>2.2999999999999998</v>
      </c>
      <c r="O53">
        <v>137</v>
      </c>
      <c r="P53" t="s">
        <v>33</v>
      </c>
    </row>
    <row r="54" spans="1:16" x14ac:dyDescent="0.25">
      <c r="A54" t="s">
        <v>108</v>
      </c>
      <c r="B54" s="2">
        <v>45972</v>
      </c>
      <c r="C54" t="s">
        <v>22</v>
      </c>
      <c r="D54" t="s">
        <v>23</v>
      </c>
      <c r="E54" t="s">
        <v>70</v>
      </c>
      <c r="F54">
        <v>96</v>
      </c>
      <c r="G54">
        <v>29.3</v>
      </c>
      <c r="H54">
        <v>26.8</v>
      </c>
      <c r="I54">
        <v>11.3</v>
      </c>
      <c r="J54">
        <v>0.2</v>
      </c>
      <c r="K54">
        <v>9.9</v>
      </c>
      <c r="L54">
        <v>27.8</v>
      </c>
      <c r="M54">
        <v>75.3</v>
      </c>
      <c r="N54">
        <v>3.1</v>
      </c>
      <c r="O54">
        <v>211</v>
      </c>
      <c r="P54" t="s">
        <v>28</v>
      </c>
    </row>
    <row r="55" spans="1:16" x14ac:dyDescent="0.25">
      <c r="A55" t="s">
        <v>109</v>
      </c>
      <c r="B55" s="2">
        <v>45927</v>
      </c>
      <c r="C55" t="s">
        <v>93</v>
      </c>
      <c r="D55" t="s">
        <v>36</v>
      </c>
      <c r="E55" t="s">
        <v>74</v>
      </c>
      <c r="F55">
        <v>44.6</v>
      </c>
      <c r="G55">
        <v>46.3</v>
      </c>
      <c r="H55">
        <v>7.7</v>
      </c>
      <c r="I55">
        <v>20.6</v>
      </c>
      <c r="J55">
        <v>0.18</v>
      </c>
      <c r="K55">
        <v>28.5</v>
      </c>
      <c r="L55">
        <v>27</v>
      </c>
      <c r="M55">
        <v>65</v>
      </c>
      <c r="N55">
        <v>2.7</v>
      </c>
      <c r="O55">
        <v>139</v>
      </c>
      <c r="P55" t="s">
        <v>33</v>
      </c>
    </row>
    <row r="56" spans="1:16" x14ac:dyDescent="0.25">
      <c r="A56" t="s">
        <v>110</v>
      </c>
      <c r="B56" s="2">
        <v>46017</v>
      </c>
      <c r="C56" t="s">
        <v>38</v>
      </c>
      <c r="D56" t="s">
        <v>39</v>
      </c>
      <c r="E56" t="s">
        <v>45</v>
      </c>
      <c r="F56">
        <v>55.7</v>
      </c>
      <c r="G56">
        <v>84.8</v>
      </c>
      <c r="H56">
        <v>48.4</v>
      </c>
      <c r="I56">
        <v>4.7</v>
      </c>
      <c r="J56">
        <v>0.28000000000000003</v>
      </c>
      <c r="K56">
        <v>81.3</v>
      </c>
      <c r="L56">
        <v>20.2</v>
      </c>
      <c r="M56">
        <v>70.2</v>
      </c>
      <c r="N56">
        <v>1.8</v>
      </c>
      <c r="O56">
        <v>230</v>
      </c>
      <c r="P56" t="s">
        <v>28</v>
      </c>
    </row>
    <row r="57" spans="1:16" x14ac:dyDescent="0.25">
      <c r="A57" t="s">
        <v>111</v>
      </c>
      <c r="B57" s="2">
        <v>45862</v>
      </c>
      <c r="C57" t="s">
        <v>77</v>
      </c>
      <c r="D57" t="s">
        <v>39</v>
      </c>
      <c r="E57" t="s">
        <v>61</v>
      </c>
      <c r="F57">
        <v>36.200000000000003</v>
      </c>
      <c r="G57">
        <v>72.5</v>
      </c>
      <c r="H57">
        <v>28.6</v>
      </c>
      <c r="I57">
        <v>3.8</v>
      </c>
      <c r="J57">
        <v>0.97</v>
      </c>
      <c r="K57">
        <v>76.900000000000006</v>
      </c>
      <c r="L57">
        <v>23</v>
      </c>
      <c r="M57">
        <v>76.8</v>
      </c>
      <c r="N57">
        <v>1.9</v>
      </c>
      <c r="O57">
        <v>189</v>
      </c>
      <c r="P57" t="s">
        <v>33</v>
      </c>
    </row>
    <row r="58" spans="1:16" x14ac:dyDescent="0.25">
      <c r="A58" t="s">
        <v>112</v>
      </c>
      <c r="B58" s="2">
        <v>45821</v>
      </c>
      <c r="C58" t="s">
        <v>35</v>
      </c>
      <c r="D58" t="s">
        <v>36</v>
      </c>
      <c r="E58" t="s">
        <v>91</v>
      </c>
      <c r="F58">
        <v>71.5</v>
      </c>
      <c r="G58">
        <v>86</v>
      </c>
      <c r="H58">
        <v>31.6</v>
      </c>
      <c r="I58">
        <v>16.8</v>
      </c>
      <c r="J58">
        <v>1.34</v>
      </c>
      <c r="K58">
        <v>63.6</v>
      </c>
      <c r="L58">
        <v>19.399999999999999</v>
      </c>
      <c r="M58">
        <v>87.3</v>
      </c>
      <c r="N58">
        <v>1.9</v>
      </c>
      <c r="O58">
        <v>269</v>
      </c>
      <c r="P58" t="s">
        <v>28</v>
      </c>
    </row>
    <row r="59" spans="1:16" x14ac:dyDescent="0.25">
      <c r="A59" t="s">
        <v>113</v>
      </c>
      <c r="B59" s="2">
        <v>45937</v>
      </c>
      <c r="C59" t="s">
        <v>99</v>
      </c>
      <c r="D59" t="s">
        <v>36</v>
      </c>
      <c r="E59" t="s">
        <v>91</v>
      </c>
      <c r="F59">
        <v>55.3</v>
      </c>
      <c r="G59">
        <v>32.6</v>
      </c>
      <c r="H59">
        <v>8.8000000000000007</v>
      </c>
      <c r="I59">
        <v>6.4</v>
      </c>
      <c r="J59">
        <v>0.82</v>
      </c>
      <c r="K59">
        <v>10.199999999999999</v>
      </c>
      <c r="L59">
        <v>27.2</v>
      </c>
      <c r="M59">
        <v>94.7</v>
      </c>
      <c r="N59">
        <v>2.2999999999999998</v>
      </c>
      <c r="O59">
        <v>146</v>
      </c>
      <c r="P59" t="s">
        <v>33</v>
      </c>
    </row>
    <row r="60" spans="1:16" x14ac:dyDescent="0.25">
      <c r="A60" t="s">
        <v>114</v>
      </c>
      <c r="B60" s="2">
        <v>45834</v>
      </c>
      <c r="C60" t="s">
        <v>30</v>
      </c>
      <c r="D60" t="s">
        <v>31</v>
      </c>
      <c r="E60" t="s">
        <v>24</v>
      </c>
      <c r="F60">
        <v>45</v>
      </c>
      <c r="G60">
        <v>38.700000000000003</v>
      </c>
      <c r="H60">
        <v>22</v>
      </c>
      <c r="I60">
        <v>12.6</v>
      </c>
      <c r="J60">
        <v>1.2</v>
      </c>
      <c r="K60">
        <v>9.5</v>
      </c>
      <c r="L60">
        <v>26.6</v>
      </c>
      <c r="M60">
        <v>45.1</v>
      </c>
      <c r="N60">
        <v>1.9</v>
      </c>
      <c r="O60">
        <v>158</v>
      </c>
      <c r="P60" t="s">
        <v>33</v>
      </c>
    </row>
    <row r="61" spans="1:16" x14ac:dyDescent="0.25">
      <c r="A61" t="s">
        <v>115</v>
      </c>
      <c r="B61" s="2">
        <v>46010</v>
      </c>
      <c r="C61" t="s">
        <v>64</v>
      </c>
      <c r="D61" t="s">
        <v>36</v>
      </c>
      <c r="E61" t="s">
        <v>91</v>
      </c>
      <c r="F61">
        <v>18.2</v>
      </c>
      <c r="G61">
        <v>45.9</v>
      </c>
      <c r="H61">
        <v>17.8</v>
      </c>
      <c r="I61">
        <v>25.6</v>
      </c>
      <c r="J61">
        <v>0.28999999999999998</v>
      </c>
      <c r="K61">
        <v>41.1</v>
      </c>
      <c r="L61">
        <v>27.3</v>
      </c>
      <c r="M61">
        <v>55</v>
      </c>
      <c r="N61">
        <v>2.2000000000000002</v>
      </c>
      <c r="O61">
        <v>117</v>
      </c>
      <c r="P61" t="s">
        <v>33</v>
      </c>
    </row>
    <row r="62" spans="1:16" x14ac:dyDescent="0.25">
      <c r="A62" t="s">
        <v>116</v>
      </c>
      <c r="B62" s="2">
        <v>45856</v>
      </c>
      <c r="C62" t="s">
        <v>67</v>
      </c>
      <c r="D62" t="s">
        <v>18</v>
      </c>
      <c r="E62" t="s">
        <v>97</v>
      </c>
      <c r="F62">
        <v>30.8</v>
      </c>
      <c r="G62">
        <v>129.6</v>
      </c>
      <c r="H62">
        <v>30.5</v>
      </c>
      <c r="I62">
        <v>28.7</v>
      </c>
      <c r="J62">
        <v>1.26</v>
      </c>
      <c r="K62">
        <v>53.5</v>
      </c>
      <c r="L62">
        <v>25</v>
      </c>
      <c r="M62">
        <v>72</v>
      </c>
      <c r="N62">
        <v>1</v>
      </c>
      <c r="O62">
        <v>234</v>
      </c>
      <c r="P62" t="s">
        <v>28</v>
      </c>
    </row>
    <row r="63" spans="1:16" x14ac:dyDescent="0.25">
      <c r="A63" t="s">
        <v>117</v>
      </c>
      <c r="B63" s="2">
        <v>45891</v>
      </c>
      <c r="C63" t="s">
        <v>93</v>
      </c>
      <c r="D63" t="s">
        <v>36</v>
      </c>
      <c r="E63" t="s">
        <v>40</v>
      </c>
      <c r="F63">
        <v>47.2</v>
      </c>
      <c r="G63">
        <v>42.1</v>
      </c>
      <c r="H63">
        <v>14.9</v>
      </c>
      <c r="I63">
        <v>19.100000000000001</v>
      </c>
      <c r="J63">
        <v>1.08</v>
      </c>
      <c r="K63">
        <v>23.6</v>
      </c>
      <c r="L63">
        <v>23.9</v>
      </c>
      <c r="M63">
        <v>69</v>
      </c>
      <c r="N63">
        <v>0.1</v>
      </c>
      <c r="O63">
        <v>166</v>
      </c>
      <c r="P63" t="s">
        <v>33</v>
      </c>
    </row>
    <row r="64" spans="1:16" x14ac:dyDescent="0.25">
      <c r="A64" t="s">
        <v>118</v>
      </c>
      <c r="B64" s="2">
        <v>45999</v>
      </c>
      <c r="C64" t="s">
        <v>54</v>
      </c>
      <c r="D64" t="s">
        <v>18</v>
      </c>
      <c r="E64" t="s">
        <v>19</v>
      </c>
      <c r="F64">
        <v>87.8</v>
      </c>
      <c r="G64">
        <v>127.8</v>
      </c>
      <c r="H64">
        <v>23.2</v>
      </c>
      <c r="I64">
        <v>10.7</v>
      </c>
      <c r="J64">
        <v>0.55000000000000004</v>
      </c>
      <c r="K64">
        <v>7.9</v>
      </c>
      <c r="L64">
        <v>13.8</v>
      </c>
      <c r="M64">
        <v>74.5</v>
      </c>
      <c r="N64">
        <v>1.6</v>
      </c>
      <c r="O64">
        <v>267</v>
      </c>
      <c r="P64" t="s">
        <v>28</v>
      </c>
    </row>
    <row r="65" spans="1:16" x14ac:dyDescent="0.25">
      <c r="A65" t="s">
        <v>119</v>
      </c>
      <c r="B65" s="2">
        <v>45916</v>
      </c>
      <c r="C65" t="s">
        <v>17</v>
      </c>
      <c r="D65" t="s">
        <v>18</v>
      </c>
      <c r="E65" t="s">
        <v>91</v>
      </c>
      <c r="F65">
        <v>31</v>
      </c>
      <c r="G65">
        <v>75.400000000000006</v>
      </c>
      <c r="H65">
        <v>30.3</v>
      </c>
      <c r="I65">
        <v>8.1999999999999993</v>
      </c>
      <c r="J65">
        <v>0.74</v>
      </c>
      <c r="K65">
        <v>53.8</v>
      </c>
      <c r="L65">
        <v>36.299999999999997</v>
      </c>
      <c r="M65">
        <v>42.3</v>
      </c>
      <c r="N65">
        <v>0.3</v>
      </c>
      <c r="O65">
        <v>171</v>
      </c>
      <c r="P65" t="s">
        <v>33</v>
      </c>
    </row>
    <row r="66" spans="1:16" x14ac:dyDescent="0.25">
      <c r="A66" t="s">
        <v>120</v>
      </c>
      <c r="B66" s="2">
        <v>45793</v>
      </c>
      <c r="C66" t="s">
        <v>67</v>
      </c>
      <c r="D66" t="s">
        <v>18</v>
      </c>
      <c r="E66" t="s">
        <v>19</v>
      </c>
      <c r="F66">
        <v>64.5</v>
      </c>
      <c r="G66">
        <v>148.4</v>
      </c>
      <c r="H66">
        <v>11.7</v>
      </c>
      <c r="I66">
        <v>17.3</v>
      </c>
      <c r="J66">
        <v>1.83</v>
      </c>
      <c r="K66">
        <v>13.8</v>
      </c>
      <c r="L66">
        <v>21.4</v>
      </c>
      <c r="M66">
        <v>55.8</v>
      </c>
      <c r="N66">
        <v>3</v>
      </c>
      <c r="O66">
        <v>273</v>
      </c>
      <c r="P66" t="s">
        <v>28</v>
      </c>
    </row>
    <row r="67" spans="1:16" x14ac:dyDescent="0.25">
      <c r="A67" t="s">
        <v>121</v>
      </c>
      <c r="B67" s="2">
        <v>45967</v>
      </c>
      <c r="C67" t="s">
        <v>50</v>
      </c>
      <c r="D67" t="s">
        <v>31</v>
      </c>
      <c r="E67" t="s">
        <v>55</v>
      </c>
      <c r="F67">
        <v>17.399999999999999</v>
      </c>
      <c r="G67">
        <v>95.3</v>
      </c>
      <c r="H67">
        <v>33.9</v>
      </c>
      <c r="I67">
        <v>6.2</v>
      </c>
      <c r="J67">
        <v>0.95</v>
      </c>
      <c r="K67">
        <v>37.1</v>
      </c>
      <c r="L67">
        <v>21.5</v>
      </c>
      <c r="M67">
        <v>43.3</v>
      </c>
      <c r="N67">
        <v>1.3</v>
      </c>
      <c r="O67">
        <v>162</v>
      </c>
      <c r="P67" t="s">
        <v>33</v>
      </c>
    </row>
    <row r="68" spans="1:16" x14ac:dyDescent="0.25">
      <c r="A68" t="s">
        <v>122</v>
      </c>
      <c r="B68" s="2">
        <v>45996</v>
      </c>
      <c r="C68" t="s">
        <v>81</v>
      </c>
      <c r="D68" t="s">
        <v>39</v>
      </c>
      <c r="E68" t="s">
        <v>70</v>
      </c>
      <c r="F68">
        <v>66.599999999999994</v>
      </c>
      <c r="G68">
        <v>83.1</v>
      </c>
      <c r="H68">
        <v>43.9</v>
      </c>
      <c r="I68">
        <v>24.9</v>
      </c>
      <c r="J68">
        <v>0.4</v>
      </c>
      <c r="K68">
        <v>71.099999999999994</v>
      </c>
      <c r="L68">
        <v>20.5</v>
      </c>
      <c r="M68">
        <v>53.5</v>
      </c>
      <c r="N68">
        <v>1.4</v>
      </c>
      <c r="O68">
        <v>255</v>
      </c>
      <c r="P68" t="s">
        <v>28</v>
      </c>
    </row>
    <row r="69" spans="1:16" x14ac:dyDescent="0.25">
      <c r="A69" t="s">
        <v>123</v>
      </c>
      <c r="B69" s="2">
        <v>45859</v>
      </c>
      <c r="C69" t="s">
        <v>77</v>
      </c>
      <c r="D69" t="s">
        <v>39</v>
      </c>
      <c r="E69" t="s">
        <v>24</v>
      </c>
      <c r="F69">
        <v>20.2</v>
      </c>
      <c r="G69">
        <v>56.2</v>
      </c>
      <c r="H69">
        <v>34.5</v>
      </c>
      <c r="I69">
        <v>11.7</v>
      </c>
      <c r="J69">
        <v>0.27</v>
      </c>
      <c r="K69">
        <v>31.5</v>
      </c>
      <c r="L69">
        <v>24.8</v>
      </c>
      <c r="M69">
        <v>65.099999999999994</v>
      </c>
      <c r="N69">
        <v>1.7</v>
      </c>
      <c r="O69">
        <v>126</v>
      </c>
      <c r="P69" t="s">
        <v>33</v>
      </c>
    </row>
    <row r="70" spans="1:16" x14ac:dyDescent="0.25">
      <c r="A70" t="s">
        <v>124</v>
      </c>
      <c r="B70" s="2">
        <v>45965</v>
      </c>
      <c r="C70" t="s">
        <v>93</v>
      </c>
      <c r="D70" t="s">
        <v>36</v>
      </c>
      <c r="E70" t="s">
        <v>19</v>
      </c>
      <c r="F70">
        <v>70</v>
      </c>
      <c r="G70">
        <v>86.1</v>
      </c>
      <c r="H70">
        <v>10.199999999999999</v>
      </c>
      <c r="I70">
        <v>14.5</v>
      </c>
      <c r="J70">
        <v>0.45</v>
      </c>
      <c r="K70">
        <v>29.1</v>
      </c>
      <c r="L70">
        <v>23.1</v>
      </c>
      <c r="M70">
        <v>39</v>
      </c>
      <c r="N70">
        <v>1</v>
      </c>
      <c r="O70">
        <v>211</v>
      </c>
      <c r="P70" t="s">
        <v>28</v>
      </c>
    </row>
    <row r="71" spans="1:16" x14ac:dyDescent="0.25">
      <c r="A71" t="s">
        <v>125</v>
      </c>
      <c r="B71" s="2">
        <v>45763</v>
      </c>
      <c r="C71" t="s">
        <v>35</v>
      </c>
      <c r="D71" t="s">
        <v>36</v>
      </c>
      <c r="E71" t="s">
        <v>32</v>
      </c>
      <c r="F71">
        <v>30.5</v>
      </c>
      <c r="G71">
        <v>48.1</v>
      </c>
      <c r="H71">
        <v>26</v>
      </c>
      <c r="I71">
        <v>20.8</v>
      </c>
      <c r="J71">
        <v>0.79</v>
      </c>
      <c r="K71">
        <v>70.5</v>
      </c>
      <c r="L71">
        <v>30</v>
      </c>
      <c r="M71">
        <v>72.099999999999994</v>
      </c>
      <c r="N71">
        <v>2.8</v>
      </c>
      <c r="O71">
        <v>167</v>
      </c>
      <c r="P71" t="s">
        <v>33</v>
      </c>
    </row>
    <row r="72" spans="1:16" x14ac:dyDescent="0.25">
      <c r="A72" t="s">
        <v>126</v>
      </c>
      <c r="B72" s="2">
        <v>45835</v>
      </c>
      <c r="C72" t="s">
        <v>38</v>
      </c>
      <c r="D72" t="s">
        <v>39</v>
      </c>
      <c r="E72" t="s">
        <v>91</v>
      </c>
      <c r="F72">
        <v>50.7</v>
      </c>
      <c r="G72">
        <v>64.5</v>
      </c>
      <c r="H72">
        <v>18.8</v>
      </c>
      <c r="I72">
        <v>3.9</v>
      </c>
      <c r="J72">
        <v>1.77</v>
      </c>
      <c r="K72">
        <v>27.3</v>
      </c>
      <c r="L72">
        <v>32.5</v>
      </c>
      <c r="M72">
        <v>96.2</v>
      </c>
      <c r="N72">
        <v>1.4</v>
      </c>
      <c r="O72">
        <v>197</v>
      </c>
      <c r="P72" t="s">
        <v>33</v>
      </c>
    </row>
    <row r="73" spans="1:16" x14ac:dyDescent="0.25">
      <c r="A73" t="s">
        <v>127</v>
      </c>
      <c r="B73" s="2">
        <v>45947</v>
      </c>
      <c r="C73" t="s">
        <v>67</v>
      </c>
      <c r="D73" t="s">
        <v>18</v>
      </c>
      <c r="E73" t="s">
        <v>74</v>
      </c>
      <c r="F73">
        <v>48.1</v>
      </c>
      <c r="G73">
        <v>79.3</v>
      </c>
      <c r="H73">
        <v>18.3</v>
      </c>
      <c r="I73">
        <v>4.8</v>
      </c>
      <c r="J73">
        <v>0.27</v>
      </c>
      <c r="K73">
        <v>52.5</v>
      </c>
      <c r="L73">
        <v>25.9</v>
      </c>
      <c r="M73">
        <v>86</v>
      </c>
      <c r="N73">
        <v>4.2</v>
      </c>
      <c r="O73">
        <v>177</v>
      </c>
      <c r="P73" t="s">
        <v>33</v>
      </c>
    </row>
    <row r="74" spans="1:16" x14ac:dyDescent="0.25">
      <c r="A74" t="s">
        <v>128</v>
      </c>
      <c r="B74" s="2">
        <v>45727</v>
      </c>
      <c r="C74" t="s">
        <v>50</v>
      </c>
      <c r="D74" t="s">
        <v>31</v>
      </c>
      <c r="E74" t="s">
        <v>27</v>
      </c>
      <c r="F74">
        <v>21.4</v>
      </c>
      <c r="G74">
        <v>76.400000000000006</v>
      </c>
      <c r="H74">
        <v>21.7</v>
      </c>
      <c r="I74">
        <v>34.799999999999997</v>
      </c>
      <c r="J74">
        <v>0.75</v>
      </c>
      <c r="K74">
        <v>31</v>
      </c>
      <c r="L74">
        <v>27.6</v>
      </c>
      <c r="M74">
        <v>76.3</v>
      </c>
      <c r="N74">
        <v>1.9</v>
      </c>
      <c r="O74">
        <v>158</v>
      </c>
      <c r="P74" t="s">
        <v>33</v>
      </c>
    </row>
    <row r="75" spans="1:16" x14ac:dyDescent="0.25">
      <c r="A75" t="s">
        <v>129</v>
      </c>
      <c r="B75" s="2">
        <v>45959</v>
      </c>
      <c r="C75" t="s">
        <v>77</v>
      </c>
      <c r="D75" t="s">
        <v>39</v>
      </c>
      <c r="E75" t="s">
        <v>24</v>
      </c>
      <c r="F75">
        <v>81.7</v>
      </c>
      <c r="G75">
        <v>141.6</v>
      </c>
      <c r="H75">
        <v>27.3</v>
      </c>
      <c r="I75">
        <v>16.8</v>
      </c>
      <c r="J75">
        <v>1.29</v>
      </c>
      <c r="K75">
        <v>27.9</v>
      </c>
      <c r="L75">
        <v>26.5</v>
      </c>
      <c r="M75">
        <v>58.5</v>
      </c>
      <c r="N75">
        <v>2.4</v>
      </c>
      <c r="O75">
        <v>301</v>
      </c>
      <c r="P75" t="s">
        <v>20</v>
      </c>
    </row>
    <row r="76" spans="1:16" x14ac:dyDescent="0.25">
      <c r="A76" t="s">
        <v>130</v>
      </c>
      <c r="B76" s="2">
        <v>45993</v>
      </c>
      <c r="C76" t="s">
        <v>77</v>
      </c>
      <c r="D76" t="s">
        <v>39</v>
      </c>
      <c r="E76" t="s">
        <v>43</v>
      </c>
      <c r="F76">
        <v>73.7</v>
      </c>
      <c r="G76">
        <v>68.2</v>
      </c>
      <c r="H76">
        <v>32</v>
      </c>
      <c r="I76">
        <v>4.4000000000000004</v>
      </c>
      <c r="J76">
        <v>0.28999999999999998</v>
      </c>
      <c r="K76">
        <v>39.6</v>
      </c>
      <c r="L76">
        <v>27.5</v>
      </c>
      <c r="M76">
        <v>47.2</v>
      </c>
      <c r="N76">
        <v>1.6</v>
      </c>
      <c r="O76">
        <v>216</v>
      </c>
      <c r="P76" t="s">
        <v>28</v>
      </c>
    </row>
    <row r="77" spans="1:16" x14ac:dyDescent="0.25">
      <c r="A77" t="s">
        <v>131</v>
      </c>
      <c r="B77" s="2">
        <v>46015</v>
      </c>
      <c r="C77" t="s">
        <v>99</v>
      </c>
      <c r="D77" t="s">
        <v>36</v>
      </c>
      <c r="E77" t="s">
        <v>97</v>
      </c>
      <c r="F77">
        <v>29.1</v>
      </c>
      <c r="G77">
        <v>135.6</v>
      </c>
      <c r="H77">
        <v>19.399999999999999</v>
      </c>
      <c r="I77">
        <v>26.5</v>
      </c>
      <c r="J77">
        <v>0.12</v>
      </c>
      <c r="K77">
        <v>12.1</v>
      </c>
      <c r="L77">
        <v>30.7</v>
      </c>
      <c r="M77">
        <v>95.8</v>
      </c>
      <c r="N77">
        <v>0.6</v>
      </c>
      <c r="O77">
        <v>177</v>
      </c>
      <c r="P77" t="s">
        <v>33</v>
      </c>
    </row>
    <row r="78" spans="1:16" x14ac:dyDescent="0.25">
      <c r="A78" t="s">
        <v>132</v>
      </c>
      <c r="B78" s="2">
        <v>45712</v>
      </c>
      <c r="C78" t="s">
        <v>99</v>
      </c>
      <c r="D78" t="s">
        <v>36</v>
      </c>
      <c r="E78" t="s">
        <v>97</v>
      </c>
      <c r="F78">
        <v>79.3</v>
      </c>
      <c r="G78">
        <v>90.7</v>
      </c>
      <c r="H78">
        <v>26.2</v>
      </c>
      <c r="I78">
        <v>17.3</v>
      </c>
      <c r="J78">
        <v>0.02</v>
      </c>
      <c r="K78">
        <v>99</v>
      </c>
      <c r="L78">
        <v>28.4</v>
      </c>
      <c r="M78">
        <v>40.6</v>
      </c>
      <c r="N78">
        <v>0.1</v>
      </c>
      <c r="O78">
        <v>264</v>
      </c>
      <c r="P78" t="s">
        <v>28</v>
      </c>
    </row>
    <row r="79" spans="1:16" x14ac:dyDescent="0.25">
      <c r="A79" t="s">
        <v>133</v>
      </c>
      <c r="B79" s="2">
        <v>45665</v>
      </c>
      <c r="C79" t="s">
        <v>54</v>
      </c>
      <c r="D79" t="s">
        <v>18</v>
      </c>
      <c r="E79" t="s">
        <v>61</v>
      </c>
      <c r="F79">
        <v>44.7</v>
      </c>
      <c r="G79">
        <v>87.9</v>
      </c>
      <c r="H79">
        <v>26.2</v>
      </c>
      <c r="I79">
        <v>3.9</v>
      </c>
      <c r="J79">
        <v>0.77</v>
      </c>
      <c r="K79">
        <v>45.3</v>
      </c>
      <c r="L79">
        <v>27.3</v>
      </c>
      <c r="M79">
        <v>89.3</v>
      </c>
      <c r="N79">
        <v>3.3</v>
      </c>
      <c r="O79">
        <v>192</v>
      </c>
      <c r="P79" t="s">
        <v>33</v>
      </c>
    </row>
    <row r="80" spans="1:16" x14ac:dyDescent="0.25">
      <c r="A80" t="s">
        <v>134</v>
      </c>
      <c r="B80" s="2">
        <v>45790</v>
      </c>
      <c r="C80" t="s">
        <v>26</v>
      </c>
      <c r="D80" t="s">
        <v>23</v>
      </c>
      <c r="E80" t="s">
        <v>68</v>
      </c>
      <c r="F80">
        <v>16.399999999999999</v>
      </c>
      <c r="G80">
        <v>42.8</v>
      </c>
      <c r="H80">
        <v>35.6</v>
      </c>
      <c r="I80">
        <v>62</v>
      </c>
      <c r="J80">
        <v>0.22</v>
      </c>
      <c r="K80">
        <v>28.8</v>
      </c>
      <c r="L80">
        <v>27.7</v>
      </c>
      <c r="M80">
        <v>63.8</v>
      </c>
      <c r="N80">
        <v>3.8</v>
      </c>
      <c r="O80">
        <v>144</v>
      </c>
      <c r="P80" t="s">
        <v>33</v>
      </c>
    </row>
    <row r="81" spans="1:16" x14ac:dyDescent="0.25">
      <c r="A81" t="s">
        <v>135</v>
      </c>
      <c r="B81" s="2">
        <v>45843</v>
      </c>
      <c r="C81" t="s">
        <v>35</v>
      </c>
      <c r="D81" t="s">
        <v>36</v>
      </c>
      <c r="E81" t="s">
        <v>19</v>
      </c>
      <c r="F81">
        <v>96.5</v>
      </c>
      <c r="G81">
        <v>80.599999999999994</v>
      </c>
      <c r="H81">
        <v>11.2</v>
      </c>
      <c r="I81">
        <v>5.6</v>
      </c>
      <c r="J81">
        <v>2.46</v>
      </c>
      <c r="K81">
        <v>14.1</v>
      </c>
      <c r="L81">
        <v>32</v>
      </c>
      <c r="M81">
        <v>39.6</v>
      </c>
      <c r="N81">
        <v>2.2999999999999998</v>
      </c>
      <c r="O81">
        <v>288</v>
      </c>
      <c r="P81" t="s">
        <v>28</v>
      </c>
    </row>
    <row r="82" spans="1:16" x14ac:dyDescent="0.25">
      <c r="A82" t="s">
        <v>136</v>
      </c>
      <c r="B82" s="2">
        <v>45847</v>
      </c>
      <c r="C82" t="s">
        <v>99</v>
      </c>
      <c r="D82" t="s">
        <v>36</v>
      </c>
      <c r="E82" t="s">
        <v>74</v>
      </c>
      <c r="F82">
        <v>58.4</v>
      </c>
      <c r="G82">
        <v>97.1</v>
      </c>
      <c r="H82">
        <v>38.799999999999997</v>
      </c>
      <c r="I82">
        <v>9.9</v>
      </c>
      <c r="J82">
        <v>0.28000000000000003</v>
      </c>
      <c r="K82">
        <v>41.4</v>
      </c>
      <c r="L82">
        <v>32.1</v>
      </c>
      <c r="M82">
        <v>68.8</v>
      </c>
      <c r="N82">
        <v>3.6</v>
      </c>
      <c r="O82">
        <v>220</v>
      </c>
      <c r="P82" t="s">
        <v>28</v>
      </c>
    </row>
    <row r="83" spans="1:16" x14ac:dyDescent="0.25">
      <c r="A83" t="s">
        <v>137</v>
      </c>
      <c r="B83" s="2">
        <v>45680</v>
      </c>
      <c r="C83" t="s">
        <v>52</v>
      </c>
      <c r="D83" t="s">
        <v>31</v>
      </c>
      <c r="E83" t="s">
        <v>74</v>
      </c>
      <c r="F83">
        <v>70.7</v>
      </c>
      <c r="G83">
        <v>89.4</v>
      </c>
      <c r="H83">
        <v>34.6</v>
      </c>
      <c r="I83">
        <v>13.9</v>
      </c>
      <c r="J83">
        <v>0.92</v>
      </c>
      <c r="K83">
        <v>51.3</v>
      </c>
      <c r="L83">
        <v>37.4</v>
      </c>
      <c r="M83">
        <v>98</v>
      </c>
      <c r="N83">
        <v>2.7</v>
      </c>
      <c r="O83">
        <v>255</v>
      </c>
      <c r="P83" t="s">
        <v>28</v>
      </c>
    </row>
    <row r="84" spans="1:16" x14ac:dyDescent="0.25">
      <c r="A84" t="s">
        <v>138</v>
      </c>
      <c r="B84" s="2">
        <v>45900</v>
      </c>
      <c r="C84" t="s">
        <v>99</v>
      </c>
      <c r="D84" t="s">
        <v>36</v>
      </c>
      <c r="E84" t="s">
        <v>55</v>
      </c>
      <c r="F84">
        <v>31.6</v>
      </c>
      <c r="G84">
        <v>96</v>
      </c>
      <c r="H84">
        <v>40.700000000000003</v>
      </c>
      <c r="I84">
        <v>10.9</v>
      </c>
      <c r="J84">
        <v>1.32</v>
      </c>
      <c r="K84">
        <v>39.6</v>
      </c>
      <c r="L84">
        <v>24.7</v>
      </c>
      <c r="M84">
        <v>77.099999999999994</v>
      </c>
      <c r="N84">
        <v>1.6</v>
      </c>
      <c r="O84">
        <v>204</v>
      </c>
      <c r="P84" t="s">
        <v>28</v>
      </c>
    </row>
    <row r="85" spans="1:16" x14ac:dyDescent="0.25">
      <c r="A85" t="s">
        <v>139</v>
      </c>
      <c r="B85" s="2">
        <v>45839</v>
      </c>
      <c r="C85" t="s">
        <v>35</v>
      </c>
      <c r="D85" t="s">
        <v>36</v>
      </c>
      <c r="E85" t="s">
        <v>43</v>
      </c>
      <c r="F85">
        <v>20.6</v>
      </c>
      <c r="G85">
        <v>62.8</v>
      </c>
      <c r="H85">
        <v>11.6</v>
      </c>
      <c r="I85">
        <v>39.200000000000003</v>
      </c>
      <c r="J85">
        <v>1.2</v>
      </c>
      <c r="K85">
        <v>59.3</v>
      </c>
      <c r="L85">
        <v>22.4</v>
      </c>
      <c r="M85">
        <v>62.7</v>
      </c>
      <c r="N85">
        <v>4</v>
      </c>
      <c r="O85">
        <v>167</v>
      </c>
      <c r="P85" t="s">
        <v>33</v>
      </c>
    </row>
    <row r="86" spans="1:16" x14ac:dyDescent="0.25">
      <c r="A86" t="s">
        <v>140</v>
      </c>
      <c r="B86" s="2">
        <v>45783</v>
      </c>
      <c r="C86" t="s">
        <v>42</v>
      </c>
      <c r="D86" t="s">
        <v>23</v>
      </c>
      <c r="E86" t="s">
        <v>55</v>
      </c>
      <c r="F86">
        <v>67</v>
      </c>
      <c r="G86">
        <v>78.2</v>
      </c>
      <c r="H86">
        <v>24.7</v>
      </c>
      <c r="I86">
        <v>4.7</v>
      </c>
      <c r="J86">
        <v>2.0099999999999998</v>
      </c>
      <c r="K86">
        <v>24.2</v>
      </c>
      <c r="L86">
        <v>33.1</v>
      </c>
      <c r="M86">
        <v>44.7</v>
      </c>
      <c r="N86">
        <v>1.1000000000000001</v>
      </c>
      <c r="O86">
        <v>242</v>
      </c>
      <c r="P86" t="s">
        <v>28</v>
      </c>
    </row>
    <row r="87" spans="1:16" x14ac:dyDescent="0.25">
      <c r="A87" t="s">
        <v>141</v>
      </c>
      <c r="B87" s="2">
        <v>45832</v>
      </c>
      <c r="C87" t="s">
        <v>64</v>
      </c>
      <c r="D87" t="s">
        <v>36</v>
      </c>
      <c r="E87" t="s">
        <v>24</v>
      </c>
      <c r="F87">
        <v>83.1</v>
      </c>
      <c r="G87">
        <v>135.30000000000001</v>
      </c>
      <c r="H87">
        <v>76.7</v>
      </c>
      <c r="I87">
        <v>7.5</v>
      </c>
      <c r="J87">
        <v>0.87</v>
      </c>
      <c r="K87">
        <v>32.6</v>
      </c>
      <c r="L87">
        <v>22</v>
      </c>
      <c r="M87">
        <v>81.7</v>
      </c>
      <c r="N87">
        <v>1.8</v>
      </c>
      <c r="O87">
        <v>324</v>
      </c>
      <c r="P87" t="s">
        <v>20</v>
      </c>
    </row>
    <row r="88" spans="1:16" x14ac:dyDescent="0.25">
      <c r="A88" t="s">
        <v>142</v>
      </c>
      <c r="B88" s="2">
        <v>45863</v>
      </c>
      <c r="C88" t="s">
        <v>42</v>
      </c>
      <c r="D88" t="s">
        <v>23</v>
      </c>
      <c r="E88" t="s">
        <v>19</v>
      </c>
      <c r="F88">
        <v>12.3</v>
      </c>
      <c r="G88">
        <v>103.7</v>
      </c>
      <c r="H88">
        <v>94.2</v>
      </c>
      <c r="I88">
        <v>16.8</v>
      </c>
      <c r="J88">
        <v>0.48</v>
      </c>
      <c r="K88">
        <v>21.2</v>
      </c>
      <c r="L88">
        <v>28.8</v>
      </c>
      <c r="M88">
        <v>67.099999999999994</v>
      </c>
      <c r="N88">
        <v>2.4</v>
      </c>
      <c r="O88">
        <v>196</v>
      </c>
      <c r="P88" t="s">
        <v>33</v>
      </c>
    </row>
    <row r="89" spans="1:16" x14ac:dyDescent="0.25">
      <c r="A89" t="s">
        <v>143</v>
      </c>
      <c r="B89" s="2">
        <v>45738</v>
      </c>
      <c r="C89" t="s">
        <v>52</v>
      </c>
      <c r="D89" t="s">
        <v>31</v>
      </c>
      <c r="E89" t="s">
        <v>27</v>
      </c>
      <c r="F89">
        <v>111.3</v>
      </c>
      <c r="G89">
        <v>114.3</v>
      </c>
      <c r="H89">
        <v>25.2</v>
      </c>
      <c r="I89">
        <v>17</v>
      </c>
      <c r="J89">
        <v>0.8</v>
      </c>
      <c r="K89">
        <v>10.6</v>
      </c>
      <c r="L89">
        <v>26.2</v>
      </c>
      <c r="M89">
        <v>89.7</v>
      </c>
      <c r="N89">
        <v>1.7</v>
      </c>
      <c r="O89">
        <v>309</v>
      </c>
      <c r="P89" t="s">
        <v>20</v>
      </c>
    </row>
    <row r="90" spans="1:16" x14ac:dyDescent="0.25">
      <c r="A90" t="s">
        <v>144</v>
      </c>
      <c r="B90" s="2">
        <v>45933</v>
      </c>
      <c r="C90" t="s">
        <v>99</v>
      </c>
      <c r="D90" t="s">
        <v>36</v>
      </c>
      <c r="E90" t="s">
        <v>97</v>
      </c>
      <c r="F90">
        <v>31.9</v>
      </c>
      <c r="G90">
        <v>83.9</v>
      </c>
      <c r="H90">
        <v>70.2</v>
      </c>
      <c r="I90">
        <v>7.5</v>
      </c>
      <c r="J90">
        <v>2.2799999999999998</v>
      </c>
      <c r="K90">
        <v>42.8</v>
      </c>
      <c r="L90">
        <v>29</v>
      </c>
      <c r="M90">
        <v>66.3</v>
      </c>
      <c r="N90">
        <v>2.2999999999999998</v>
      </c>
      <c r="O90">
        <v>243</v>
      </c>
      <c r="P90" t="s">
        <v>28</v>
      </c>
    </row>
    <row r="91" spans="1:16" x14ac:dyDescent="0.25">
      <c r="A91" t="s">
        <v>145</v>
      </c>
      <c r="B91" s="2">
        <v>46022</v>
      </c>
      <c r="C91" t="s">
        <v>93</v>
      </c>
      <c r="D91" t="s">
        <v>36</v>
      </c>
      <c r="E91" t="s">
        <v>24</v>
      </c>
      <c r="F91">
        <v>94.1</v>
      </c>
      <c r="G91">
        <v>118.6</v>
      </c>
      <c r="H91">
        <v>28.9</v>
      </c>
      <c r="I91">
        <v>4.9000000000000004</v>
      </c>
      <c r="J91">
        <v>0.89</v>
      </c>
      <c r="K91">
        <v>67.2</v>
      </c>
      <c r="L91">
        <v>32.299999999999997</v>
      </c>
      <c r="M91">
        <v>83.4</v>
      </c>
      <c r="N91">
        <v>2.6</v>
      </c>
      <c r="O91">
        <v>307</v>
      </c>
      <c r="P91" t="s">
        <v>20</v>
      </c>
    </row>
    <row r="92" spans="1:16" x14ac:dyDescent="0.25">
      <c r="A92" t="s">
        <v>146</v>
      </c>
      <c r="B92" s="2">
        <v>45788</v>
      </c>
      <c r="C92" t="s">
        <v>81</v>
      </c>
      <c r="D92" t="s">
        <v>39</v>
      </c>
      <c r="E92" t="s">
        <v>61</v>
      </c>
      <c r="F92">
        <v>36.5</v>
      </c>
      <c r="G92">
        <v>110.4</v>
      </c>
      <c r="H92">
        <v>13.8</v>
      </c>
      <c r="I92">
        <v>14.8</v>
      </c>
      <c r="J92">
        <v>1.57</v>
      </c>
      <c r="K92">
        <v>58.5</v>
      </c>
      <c r="L92">
        <v>27.2</v>
      </c>
      <c r="M92">
        <v>30.6</v>
      </c>
      <c r="N92">
        <v>0.6</v>
      </c>
      <c r="O92">
        <v>217</v>
      </c>
      <c r="P92" t="s">
        <v>28</v>
      </c>
    </row>
    <row r="93" spans="1:16" x14ac:dyDescent="0.25">
      <c r="A93" t="s">
        <v>147</v>
      </c>
      <c r="B93" s="2">
        <v>45929</v>
      </c>
      <c r="C93" t="s">
        <v>38</v>
      </c>
      <c r="D93" t="s">
        <v>39</v>
      </c>
      <c r="E93" t="s">
        <v>32</v>
      </c>
      <c r="F93">
        <v>52</v>
      </c>
      <c r="G93">
        <v>121.2</v>
      </c>
      <c r="H93">
        <v>8.9</v>
      </c>
      <c r="I93">
        <v>11.4</v>
      </c>
      <c r="J93">
        <v>0.42</v>
      </c>
      <c r="K93">
        <v>44.5</v>
      </c>
      <c r="L93">
        <v>21.6</v>
      </c>
      <c r="M93">
        <v>29.7</v>
      </c>
      <c r="N93">
        <v>1.7</v>
      </c>
      <c r="O93">
        <v>208</v>
      </c>
      <c r="P93" t="s">
        <v>28</v>
      </c>
    </row>
    <row r="94" spans="1:16" x14ac:dyDescent="0.25">
      <c r="A94" t="s">
        <v>148</v>
      </c>
      <c r="B94" s="2">
        <v>45680</v>
      </c>
      <c r="C94" t="s">
        <v>38</v>
      </c>
      <c r="D94" t="s">
        <v>39</v>
      </c>
      <c r="E94" t="s">
        <v>40</v>
      </c>
      <c r="F94">
        <v>37.6</v>
      </c>
      <c r="G94">
        <v>248.9</v>
      </c>
      <c r="H94">
        <v>11.5</v>
      </c>
      <c r="I94">
        <v>16.5</v>
      </c>
      <c r="J94">
        <v>0.86</v>
      </c>
      <c r="K94">
        <v>53.5</v>
      </c>
      <c r="L94">
        <v>23.9</v>
      </c>
      <c r="M94">
        <v>38.4</v>
      </c>
      <c r="N94">
        <v>0.7</v>
      </c>
      <c r="O94">
        <v>288</v>
      </c>
      <c r="P94" t="s">
        <v>28</v>
      </c>
    </row>
    <row r="95" spans="1:16" x14ac:dyDescent="0.25">
      <c r="A95" t="s">
        <v>149</v>
      </c>
      <c r="B95" s="2">
        <v>45798</v>
      </c>
      <c r="C95" t="s">
        <v>77</v>
      </c>
      <c r="D95" t="s">
        <v>39</v>
      </c>
      <c r="E95" t="s">
        <v>45</v>
      </c>
      <c r="F95">
        <v>16.2</v>
      </c>
      <c r="G95">
        <v>74.5</v>
      </c>
      <c r="H95">
        <v>7</v>
      </c>
      <c r="I95">
        <v>21.7</v>
      </c>
      <c r="J95">
        <v>0.65</v>
      </c>
      <c r="K95">
        <v>6.7</v>
      </c>
      <c r="L95">
        <v>31.4</v>
      </c>
      <c r="M95">
        <v>73.5</v>
      </c>
      <c r="N95">
        <v>3</v>
      </c>
      <c r="O95">
        <v>114</v>
      </c>
      <c r="P95" t="s">
        <v>33</v>
      </c>
    </row>
    <row r="96" spans="1:16" x14ac:dyDescent="0.25">
      <c r="A96" t="s">
        <v>150</v>
      </c>
      <c r="B96" s="2">
        <v>45861</v>
      </c>
      <c r="C96" t="s">
        <v>30</v>
      </c>
      <c r="D96" t="s">
        <v>31</v>
      </c>
      <c r="E96" t="s">
        <v>91</v>
      </c>
      <c r="F96">
        <v>18.600000000000001</v>
      </c>
      <c r="G96">
        <v>111.8</v>
      </c>
      <c r="H96">
        <v>6.2</v>
      </c>
      <c r="I96">
        <v>5.0999999999999996</v>
      </c>
      <c r="J96">
        <v>1.33</v>
      </c>
      <c r="K96">
        <v>7.6</v>
      </c>
      <c r="L96">
        <v>27.1</v>
      </c>
      <c r="M96">
        <v>92.8</v>
      </c>
      <c r="N96">
        <v>1.4</v>
      </c>
      <c r="O96">
        <v>148</v>
      </c>
      <c r="P96" t="s">
        <v>33</v>
      </c>
    </row>
    <row r="97" spans="1:16" x14ac:dyDescent="0.25">
      <c r="A97" t="s">
        <v>151</v>
      </c>
      <c r="B97" s="2">
        <v>45948</v>
      </c>
      <c r="C97" t="s">
        <v>93</v>
      </c>
      <c r="D97" t="s">
        <v>36</v>
      </c>
      <c r="E97" t="s">
        <v>91</v>
      </c>
      <c r="F97">
        <v>24.4</v>
      </c>
      <c r="G97">
        <v>105.3</v>
      </c>
      <c r="H97">
        <v>14.3</v>
      </c>
      <c r="I97">
        <v>20.7</v>
      </c>
      <c r="J97">
        <v>0.48</v>
      </c>
      <c r="K97">
        <v>17.399999999999999</v>
      </c>
      <c r="L97">
        <v>25.8</v>
      </c>
      <c r="M97">
        <v>20</v>
      </c>
      <c r="N97">
        <v>2.1</v>
      </c>
      <c r="O97">
        <v>153</v>
      </c>
      <c r="P97" t="s">
        <v>33</v>
      </c>
    </row>
    <row r="98" spans="1:16" x14ac:dyDescent="0.25">
      <c r="A98" t="s">
        <v>152</v>
      </c>
      <c r="B98" s="2">
        <v>45771</v>
      </c>
      <c r="C98" t="s">
        <v>22</v>
      </c>
      <c r="D98" t="s">
        <v>23</v>
      </c>
      <c r="E98" t="s">
        <v>74</v>
      </c>
      <c r="F98">
        <v>36.1</v>
      </c>
      <c r="G98">
        <v>107.8</v>
      </c>
      <c r="H98">
        <v>53.9</v>
      </c>
      <c r="I98">
        <v>5.2</v>
      </c>
      <c r="J98">
        <v>1.0900000000000001</v>
      </c>
      <c r="K98">
        <v>35.5</v>
      </c>
      <c r="L98">
        <v>26.2</v>
      </c>
      <c r="M98">
        <v>92.2</v>
      </c>
      <c r="N98">
        <v>1.6</v>
      </c>
      <c r="O98">
        <v>218</v>
      </c>
      <c r="P98" t="s">
        <v>28</v>
      </c>
    </row>
    <row r="99" spans="1:16" x14ac:dyDescent="0.25">
      <c r="A99" t="s">
        <v>153</v>
      </c>
      <c r="B99" s="2">
        <v>45748</v>
      </c>
      <c r="C99" t="s">
        <v>52</v>
      </c>
      <c r="D99" t="s">
        <v>31</v>
      </c>
      <c r="E99" t="s">
        <v>58</v>
      </c>
      <c r="F99">
        <v>15</v>
      </c>
      <c r="G99">
        <v>65</v>
      </c>
      <c r="H99">
        <v>6.2</v>
      </c>
      <c r="I99">
        <v>7.2</v>
      </c>
      <c r="J99">
        <v>0.39</v>
      </c>
      <c r="K99">
        <v>51.6</v>
      </c>
      <c r="L99">
        <v>22.8</v>
      </c>
      <c r="M99">
        <v>80.900000000000006</v>
      </c>
      <c r="N99">
        <v>2.4</v>
      </c>
      <c r="O99">
        <v>109</v>
      </c>
      <c r="P99" t="s">
        <v>33</v>
      </c>
    </row>
    <row r="100" spans="1:16" x14ac:dyDescent="0.25">
      <c r="A100" t="s">
        <v>154</v>
      </c>
      <c r="B100" s="2">
        <v>45974</v>
      </c>
      <c r="C100" t="s">
        <v>67</v>
      </c>
      <c r="D100" t="s">
        <v>18</v>
      </c>
      <c r="E100" t="s">
        <v>40</v>
      </c>
      <c r="F100">
        <v>34</v>
      </c>
      <c r="G100">
        <v>105</v>
      </c>
      <c r="H100">
        <v>37.9</v>
      </c>
      <c r="I100">
        <v>26.2</v>
      </c>
      <c r="J100">
        <v>2.06</v>
      </c>
      <c r="K100">
        <v>25</v>
      </c>
      <c r="L100">
        <v>19.7</v>
      </c>
      <c r="M100">
        <v>52.9</v>
      </c>
      <c r="N100">
        <v>3.5</v>
      </c>
      <c r="O100">
        <v>234</v>
      </c>
      <c r="P100" t="s">
        <v>28</v>
      </c>
    </row>
    <row r="101" spans="1:16" x14ac:dyDescent="0.25">
      <c r="A101" t="s">
        <v>155</v>
      </c>
      <c r="B101" s="2">
        <v>45761</v>
      </c>
      <c r="C101" t="s">
        <v>81</v>
      </c>
      <c r="D101" t="s">
        <v>39</v>
      </c>
      <c r="E101" t="s">
        <v>24</v>
      </c>
      <c r="F101">
        <v>56.6</v>
      </c>
      <c r="G101">
        <v>142</v>
      </c>
      <c r="H101">
        <v>35.4</v>
      </c>
      <c r="I101">
        <v>12.6</v>
      </c>
      <c r="J101">
        <v>0.25</v>
      </c>
      <c r="K101">
        <v>55.9</v>
      </c>
      <c r="L101">
        <v>29</v>
      </c>
      <c r="M101">
        <v>69</v>
      </c>
      <c r="N101">
        <v>1.5</v>
      </c>
      <c r="O101">
        <v>251</v>
      </c>
      <c r="P101" t="s">
        <v>28</v>
      </c>
    </row>
    <row r="102" spans="1:16" x14ac:dyDescent="0.25">
      <c r="A102" t="s">
        <v>156</v>
      </c>
      <c r="B102" s="2">
        <v>45734</v>
      </c>
      <c r="C102" t="s">
        <v>38</v>
      </c>
      <c r="D102" t="s">
        <v>39</v>
      </c>
      <c r="E102" t="s">
        <v>97</v>
      </c>
      <c r="F102">
        <v>105.4</v>
      </c>
      <c r="G102">
        <v>130</v>
      </c>
      <c r="H102">
        <v>51</v>
      </c>
      <c r="I102">
        <v>7.9</v>
      </c>
      <c r="J102">
        <v>2.02</v>
      </c>
      <c r="K102">
        <v>52</v>
      </c>
      <c r="L102">
        <v>32.5</v>
      </c>
      <c r="M102">
        <v>96.4</v>
      </c>
      <c r="N102">
        <v>4</v>
      </c>
      <c r="O102">
        <v>373</v>
      </c>
      <c r="P102" t="s">
        <v>20</v>
      </c>
    </row>
    <row r="103" spans="1:16" x14ac:dyDescent="0.25">
      <c r="A103" t="s">
        <v>157</v>
      </c>
      <c r="B103" s="2">
        <v>45941</v>
      </c>
      <c r="C103" t="s">
        <v>77</v>
      </c>
      <c r="D103" t="s">
        <v>39</v>
      </c>
      <c r="E103" t="s">
        <v>74</v>
      </c>
      <c r="F103">
        <v>50.9</v>
      </c>
      <c r="G103">
        <v>58.7</v>
      </c>
      <c r="H103">
        <v>35.200000000000003</v>
      </c>
      <c r="I103">
        <v>21.4</v>
      </c>
      <c r="J103">
        <v>1.1100000000000001</v>
      </c>
      <c r="K103">
        <v>27.9</v>
      </c>
      <c r="L103">
        <v>28.6</v>
      </c>
      <c r="M103">
        <v>43.5</v>
      </c>
      <c r="N103">
        <v>4.2</v>
      </c>
      <c r="O103">
        <v>203</v>
      </c>
      <c r="P103" t="s">
        <v>28</v>
      </c>
    </row>
    <row r="104" spans="1:16" x14ac:dyDescent="0.25">
      <c r="A104" t="s">
        <v>158</v>
      </c>
      <c r="B104" s="2">
        <v>45690</v>
      </c>
      <c r="C104" t="s">
        <v>26</v>
      </c>
      <c r="D104" t="s">
        <v>23</v>
      </c>
      <c r="E104" t="s">
        <v>70</v>
      </c>
      <c r="F104">
        <v>28.9</v>
      </c>
      <c r="G104">
        <v>145.6</v>
      </c>
      <c r="H104">
        <v>11.5</v>
      </c>
      <c r="I104">
        <v>16.2</v>
      </c>
      <c r="J104">
        <v>0.72</v>
      </c>
      <c r="K104">
        <v>4.4000000000000004</v>
      </c>
      <c r="L104">
        <v>27.6</v>
      </c>
      <c r="M104">
        <v>35.9</v>
      </c>
      <c r="N104">
        <v>1.5</v>
      </c>
      <c r="O104">
        <v>181</v>
      </c>
      <c r="P104" t="s">
        <v>33</v>
      </c>
    </row>
    <row r="105" spans="1:16" x14ac:dyDescent="0.25">
      <c r="A105" t="s">
        <v>159</v>
      </c>
      <c r="B105" s="2">
        <v>45911</v>
      </c>
      <c r="C105" t="s">
        <v>35</v>
      </c>
      <c r="D105" t="s">
        <v>36</v>
      </c>
      <c r="E105" t="s">
        <v>43</v>
      </c>
      <c r="F105">
        <v>33.799999999999997</v>
      </c>
      <c r="G105">
        <v>115.3</v>
      </c>
      <c r="H105">
        <v>38</v>
      </c>
      <c r="I105">
        <v>28.3</v>
      </c>
      <c r="J105">
        <v>0.7</v>
      </c>
      <c r="K105">
        <v>33.799999999999997</v>
      </c>
      <c r="L105">
        <v>28.9</v>
      </c>
      <c r="M105">
        <v>66.099999999999994</v>
      </c>
      <c r="N105">
        <v>2.4</v>
      </c>
      <c r="O105">
        <v>212</v>
      </c>
      <c r="P105" t="s">
        <v>28</v>
      </c>
    </row>
    <row r="106" spans="1:16" x14ac:dyDescent="0.25">
      <c r="A106" t="s">
        <v>160</v>
      </c>
      <c r="B106" s="2">
        <v>45828</v>
      </c>
      <c r="C106" t="s">
        <v>35</v>
      </c>
      <c r="D106" t="s">
        <v>36</v>
      </c>
      <c r="E106" t="s">
        <v>97</v>
      </c>
      <c r="F106">
        <v>19.3</v>
      </c>
      <c r="G106">
        <v>42.3</v>
      </c>
      <c r="H106">
        <v>74.7</v>
      </c>
      <c r="I106">
        <v>15.2</v>
      </c>
      <c r="J106">
        <v>0.28999999999999998</v>
      </c>
      <c r="K106">
        <v>85.1</v>
      </c>
      <c r="L106">
        <v>37.9</v>
      </c>
      <c r="M106">
        <v>65</v>
      </c>
      <c r="N106">
        <v>1.5</v>
      </c>
      <c r="O106">
        <v>174</v>
      </c>
      <c r="P106" t="s">
        <v>33</v>
      </c>
    </row>
    <row r="107" spans="1:16" x14ac:dyDescent="0.25">
      <c r="A107" t="s">
        <v>161</v>
      </c>
      <c r="B107" s="2">
        <v>45944</v>
      </c>
      <c r="C107" t="s">
        <v>99</v>
      </c>
      <c r="D107" t="s">
        <v>36</v>
      </c>
      <c r="E107" t="s">
        <v>74</v>
      </c>
      <c r="F107">
        <v>40.200000000000003</v>
      </c>
      <c r="G107">
        <v>26.7</v>
      </c>
      <c r="H107">
        <v>5.4</v>
      </c>
      <c r="I107">
        <v>25.7</v>
      </c>
      <c r="J107">
        <v>0.81</v>
      </c>
      <c r="K107">
        <v>17.899999999999999</v>
      </c>
      <c r="L107">
        <v>18.7</v>
      </c>
      <c r="M107">
        <v>49.2</v>
      </c>
      <c r="N107">
        <v>1.8</v>
      </c>
      <c r="O107">
        <v>132</v>
      </c>
      <c r="P107" t="s">
        <v>33</v>
      </c>
    </row>
    <row r="108" spans="1:16" x14ac:dyDescent="0.25">
      <c r="A108" t="s">
        <v>162</v>
      </c>
      <c r="B108" s="2">
        <v>45969</v>
      </c>
      <c r="C108" t="s">
        <v>52</v>
      </c>
      <c r="D108" t="s">
        <v>31</v>
      </c>
      <c r="E108" t="s">
        <v>24</v>
      </c>
      <c r="F108">
        <v>37.5</v>
      </c>
      <c r="G108">
        <v>79.5</v>
      </c>
      <c r="H108">
        <v>19.399999999999999</v>
      </c>
      <c r="I108">
        <v>13.4</v>
      </c>
      <c r="J108">
        <v>0.22</v>
      </c>
      <c r="K108">
        <v>36.299999999999997</v>
      </c>
      <c r="L108">
        <v>34.5</v>
      </c>
      <c r="M108">
        <v>85.2</v>
      </c>
      <c r="N108">
        <v>1</v>
      </c>
      <c r="O108">
        <v>158</v>
      </c>
      <c r="P108" t="s">
        <v>33</v>
      </c>
    </row>
    <row r="109" spans="1:16" x14ac:dyDescent="0.25">
      <c r="A109" t="s">
        <v>163</v>
      </c>
      <c r="B109" s="2">
        <v>45800</v>
      </c>
      <c r="C109" t="s">
        <v>38</v>
      </c>
      <c r="D109" t="s">
        <v>39</v>
      </c>
      <c r="E109" t="s">
        <v>27</v>
      </c>
      <c r="F109">
        <v>50</v>
      </c>
      <c r="G109">
        <v>158.30000000000001</v>
      </c>
      <c r="H109">
        <v>49.5</v>
      </c>
      <c r="I109">
        <v>14.6</v>
      </c>
      <c r="J109">
        <v>1.37</v>
      </c>
      <c r="K109">
        <v>27.4</v>
      </c>
      <c r="L109">
        <v>32.5</v>
      </c>
      <c r="M109">
        <v>28.5</v>
      </c>
      <c r="N109">
        <v>2.5</v>
      </c>
      <c r="O109">
        <v>279</v>
      </c>
      <c r="P109" t="s">
        <v>28</v>
      </c>
    </row>
    <row r="110" spans="1:16" x14ac:dyDescent="0.25">
      <c r="A110" t="s">
        <v>164</v>
      </c>
      <c r="B110" s="2">
        <v>45748</v>
      </c>
      <c r="C110" t="s">
        <v>17</v>
      </c>
      <c r="D110" t="s">
        <v>18</v>
      </c>
      <c r="E110" t="s">
        <v>43</v>
      </c>
      <c r="F110">
        <v>79.2</v>
      </c>
      <c r="G110">
        <v>39.6</v>
      </c>
      <c r="H110">
        <v>30.2</v>
      </c>
      <c r="I110">
        <v>30.7</v>
      </c>
      <c r="J110">
        <v>0.77</v>
      </c>
      <c r="K110">
        <v>88.4</v>
      </c>
      <c r="L110">
        <v>29.2</v>
      </c>
      <c r="M110">
        <v>57.7</v>
      </c>
      <c r="N110">
        <v>4.4000000000000004</v>
      </c>
      <c r="O110">
        <v>257</v>
      </c>
      <c r="P110" t="s">
        <v>28</v>
      </c>
    </row>
    <row r="111" spans="1:16" x14ac:dyDescent="0.25">
      <c r="A111" t="s">
        <v>165</v>
      </c>
      <c r="B111" s="2">
        <v>45725</v>
      </c>
      <c r="C111" t="s">
        <v>38</v>
      </c>
      <c r="D111" t="s">
        <v>39</v>
      </c>
      <c r="E111" t="s">
        <v>97</v>
      </c>
      <c r="F111">
        <v>68.5</v>
      </c>
      <c r="G111">
        <v>103.3</v>
      </c>
      <c r="H111">
        <v>49.2</v>
      </c>
      <c r="I111">
        <v>6</v>
      </c>
      <c r="J111">
        <v>0.44</v>
      </c>
      <c r="K111">
        <v>29.5</v>
      </c>
      <c r="L111">
        <v>22.3</v>
      </c>
      <c r="M111">
        <v>77</v>
      </c>
      <c r="N111">
        <v>3</v>
      </c>
      <c r="O111">
        <v>245</v>
      </c>
      <c r="P111" t="s">
        <v>28</v>
      </c>
    </row>
    <row r="112" spans="1:16" x14ac:dyDescent="0.25">
      <c r="A112" t="s">
        <v>166</v>
      </c>
      <c r="B112" s="2">
        <v>45921</v>
      </c>
      <c r="C112" t="s">
        <v>26</v>
      </c>
      <c r="D112" t="s">
        <v>23</v>
      </c>
      <c r="E112" t="s">
        <v>91</v>
      </c>
      <c r="F112">
        <v>23.8</v>
      </c>
      <c r="G112">
        <v>103.3</v>
      </c>
      <c r="H112">
        <v>28.4</v>
      </c>
      <c r="I112">
        <v>30.6</v>
      </c>
      <c r="J112">
        <v>0.17</v>
      </c>
      <c r="K112">
        <v>41.1</v>
      </c>
      <c r="L112">
        <v>27.1</v>
      </c>
      <c r="M112">
        <v>56</v>
      </c>
      <c r="N112">
        <v>1.3</v>
      </c>
      <c r="O112">
        <v>172</v>
      </c>
      <c r="P112" t="s">
        <v>33</v>
      </c>
    </row>
    <row r="113" spans="1:16" x14ac:dyDescent="0.25">
      <c r="A113" t="s">
        <v>167</v>
      </c>
      <c r="B113" s="2">
        <v>45816</v>
      </c>
      <c r="C113" t="s">
        <v>30</v>
      </c>
      <c r="D113" t="s">
        <v>31</v>
      </c>
      <c r="E113" t="s">
        <v>19</v>
      </c>
      <c r="F113">
        <v>13.5</v>
      </c>
      <c r="G113">
        <v>48.5</v>
      </c>
      <c r="H113">
        <v>27.1</v>
      </c>
      <c r="I113">
        <v>8.1</v>
      </c>
      <c r="J113">
        <v>1.73</v>
      </c>
      <c r="K113">
        <v>21.1</v>
      </c>
      <c r="L113">
        <v>34.299999999999997</v>
      </c>
      <c r="M113">
        <v>76.7</v>
      </c>
      <c r="N113">
        <v>2.7</v>
      </c>
      <c r="O113">
        <v>133</v>
      </c>
      <c r="P113" t="s">
        <v>33</v>
      </c>
    </row>
    <row r="114" spans="1:16" x14ac:dyDescent="0.25">
      <c r="A114" t="s">
        <v>168</v>
      </c>
      <c r="B114" s="2">
        <v>45951</v>
      </c>
      <c r="C114" t="s">
        <v>50</v>
      </c>
      <c r="D114" t="s">
        <v>31</v>
      </c>
      <c r="E114" t="s">
        <v>58</v>
      </c>
      <c r="F114">
        <v>16.3</v>
      </c>
      <c r="G114">
        <v>65.400000000000006</v>
      </c>
      <c r="H114">
        <v>18.899999999999999</v>
      </c>
      <c r="I114">
        <v>1.1000000000000001</v>
      </c>
      <c r="J114">
        <v>1.1200000000000001</v>
      </c>
      <c r="K114">
        <v>34.6</v>
      </c>
      <c r="L114">
        <v>29.4</v>
      </c>
      <c r="N114">
        <v>1.3</v>
      </c>
      <c r="O114">
        <v>128</v>
      </c>
      <c r="P114" t="s">
        <v>33</v>
      </c>
    </row>
    <row r="115" spans="1:16" x14ac:dyDescent="0.25">
      <c r="A115" t="s">
        <v>169</v>
      </c>
      <c r="B115" s="2">
        <v>45928</v>
      </c>
      <c r="C115" t="s">
        <v>77</v>
      </c>
      <c r="D115" t="s">
        <v>39</v>
      </c>
      <c r="E115" t="s">
        <v>24</v>
      </c>
      <c r="F115">
        <v>28.2</v>
      </c>
      <c r="G115">
        <v>141.4</v>
      </c>
      <c r="H115">
        <v>9.5</v>
      </c>
      <c r="I115">
        <v>19.5</v>
      </c>
      <c r="J115">
        <v>0.55000000000000004</v>
      </c>
      <c r="K115">
        <v>48</v>
      </c>
      <c r="L115">
        <v>28.7</v>
      </c>
      <c r="M115">
        <v>64.8</v>
      </c>
      <c r="N115">
        <v>1.2</v>
      </c>
      <c r="O115">
        <v>194</v>
      </c>
      <c r="P115" t="s">
        <v>33</v>
      </c>
    </row>
    <row r="116" spans="1:16" x14ac:dyDescent="0.25">
      <c r="A116" t="s">
        <v>170</v>
      </c>
      <c r="B116" s="2">
        <v>46022</v>
      </c>
      <c r="C116" t="s">
        <v>67</v>
      </c>
      <c r="D116" t="s">
        <v>18</v>
      </c>
      <c r="E116" t="s">
        <v>58</v>
      </c>
      <c r="F116">
        <v>61.3</v>
      </c>
      <c r="G116">
        <v>157.6</v>
      </c>
      <c r="H116">
        <v>9.6</v>
      </c>
      <c r="I116">
        <v>3.1</v>
      </c>
      <c r="J116">
        <v>0.75</v>
      </c>
      <c r="K116">
        <v>28.1</v>
      </c>
      <c r="L116">
        <v>23.9</v>
      </c>
      <c r="M116">
        <v>81.8</v>
      </c>
      <c r="N116">
        <v>2.5</v>
      </c>
      <c r="O116">
        <v>242</v>
      </c>
      <c r="P116" t="s">
        <v>28</v>
      </c>
    </row>
    <row r="117" spans="1:16" x14ac:dyDescent="0.25">
      <c r="A117" t="s">
        <v>171</v>
      </c>
      <c r="B117" s="2">
        <v>45966</v>
      </c>
      <c r="C117" t="s">
        <v>99</v>
      </c>
      <c r="D117" t="s">
        <v>36</v>
      </c>
      <c r="E117" t="s">
        <v>24</v>
      </c>
      <c r="F117">
        <v>27.5</v>
      </c>
      <c r="G117">
        <v>97.2</v>
      </c>
      <c r="H117">
        <v>34.9</v>
      </c>
      <c r="I117">
        <v>11.3</v>
      </c>
      <c r="J117">
        <v>0.37</v>
      </c>
      <c r="K117">
        <v>61.9</v>
      </c>
      <c r="L117">
        <v>27.2</v>
      </c>
      <c r="M117">
        <v>50.8</v>
      </c>
      <c r="N117">
        <v>2.2000000000000002</v>
      </c>
      <c r="O117">
        <v>180</v>
      </c>
      <c r="P117" t="s">
        <v>33</v>
      </c>
    </row>
    <row r="118" spans="1:16" x14ac:dyDescent="0.25">
      <c r="A118" t="s">
        <v>172</v>
      </c>
      <c r="B118" s="2">
        <v>45992</v>
      </c>
      <c r="C118" t="s">
        <v>50</v>
      </c>
      <c r="D118" t="s">
        <v>31</v>
      </c>
      <c r="E118" t="s">
        <v>19</v>
      </c>
      <c r="F118">
        <v>60.1</v>
      </c>
      <c r="G118">
        <v>67.8</v>
      </c>
      <c r="H118">
        <v>4.5999999999999996</v>
      </c>
      <c r="I118">
        <v>26</v>
      </c>
      <c r="J118">
        <v>0.92</v>
      </c>
      <c r="K118">
        <v>46.2</v>
      </c>
      <c r="L118">
        <v>29</v>
      </c>
      <c r="M118">
        <v>78.400000000000006</v>
      </c>
      <c r="N118">
        <v>2.1</v>
      </c>
      <c r="O118">
        <v>206</v>
      </c>
      <c r="P118" t="s">
        <v>28</v>
      </c>
    </row>
    <row r="119" spans="1:16" x14ac:dyDescent="0.25">
      <c r="A119" t="s">
        <v>173</v>
      </c>
      <c r="B119" s="2">
        <v>45987</v>
      </c>
      <c r="C119" t="s">
        <v>26</v>
      </c>
      <c r="D119" t="s">
        <v>23</v>
      </c>
      <c r="E119" t="s">
        <v>55</v>
      </c>
      <c r="F119">
        <v>37.200000000000003</v>
      </c>
      <c r="G119">
        <v>101</v>
      </c>
      <c r="H119">
        <v>29</v>
      </c>
      <c r="I119">
        <v>9.4</v>
      </c>
      <c r="J119">
        <v>0.61</v>
      </c>
      <c r="K119">
        <v>28.4</v>
      </c>
      <c r="L119">
        <v>32.9</v>
      </c>
      <c r="M119">
        <v>60.2</v>
      </c>
      <c r="N119">
        <v>2.2000000000000002</v>
      </c>
      <c r="O119">
        <v>183</v>
      </c>
      <c r="P119" t="s">
        <v>33</v>
      </c>
    </row>
    <row r="120" spans="1:16" x14ac:dyDescent="0.25">
      <c r="A120" t="s">
        <v>174</v>
      </c>
      <c r="B120" s="2">
        <v>45990</v>
      </c>
      <c r="C120" t="s">
        <v>26</v>
      </c>
      <c r="D120" t="s">
        <v>23</v>
      </c>
      <c r="E120" t="s">
        <v>61</v>
      </c>
      <c r="F120">
        <v>113.2</v>
      </c>
      <c r="G120">
        <v>40.799999999999997</v>
      </c>
      <c r="H120">
        <v>36.700000000000003</v>
      </c>
      <c r="I120">
        <v>15.8</v>
      </c>
      <c r="J120">
        <v>1.73</v>
      </c>
      <c r="K120">
        <v>76.2</v>
      </c>
      <c r="L120">
        <v>34.5</v>
      </c>
      <c r="M120">
        <v>63</v>
      </c>
      <c r="N120">
        <v>2.9</v>
      </c>
      <c r="O120">
        <v>326</v>
      </c>
      <c r="P120" t="s">
        <v>20</v>
      </c>
    </row>
    <row r="121" spans="1:16" x14ac:dyDescent="0.25">
      <c r="A121" t="s">
        <v>175</v>
      </c>
      <c r="B121" s="2">
        <v>46020</v>
      </c>
      <c r="C121" t="s">
        <v>50</v>
      </c>
      <c r="D121" t="s">
        <v>31</v>
      </c>
      <c r="E121" t="s">
        <v>68</v>
      </c>
      <c r="F121">
        <v>71.900000000000006</v>
      </c>
      <c r="G121">
        <v>51.5</v>
      </c>
      <c r="H121">
        <v>5.0999999999999996</v>
      </c>
      <c r="I121">
        <v>21</v>
      </c>
      <c r="J121">
        <v>0.76</v>
      </c>
      <c r="K121">
        <v>34.5</v>
      </c>
      <c r="L121">
        <v>22.9</v>
      </c>
      <c r="M121">
        <v>73.7</v>
      </c>
      <c r="N121">
        <v>2.2999999999999998</v>
      </c>
      <c r="O121">
        <v>202</v>
      </c>
      <c r="P121" t="s">
        <v>28</v>
      </c>
    </row>
    <row r="122" spans="1:16" x14ac:dyDescent="0.25">
      <c r="A122" t="s">
        <v>176</v>
      </c>
      <c r="B122" s="2">
        <v>45796</v>
      </c>
      <c r="C122" t="s">
        <v>17</v>
      </c>
      <c r="D122" t="s">
        <v>18</v>
      </c>
      <c r="E122" t="s">
        <v>55</v>
      </c>
      <c r="F122">
        <v>16</v>
      </c>
      <c r="G122">
        <v>83.8</v>
      </c>
      <c r="H122">
        <v>29.5</v>
      </c>
      <c r="I122">
        <v>18.2</v>
      </c>
      <c r="J122">
        <v>1.36</v>
      </c>
      <c r="K122">
        <v>22.4</v>
      </c>
      <c r="L122">
        <v>24.4</v>
      </c>
      <c r="M122">
        <v>68.900000000000006</v>
      </c>
      <c r="N122">
        <v>2.1</v>
      </c>
      <c r="O122">
        <v>160</v>
      </c>
      <c r="P122" t="s">
        <v>33</v>
      </c>
    </row>
    <row r="123" spans="1:16" x14ac:dyDescent="0.25">
      <c r="A123" t="s">
        <v>177</v>
      </c>
      <c r="B123" s="2">
        <v>45772</v>
      </c>
      <c r="C123" t="s">
        <v>81</v>
      </c>
      <c r="D123" t="s">
        <v>39</v>
      </c>
      <c r="E123" t="s">
        <v>68</v>
      </c>
      <c r="F123">
        <v>62.3</v>
      </c>
      <c r="G123">
        <v>182.8</v>
      </c>
      <c r="H123">
        <v>7.4</v>
      </c>
      <c r="I123">
        <v>10.6</v>
      </c>
      <c r="J123">
        <v>0.47</v>
      </c>
      <c r="K123">
        <v>6.5</v>
      </c>
      <c r="L123">
        <v>20</v>
      </c>
      <c r="M123">
        <v>47.9</v>
      </c>
      <c r="N123">
        <v>0.7</v>
      </c>
      <c r="O123">
        <v>247</v>
      </c>
      <c r="P123" t="s">
        <v>28</v>
      </c>
    </row>
    <row r="124" spans="1:16" x14ac:dyDescent="0.25">
      <c r="A124" t="s">
        <v>178</v>
      </c>
      <c r="B124" s="2">
        <v>45875</v>
      </c>
      <c r="C124" t="s">
        <v>50</v>
      </c>
      <c r="D124" t="s">
        <v>31</v>
      </c>
      <c r="E124" t="s">
        <v>58</v>
      </c>
      <c r="F124">
        <v>25.6</v>
      </c>
      <c r="G124">
        <v>74</v>
      </c>
      <c r="H124">
        <v>21.1</v>
      </c>
      <c r="I124">
        <v>5.6</v>
      </c>
      <c r="J124">
        <v>1.1100000000000001</v>
      </c>
      <c r="K124">
        <v>37.4</v>
      </c>
      <c r="L124">
        <v>29.3</v>
      </c>
      <c r="M124">
        <v>53.3</v>
      </c>
      <c r="N124">
        <v>2.4</v>
      </c>
      <c r="O124">
        <v>154</v>
      </c>
      <c r="P124" t="s">
        <v>33</v>
      </c>
    </row>
    <row r="125" spans="1:16" x14ac:dyDescent="0.25">
      <c r="A125" t="s">
        <v>179</v>
      </c>
      <c r="B125" s="2">
        <v>45963</v>
      </c>
      <c r="C125" t="s">
        <v>35</v>
      </c>
      <c r="D125" t="s">
        <v>36</v>
      </c>
      <c r="E125" t="s">
        <v>61</v>
      </c>
      <c r="F125">
        <v>8.6999999999999993</v>
      </c>
      <c r="G125">
        <v>161.1</v>
      </c>
      <c r="H125">
        <v>12.9</v>
      </c>
      <c r="I125">
        <v>23.7</v>
      </c>
      <c r="J125">
        <v>0.54</v>
      </c>
      <c r="K125">
        <v>15.7</v>
      </c>
      <c r="L125">
        <v>22</v>
      </c>
      <c r="M125">
        <v>75.599999999999994</v>
      </c>
      <c r="N125">
        <v>2.2000000000000002</v>
      </c>
      <c r="O125">
        <v>166</v>
      </c>
      <c r="P125" t="s">
        <v>33</v>
      </c>
    </row>
    <row r="126" spans="1:16" x14ac:dyDescent="0.25">
      <c r="A126" t="s">
        <v>180</v>
      </c>
      <c r="B126" s="2">
        <v>45723</v>
      </c>
      <c r="C126" t="s">
        <v>52</v>
      </c>
      <c r="D126" t="s">
        <v>31</v>
      </c>
      <c r="E126" t="s">
        <v>45</v>
      </c>
      <c r="F126">
        <v>71.599999999999994</v>
      </c>
      <c r="G126">
        <v>34.4</v>
      </c>
      <c r="H126">
        <v>41.1</v>
      </c>
      <c r="I126">
        <v>5.3</v>
      </c>
      <c r="J126">
        <v>0.18</v>
      </c>
      <c r="K126">
        <v>38.6</v>
      </c>
      <c r="L126">
        <v>22.2</v>
      </c>
      <c r="M126">
        <v>69.400000000000006</v>
      </c>
      <c r="N126">
        <v>0.4</v>
      </c>
      <c r="O126">
        <v>195</v>
      </c>
      <c r="P126" t="s">
        <v>33</v>
      </c>
    </row>
    <row r="127" spans="1:16" x14ac:dyDescent="0.25">
      <c r="A127" t="s">
        <v>181</v>
      </c>
      <c r="B127" s="2">
        <v>46022</v>
      </c>
      <c r="C127" t="s">
        <v>38</v>
      </c>
      <c r="D127" t="s">
        <v>39</v>
      </c>
      <c r="E127" t="s">
        <v>68</v>
      </c>
      <c r="F127">
        <v>34.9</v>
      </c>
      <c r="G127">
        <v>104.2</v>
      </c>
      <c r="H127">
        <v>25.9</v>
      </c>
      <c r="I127">
        <v>5.5</v>
      </c>
      <c r="J127">
        <v>0.84</v>
      </c>
      <c r="K127">
        <v>34</v>
      </c>
      <c r="L127">
        <v>37.6</v>
      </c>
      <c r="M127">
        <v>86.6</v>
      </c>
      <c r="N127">
        <v>0.9</v>
      </c>
      <c r="O127">
        <v>184</v>
      </c>
      <c r="P127" t="s">
        <v>33</v>
      </c>
    </row>
    <row r="128" spans="1:16" x14ac:dyDescent="0.25">
      <c r="A128" t="s">
        <v>182</v>
      </c>
      <c r="B128" s="2">
        <v>45768</v>
      </c>
      <c r="C128" t="s">
        <v>64</v>
      </c>
      <c r="D128" t="s">
        <v>36</v>
      </c>
      <c r="E128" t="s">
        <v>19</v>
      </c>
      <c r="F128">
        <v>103.8</v>
      </c>
      <c r="G128">
        <v>131.9</v>
      </c>
      <c r="H128">
        <v>84.8</v>
      </c>
      <c r="I128">
        <v>30.8</v>
      </c>
      <c r="J128">
        <v>1.23</v>
      </c>
      <c r="K128">
        <v>25.1</v>
      </c>
      <c r="L128">
        <v>36.4</v>
      </c>
      <c r="M128">
        <v>75.599999999999994</v>
      </c>
      <c r="N128">
        <v>3.4</v>
      </c>
      <c r="O128">
        <v>383</v>
      </c>
      <c r="P128" t="s">
        <v>20</v>
      </c>
    </row>
    <row r="129" spans="1:16" x14ac:dyDescent="0.25">
      <c r="A129" t="s">
        <v>183</v>
      </c>
      <c r="B129" s="2">
        <v>45760</v>
      </c>
      <c r="C129" t="s">
        <v>42</v>
      </c>
      <c r="D129" t="s">
        <v>23</v>
      </c>
      <c r="E129" t="s">
        <v>27</v>
      </c>
      <c r="F129">
        <v>84.2</v>
      </c>
      <c r="G129">
        <v>28.1</v>
      </c>
      <c r="H129">
        <v>11.7</v>
      </c>
      <c r="I129">
        <v>11.1</v>
      </c>
      <c r="J129">
        <v>0.72</v>
      </c>
      <c r="K129">
        <v>48.6</v>
      </c>
      <c r="L129">
        <v>27.2</v>
      </c>
      <c r="M129">
        <v>69.2</v>
      </c>
      <c r="N129">
        <v>3</v>
      </c>
      <c r="O129">
        <v>210</v>
      </c>
      <c r="P129" t="s">
        <v>28</v>
      </c>
    </row>
    <row r="130" spans="1:16" x14ac:dyDescent="0.25">
      <c r="A130" t="s">
        <v>184</v>
      </c>
      <c r="B130" s="2">
        <v>45802</v>
      </c>
      <c r="C130" t="s">
        <v>22</v>
      </c>
      <c r="D130" t="s">
        <v>23</v>
      </c>
      <c r="E130" t="s">
        <v>45</v>
      </c>
      <c r="F130">
        <v>34.799999999999997</v>
      </c>
      <c r="G130">
        <v>46.5</v>
      </c>
      <c r="H130">
        <v>109.2</v>
      </c>
      <c r="I130">
        <v>16.5</v>
      </c>
      <c r="J130">
        <v>1.02</v>
      </c>
      <c r="K130">
        <v>16.7</v>
      </c>
      <c r="L130">
        <v>21.7</v>
      </c>
      <c r="M130">
        <v>58.8</v>
      </c>
      <c r="N130">
        <v>1</v>
      </c>
      <c r="O130">
        <v>218</v>
      </c>
      <c r="P130" t="s">
        <v>28</v>
      </c>
    </row>
    <row r="131" spans="1:16" x14ac:dyDescent="0.25">
      <c r="A131" t="s">
        <v>185</v>
      </c>
      <c r="B131" s="2">
        <v>45659</v>
      </c>
      <c r="C131" t="s">
        <v>54</v>
      </c>
      <c r="D131" t="s">
        <v>18</v>
      </c>
      <c r="E131" t="s">
        <v>58</v>
      </c>
      <c r="F131">
        <v>14</v>
      </c>
      <c r="G131">
        <v>95.5</v>
      </c>
      <c r="H131">
        <v>13.9</v>
      </c>
      <c r="I131">
        <v>8.1999999999999993</v>
      </c>
      <c r="J131">
        <v>0.21</v>
      </c>
      <c r="K131">
        <v>17.8</v>
      </c>
      <c r="L131">
        <v>26</v>
      </c>
      <c r="M131">
        <v>31.2</v>
      </c>
      <c r="N131">
        <v>1.2</v>
      </c>
      <c r="O131">
        <v>115</v>
      </c>
      <c r="P131" t="s">
        <v>33</v>
      </c>
    </row>
    <row r="132" spans="1:16" x14ac:dyDescent="0.25">
      <c r="A132" t="s">
        <v>186</v>
      </c>
      <c r="B132" s="2">
        <v>45802</v>
      </c>
      <c r="C132" t="s">
        <v>38</v>
      </c>
      <c r="D132" t="s">
        <v>39</v>
      </c>
      <c r="E132" t="s">
        <v>61</v>
      </c>
      <c r="F132">
        <v>18.899999999999999</v>
      </c>
      <c r="G132">
        <v>76.7</v>
      </c>
      <c r="H132">
        <v>10.3</v>
      </c>
      <c r="I132">
        <v>28.1</v>
      </c>
      <c r="J132">
        <v>0.34</v>
      </c>
      <c r="K132">
        <v>39.200000000000003</v>
      </c>
      <c r="L132">
        <v>25.7</v>
      </c>
      <c r="M132">
        <v>77.8</v>
      </c>
      <c r="N132">
        <v>2.9</v>
      </c>
      <c r="O132">
        <v>134</v>
      </c>
      <c r="P132" t="s">
        <v>33</v>
      </c>
    </row>
    <row r="133" spans="1:16" x14ac:dyDescent="0.25">
      <c r="A133" t="s">
        <v>187</v>
      </c>
      <c r="B133" s="2">
        <v>45710</v>
      </c>
      <c r="C133" t="s">
        <v>67</v>
      </c>
      <c r="D133" t="s">
        <v>18</v>
      </c>
      <c r="E133" t="s">
        <v>61</v>
      </c>
      <c r="F133">
        <v>61</v>
      </c>
      <c r="G133">
        <v>56.8</v>
      </c>
      <c r="H133">
        <v>12.4</v>
      </c>
      <c r="I133">
        <v>12.1</v>
      </c>
      <c r="J133">
        <v>0.32</v>
      </c>
      <c r="K133">
        <v>33.299999999999997</v>
      </c>
      <c r="L133">
        <v>25.9</v>
      </c>
      <c r="M133">
        <v>63.5</v>
      </c>
      <c r="N133">
        <v>1.7</v>
      </c>
      <c r="O133">
        <v>176</v>
      </c>
      <c r="P133" t="s">
        <v>33</v>
      </c>
    </row>
    <row r="134" spans="1:16" x14ac:dyDescent="0.25">
      <c r="A134" t="s">
        <v>188</v>
      </c>
      <c r="B134" s="2">
        <v>45950</v>
      </c>
      <c r="C134" t="s">
        <v>35</v>
      </c>
      <c r="D134" t="s">
        <v>36</v>
      </c>
      <c r="E134" t="s">
        <v>19</v>
      </c>
      <c r="F134">
        <v>52</v>
      </c>
      <c r="G134">
        <v>40.9</v>
      </c>
      <c r="H134">
        <v>22</v>
      </c>
      <c r="I134">
        <v>12.8</v>
      </c>
      <c r="J134">
        <v>0.41</v>
      </c>
      <c r="K134">
        <v>26.9</v>
      </c>
      <c r="L134">
        <v>13.9</v>
      </c>
      <c r="M134">
        <v>84.3</v>
      </c>
      <c r="N134">
        <v>2.1</v>
      </c>
      <c r="O134">
        <v>159</v>
      </c>
      <c r="P134" t="s">
        <v>33</v>
      </c>
    </row>
    <row r="135" spans="1:16" x14ac:dyDescent="0.25">
      <c r="A135" t="s">
        <v>189</v>
      </c>
      <c r="B135" s="2">
        <v>45941</v>
      </c>
      <c r="C135" t="s">
        <v>26</v>
      </c>
      <c r="D135" t="s">
        <v>23</v>
      </c>
      <c r="E135" t="s">
        <v>43</v>
      </c>
      <c r="F135">
        <v>22.9</v>
      </c>
      <c r="G135">
        <v>113.7</v>
      </c>
      <c r="H135">
        <v>55.4</v>
      </c>
      <c r="I135">
        <v>17.600000000000001</v>
      </c>
      <c r="J135">
        <v>0.35</v>
      </c>
      <c r="K135">
        <v>135.69999999999999</v>
      </c>
      <c r="L135">
        <v>25.6</v>
      </c>
      <c r="M135">
        <v>80.7</v>
      </c>
      <c r="N135">
        <v>0.4</v>
      </c>
      <c r="O135">
        <v>237</v>
      </c>
      <c r="P135" t="s">
        <v>28</v>
      </c>
    </row>
    <row r="136" spans="1:16" x14ac:dyDescent="0.25">
      <c r="A136" t="s">
        <v>190</v>
      </c>
      <c r="B136" s="2">
        <v>45888</v>
      </c>
      <c r="C136" t="s">
        <v>64</v>
      </c>
      <c r="D136" t="s">
        <v>36</v>
      </c>
      <c r="E136" t="s">
        <v>19</v>
      </c>
      <c r="F136">
        <v>28.1</v>
      </c>
      <c r="G136">
        <v>59.1</v>
      </c>
      <c r="H136">
        <v>14.3</v>
      </c>
      <c r="I136">
        <v>13.1</v>
      </c>
      <c r="J136">
        <v>1.24</v>
      </c>
      <c r="K136">
        <v>50.3</v>
      </c>
      <c r="L136">
        <v>28.6</v>
      </c>
      <c r="M136">
        <v>74.599999999999994</v>
      </c>
      <c r="N136">
        <v>2.2000000000000002</v>
      </c>
      <c r="O136">
        <v>158</v>
      </c>
      <c r="P136" t="s">
        <v>33</v>
      </c>
    </row>
    <row r="137" spans="1:16" x14ac:dyDescent="0.25">
      <c r="A137" t="s">
        <v>191</v>
      </c>
      <c r="B137" s="2">
        <v>45951</v>
      </c>
      <c r="C137" t="s">
        <v>35</v>
      </c>
      <c r="D137" t="s">
        <v>36</v>
      </c>
      <c r="E137" t="s">
        <v>68</v>
      </c>
      <c r="F137">
        <v>128.6</v>
      </c>
      <c r="G137">
        <v>14.3</v>
      </c>
      <c r="H137">
        <v>18.399999999999999</v>
      </c>
      <c r="I137">
        <v>6.5</v>
      </c>
      <c r="J137">
        <v>0.97</v>
      </c>
      <c r="K137">
        <v>39.9</v>
      </c>
      <c r="L137">
        <v>28.5</v>
      </c>
      <c r="M137">
        <v>66.400000000000006</v>
      </c>
      <c r="N137">
        <v>2.8</v>
      </c>
      <c r="O137">
        <v>277</v>
      </c>
      <c r="P137" t="s">
        <v>28</v>
      </c>
    </row>
    <row r="138" spans="1:16" x14ac:dyDescent="0.25">
      <c r="A138" t="s">
        <v>192</v>
      </c>
      <c r="B138" s="2">
        <v>45718</v>
      </c>
      <c r="C138" t="s">
        <v>52</v>
      </c>
      <c r="D138" t="s">
        <v>31</v>
      </c>
      <c r="E138" t="s">
        <v>24</v>
      </c>
      <c r="F138">
        <v>45.6</v>
      </c>
      <c r="G138">
        <v>67.3</v>
      </c>
      <c r="H138">
        <v>19.5</v>
      </c>
      <c r="I138">
        <v>10.8</v>
      </c>
      <c r="J138">
        <v>0.28000000000000003</v>
      </c>
      <c r="K138">
        <v>46.5</v>
      </c>
      <c r="L138">
        <v>19.2</v>
      </c>
      <c r="M138">
        <v>72.5</v>
      </c>
      <c r="N138">
        <v>1.6</v>
      </c>
      <c r="O138">
        <v>168</v>
      </c>
      <c r="P138" t="s">
        <v>33</v>
      </c>
    </row>
    <row r="139" spans="1:16" x14ac:dyDescent="0.25">
      <c r="A139" t="s">
        <v>193</v>
      </c>
      <c r="B139" s="2">
        <v>45752</v>
      </c>
      <c r="C139" t="s">
        <v>52</v>
      </c>
      <c r="D139" t="s">
        <v>31</v>
      </c>
      <c r="E139" t="s">
        <v>27</v>
      </c>
      <c r="F139">
        <v>37.6</v>
      </c>
      <c r="G139">
        <v>126.8</v>
      </c>
      <c r="H139">
        <v>17.399999999999999</v>
      </c>
      <c r="I139">
        <v>8.5</v>
      </c>
      <c r="J139">
        <v>1.34</v>
      </c>
      <c r="K139">
        <v>51.9</v>
      </c>
      <c r="L139">
        <v>24.2</v>
      </c>
      <c r="M139">
        <v>78.2</v>
      </c>
      <c r="N139">
        <v>2.4</v>
      </c>
      <c r="O139">
        <v>219</v>
      </c>
      <c r="P139" t="s">
        <v>28</v>
      </c>
    </row>
    <row r="140" spans="1:16" x14ac:dyDescent="0.25">
      <c r="A140" t="s">
        <v>194</v>
      </c>
      <c r="B140" s="2">
        <v>45979</v>
      </c>
      <c r="C140" t="s">
        <v>52</v>
      </c>
      <c r="D140" t="s">
        <v>31</v>
      </c>
      <c r="E140" t="s">
        <v>32</v>
      </c>
      <c r="F140">
        <v>11.4</v>
      </c>
      <c r="G140">
        <v>83.7</v>
      </c>
      <c r="H140">
        <v>79.900000000000006</v>
      </c>
      <c r="I140">
        <v>5.4</v>
      </c>
      <c r="J140">
        <v>0.56999999999999995</v>
      </c>
      <c r="K140">
        <v>70.599999999999994</v>
      </c>
      <c r="L140">
        <v>29.7</v>
      </c>
      <c r="M140">
        <v>20</v>
      </c>
      <c r="N140">
        <v>1.2</v>
      </c>
      <c r="O140">
        <v>186</v>
      </c>
      <c r="P140" t="s">
        <v>33</v>
      </c>
    </row>
    <row r="141" spans="1:16" x14ac:dyDescent="0.25">
      <c r="A141" t="s">
        <v>195</v>
      </c>
      <c r="B141" s="2">
        <v>46001</v>
      </c>
      <c r="C141" t="s">
        <v>35</v>
      </c>
      <c r="D141" t="s">
        <v>36</v>
      </c>
      <c r="E141" t="s">
        <v>19</v>
      </c>
      <c r="F141">
        <v>15.4</v>
      </c>
      <c r="G141">
        <v>74</v>
      </c>
      <c r="H141">
        <v>22.3</v>
      </c>
      <c r="I141">
        <v>59.8</v>
      </c>
      <c r="J141">
        <v>1.0900000000000001</v>
      </c>
      <c r="K141">
        <v>57.2</v>
      </c>
      <c r="L141">
        <v>21.5</v>
      </c>
      <c r="M141">
        <v>61.8</v>
      </c>
      <c r="N141">
        <v>0.8</v>
      </c>
      <c r="O141">
        <v>185</v>
      </c>
      <c r="P141" t="s">
        <v>33</v>
      </c>
    </row>
    <row r="142" spans="1:16" x14ac:dyDescent="0.25">
      <c r="A142" t="s">
        <v>196</v>
      </c>
      <c r="B142" s="2">
        <v>45756</v>
      </c>
      <c r="C142" t="s">
        <v>99</v>
      </c>
      <c r="D142" t="s">
        <v>36</v>
      </c>
      <c r="E142" t="s">
        <v>70</v>
      </c>
      <c r="F142">
        <v>76.3</v>
      </c>
      <c r="G142">
        <v>47.2</v>
      </c>
      <c r="H142">
        <v>6.6</v>
      </c>
      <c r="I142">
        <v>18.600000000000001</v>
      </c>
      <c r="J142">
        <v>0.33</v>
      </c>
      <c r="K142">
        <v>32.700000000000003</v>
      </c>
      <c r="L142">
        <v>26</v>
      </c>
      <c r="M142">
        <v>68.2</v>
      </c>
      <c r="N142">
        <v>3.1</v>
      </c>
      <c r="O142">
        <v>194</v>
      </c>
      <c r="P142" t="s">
        <v>33</v>
      </c>
    </row>
    <row r="143" spans="1:16" x14ac:dyDescent="0.25">
      <c r="A143" t="s">
        <v>197</v>
      </c>
      <c r="B143" s="2">
        <v>45744</v>
      </c>
      <c r="C143" t="s">
        <v>77</v>
      </c>
      <c r="D143" t="s">
        <v>39</v>
      </c>
      <c r="E143" t="s">
        <v>55</v>
      </c>
      <c r="F143">
        <v>102.2</v>
      </c>
      <c r="G143">
        <v>83</v>
      </c>
      <c r="H143">
        <v>47.4</v>
      </c>
      <c r="I143">
        <v>4.2</v>
      </c>
      <c r="J143">
        <v>1.21</v>
      </c>
      <c r="K143">
        <v>58.9</v>
      </c>
      <c r="L143">
        <v>27.7</v>
      </c>
      <c r="M143">
        <v>61.2</v>
      </c>
      <c r="N143">
        <v>1.7</v>
      </c>
      <c r="O143">
        <v>315</v>
      </c>
      <c r="P143" t="s">
        <v>20</v>
      </c>
    </row>
    <row r="144" spans="1:16" x14ac:dyDescent="0.25">
      <c r="A144" t="s">
        <v>198</v>
      </c>
      <c r="B144" s="2">
        <v>45700</v>
      </c>
      <c r="C144" t="s">
        <v>77</v>
      </c>
      <c r="D144" t="s">
        <v>39</v>
      </c>
      <c r="E144" t="s">
        <v>19</v>
      </c>
      <c r="F144">
        <v>43.8</v>
      </c>
      <c r="G144">
        <v>42.1</v>
      </c>
      <c r="H144">
        <v>9.4</v>
      </c>
      <c r="I144">
        <v>70.599999999999994</v>
      </c>
      <c r="J144">
        <v>0.32</v>
      </c>
      <c r="K144">
        <v>28.7</v>
      </c>
      <c r="L144">
        <v>18.899999999999999</v>
      </c>
      <c r="M144">
        <v>83.8</v>
      </c>
      <c r="N144">
        <v>3.2</v>
      </c>
      <c r="O144">
        <v>175</v>
      </c>
      <c r="P144" t="s">
        <v>33</v>
      </c>
    </row>
    <row r="145" spans="1:16" x14ac:dyDescent="0.25">
      <c r="A145" t="s">
        <v>199</v>
      </c>
      <c r="B145" s="2">
        <v>45923</v>
      </c>
      <c r="C145" t="s">
        <v>99</v>
      </c>
      <c r="D145" t="s">
        <v>36</v>
      </c>
      <c r="E145" t="s">
        <v>91</v>
      </c>
      <c r="F145">
        <v>28</v>
      </c>
      <c r="G145">
        <v>119</v>
      </c>
      <c r="H145">
        <v>23.4</v>
      </c>
      <c r="I145">
        <v>1.4</v>
      </c>
      <c r="J145">
        <v>0.53</v>
      </c>
      <c r="K145">
        <v>10</v>
      </c>
      <c r="L145">
        <v>32</v>
      </c>
      <c r="M145">
        <v>54.2</v>
      </c>
      <c r="N145">
        <v>1.3</v>
      </c>
      <c r="O145">
        <v>160</v>
      </c>
      <c r="P145" t="s">
        <v>33</v>
      </c>
    </row>
    <row r="146" spans="1:16" x14ac:dyDescent="0.25">
      <c r="A146" t="s">
        <v>200</v>
      </c>
      <c r="B146" s="2">
        <v>45899</v>
      </c>
      <c r="C146" t="s">
        <v>93</v>
      </c>
      <c r="D146" t="s">
        <v>36</v>
      </c>
      <c r="E146" t="s">
        <v>70</v>
      </c>
      <c r="F146">
        <v>32.6</v>
      </c>
      <c r="G146">
        <v>78.8</v>
      </c>
      <c r="H146">
        <v>38</v>
      </c>
      <c r="I146">
        <v>11.3</v>
      </c>
      <c r="J146">
        <v>1.57</v>
      </c>
      <c r="K146">
        <v>14.7</v>
      </c>
      <c r="L146">
        <v>14.9</v>
      </c>
      <c r="M146">
        <v>66</v>
      </c>
      <c r="N146">
        <v>3.7</v>
      </c>
      <c r="O146">
        <v>188</v>
      </c>
      <c r="P146" t="s">
        <v>33</v>
      </c>
    </row>
    <row r="147" spans="1:16" x14ac:dyDescent="0.25">
      <c r="A147" t="s">
        <v>201</v>
      </c>
      <c r="B147" s="2">
        <v>45725</v>
      </c>
      <c r="C147" t="s">
        <v>50</v>
      </c>
      <c r="D147" t="s">
        <v>31</v>
      </c>
      <c r="E147" t="s">
        <v>24</v>
      </c>
      <c r="F147">
        <v>29.6</v>
      </c>
      <c r="G147">
        <v>45.3</v>
      </c>
      <c r="H147">
        <v>8</v>
      </c>
      <c r="I147">
        <v>13.6</v>
      </c>
      <c r="J147">
        <v>0.52</v>
      </c>
      <c r="K147">
        <v>36.1</v>
      </c>
      <c r="L147">
        <v>30.1</v>
      </c>
      <c r="M147">
        <v>57.9</v>
      </c>
      <c r="N147">
        <v>1.6</v>
      </c>
      <c r="O147">
        <v>122</v>
      </c>
      <c r="P147" t="s">
        <v>33</v>
      </c>
    </row>
    <row r="148" spans="1:16" x14ac:dyDescent="0.25">
      <c r="A148" t="s">
        <v>202</v>
      </c>
      <c r="B148" s="2">
        <v>45882</v>
      </c>
      <c r="C148" t="s">
        <v>81</v>
      </c>
      <c r="D148" t="s">
        <v>39</v>
      </c>
      <c r="E148" t="s">
        <v>40</v>
      </c>
      <c r="F148">
        <v>43.1</v>
      </c>
      <c r="G148">
        <v>121.6</v>
      </c>
      <c r="H148">
        <v>20.3</v>
      </c>
      <c r="I148">
        <v>4.9000000000000004</v>
      </c>
      <c r="J148">
        <v>0.49</v>
      </c>
      <c r="K148">
        <v>26.4</v>
      </c>
      <c r="L148">
        <v>15.3</v>
      </c>
      <c r="M148">
        <v>71.099999999999994</v>
      </c>
      <c r="N148">
        <v>2</v>
      </c>
      <c r="O148">
        <v>192</v>
      </c>
      <c r="P148" t="s">
        <v>33</v>
      </c>
    </row>
    <row r="149" spans="1:16" x14ac:dyDescent="0.25">
      <c r="A149" t="s">
        <v>203</v>
      </c>
      <c r="B149" s="2">
        <v>45934</v>
      </c>
      <c r="C149" t="s">
        <v>67</v>
      </c>
      <c r="D149" t="s">
        <v>18</v>
      </c>
      <c r="E149" t="s">
        <v>97</v>
      </c>
      <c r="F149">
        <v>49.2</v>
      </c>
      <c r="G149">
        <v>90.3</v>
      </c>
      <c r="H149">
        <v>45.4</v>
      </c>
      <c r="I149">
        <v>15.4</v>
      </c>
      <c r="J149">
        <v>0.69</v>
      </c>
      <c r="K149">
        <v>35</v>
      </c>
      <c r="L149">
        <v>26.1</v>
      </c>
      <c r="M149">
        <v>60.4</v>
      </c>
      <c r="N149">
        <v>2.7</v>
      </c>
      <c r="O149">
        <v>218</v>
      </c>
      <c r="P149" t="s">
        <v>28</v>
      </c>
    </row>
    <row r="150" spans="1:16" x14ac:dyDescent="0.25">
      <c r="A150" t="s">
        <v>204</v>
      </c>
      <c r="B150" s="2">
        <v>45766</v>
      </c>
      <c r="C150" t="s">
        <v>67</v>
      </c>
      <c r="D150" t="s">
        <v>18</v>
      </c>
      <c r="E150" t="s">
        <v>61</v>
      </c>
      <c r="F150">
        <v>117</v>
      </c>
      <c r="G150">
        <v>83.6</v>
      </c>
      <c r="H150">
        <v>71.3</v>
      </c>
      <c r="I150">
        <v>5.0999999999999996</v>
      </c>
      <c r="J150">
        <v>0.1</v>
      </c>
      <c r="K150">
        <v>74.599999999999994</v>
      </c>
      <c r="L150">
        <v>30</v>
      </c>
      <c r="M150">
        <v>53.2</v>
      </c>
      <c r="N150">
        <v>1.5</v>
      </c>
      <c r="O150">
        <v>338</v>
      </c>
      <c r="P150" t="s">
        <v>20</v>
      </c>
    </row>
    <row r="151" spans="1:16" x14ac:dyDescent="0.25">
      <c r="A151" t="s">
        <v>205</v>
      </c>
      <c r="B151" s="2">
        <v>45676</v>
      </c>
      <c r="C151" t="s">
        <v>54</v>
      </c>
      <c r="D151" t="s">
        <v>18</v>
      </c>
      <c r="E151" t="s">
        <v>27</v>
      </c>
      <c r="F151">
        <v>41.2</v>
      </c>
      <c r="G151">
        <v>190</v>
      </c>
      <c r="H151">
        <v>108.4</v>
      </c>
      <c r="I151">
        <v>28.9</v>
      </c>
      <c r="J151">
        <v>0.83</v>
      </c>
      <c r="K151">
        <v>35.700000000000003</v>
      </c>
      <c r="L151">
        <v>25.3</v>
      </c>
      <c r="M151">
        <v>69.2</v>
      </c>
      <c r="N151">
        <v>0.9</v>
      </c>
      <c r="O151">
        <v>333</v>
      </c>
      <c r="P151" t="s">
        <v>20</v>
      </c>
    </row>
    <row r="152" spans="1:16" x14ac:dyDescent="0.25">
      <c r="A152" t="s">
        <v>206</v>
      </c>
      <c r="B152" s="2">
        <v>45738</v>
      </c>
      <c r="C152" t="s">
        <v>67</v>
      </c>
      <c r="D152" t="s">
        <v>18</v>
      </c>
      <c r="E152" t="s">
        <v>27</v>
      </c>
      <c r="F152">
        <v>24</v>
      </c>
      <c r="G152">
        <v>62.7</v>
      </c>
      <c r="H152">
        <v>22.5</v>
      </c>
      <c r="I152">
        <v>9.6</v>
      </c>
      <c r="J152">
        <v>0.28999999999999998</v>
      </c>
      <c r="K152">
        <v>18.399999999999999</v>
      </c>
      <c r="L152">
        <v>25.8</v>
      </c>
      <c r="M152">
        <v>26.6</v>
      </c>
      <c r="N152">
        <v>1.9</v>
      </c>
      <c r="O152">
        <v>119</v>
      </c>
      <c r="P152" t="s">
        <v>33</v>
      </c>
    </row>
    <row r="153" spans="1:16" x14ac:dyDescent="0.25">
      <c r="A153" t="s">
        <v>207</v>
      </c>
      <c r="B153" s="2">
        <v>45873</v>
      </c>
      <c r="C153" t="s">
        <v>77</v>
      </c>
      <c r="D153" t="s">
        <v>39</v>
      </c>
      <c r="E153" t="s">
        <v>74</v>
      </c>
      <c r="F153">
        <v>35.200000000000003</v>
      </c>
      <c r="G153">
        <v>90.5</v>
      </c>
      <c r="H153">
        <v>41.8</v>
      </c>
      <c r="I153">
        <v>22.4</v>
      </c>
      <c r="J153">
        <v>0.47</v>
      </c>
      <c r="K153">
        <v>16.7</v>
      </c>
      <c r="L153">
        <v>23.9</v>
      </c>
      <c r="M153">
        <v>55.6</v>
      </c>
      <c r="N153">
        <v>3.5</v>
      </c>
      <c r="O153">
        <v>184</v>
      </c>
      <c r="P153" t="s">
        <v>33</v>
      </c>
    </row>
    <row r="154" spans="1:16" x14ac:dyDescent="0.25">
      <c r="A154" t="s">
        <v>208</v>
      </c>
      <c r="B154" s="2">
        <v>45846</v>
      </c>
      <c r="C154" t="s">
        <v>64</v>
      </c>
      <c r="D154" t="s">
        <v>36</v>
      </c>
      <c r="E154" t="s">
        <v>74</v>
      </c>
      <c r="F154">
        <v>75.599999999999994</v>
      </c>
      <c r="G154">
        <v>81.3</v>
      </c>
      <c r="H154">
        <v>41.5</v>
      </c>
      <c r="I154">
        <v>24.6</v>
      </c>
      <c r="J154">
        <v>0.25</v>
      </c>
      <c r="K154">
        <v>40.9</v>
      </c>
      <c r="L154">
        <v>18.2</v>
      </c>
      <c r="M154">
        <v>74.400000000000006</v>
      </c>
      <c r="N154">
        <v>2.4</v>
      </c>
      <c r="O154">
        <v>249</v>
      </c>
      <c r="P154" t="s">
        <v>28</v>
      </c>
    </row>
    <row r="155" spans="1:16" x14ac:dyDescent="0.25">
      <c r="A155" t="s">
        <v>209</v>
      </c>
      <c r="B155" s="2">
        <v>45785</v>
      </c>
      <c r="C155" t="s">
        <v>22</v>
      </c>
      <c r="D155" t="s">
        <v>23</v>
      </c>
      <c r="E155" t="s">
        <v>32</v>
      </c>
      <c r="F155">
        <v>32.200000000000003</v>
      </c>
      <c r="G155">
        <v>100.7</v>
      </c>
      <c r="H155">
        <v>26.7</v>
      </c>
      <c r="I155">
        <v>10.7</v>
      </c>
      <c r="J155">
        <v>0.08</v>
      </c>
      <c r="K155">
        <v>51</v>
      </c>
      <c r="L155">
        <v>22.5</v>
      </c>
      <c r="M155">
        <v>46.2</v>
      </c>
      <c r="N155">
        <v>3</v>
      </c>
      <c r="O155">
        <v>171</v>
      </c>
      <c r="P155" t="s">
        <v>33</v>
      </c>
    </row>
    <row r="156" spans="1:16" x14ac:dyDescent="0.25">
      <c r="A156" t="s">
        <v>210</v>
      </c>
      <c r="B156" s="2">
        <v>45860</v>
      </c>
      <c r="C156" t="s">
        <v>42</v>
      </c>
      <c r="D156" t="s">
        <v>23</v>
      </c>
      <c r="E156" t="s">
        <v>24</v>
      </c>
      <c r="F156">
        <v>11.5</v>
      </c>
      <c r="G156">
        <v>71.3</v>
      </c>
      <c r="H156">
        <v>14.4</v>
      </c>
      <c r="I156">
        <v>12.2</v>
      </c>
      <c r="J156">
        <v>0.13</v>
      </c>
      <c r="K156">
        <v>5</v>
      </c>
      <c r="L156">
        <v>25</v>
      </c>
      <c r="M156">
        <v>71.400000000000006</v>
      </c>
      <c r="N156">
        <v>2.1</v>
      </c>
      <c r="O156">
        <v>90</v>
      </c>
      <c r="P156" t="s">
        <v>71</v>
      </c>
    </row>
    <row r="157" spans="1:16" x14ac:dyDescent="0.25">
      <c r="A157" t="s">
        <v>211</v>
      </c>
      <c r="B157" s="2">
        <v>45898</v>
      </c>
      <c r="C157" t="s">
        <v>67</v>
      </c>
      <c r="D157" t="s">
        <v>18</v>
      </c>
      <c r="E157" t="s">
        <v>19</v>
      </c>
      <c r="F157">
        <v>10.7</v>
      </c>
      <c r="G157">
        <v>77.3</v>
      </c>
      <c r="H157">
        <v>23.2</v>
      </c>
      <c r="I157">
        <v>10.5</v>
      </c>
      <c r="J157">
        <v>0.43</v>
      </c>
      <c r="K157">
        <v>34.299999999999997</v>
      </c>
      <c r="L157">
        <v>34.700000000000003</v>
      </c>
      <c r="M157">
        <v>56.4</v>
      </c>
      <c r="N157">
        <v>0.3</v>
      </c>
      <c r="O157">
        <v>119</v>
      </c>
      <c r="P157" t="s">
        <v>33</v>
      </c>
    </row>
    <row r="158" spans="1:16" x14ac:dyDescent="0.25">
      <c r="A158" t="s">
        <v>212</v>
      </c>
      <c r="B158" s="2">
        <v>46004</v>
      </c>
      <c r="C158" t="s">
        <v>64</v>
      </c>
      <c r="D158" t="s">
        <v>36</v>
      </c>
      <c r="E158" t="s">
        <v>40</v>
      </c>
      <c r="F158">
        <v>34.799999999999997</v>
      </c>
      <c r="G158">
        <v>64.900000000000006</v>
      </c>
      <c r="H158">
        <v>80.599999999999994</v>
      </c>
      <c r="I158">
        <v>12.5</v>
      </c>
      <c r="J158">
        <v>0.21</v>
      </c>
      <c r="K158">
        <v>37.1</v>
      </c>
      <c r="L158">
        <v>30.2</v>
      </c>
      <c r="M158">
        <v>62.7</v>
      </c>
      <c r="N158">
        <v>1.9</v>
      </c>
      <c r="O158">
        <v>193</v>
      </c>
      <c r="P158" t="s">
        <v>33</v>
      </c>
    </row>
    <row r="159" spans="1:16" x14ac:dyDescent="0.25">
      <c r="A159" t="s">
        <v>213</v>
      </c>
      <c r="B159" s="2">
        <v>45981</v>
      </c>
      <c r="C159" t="s">
        <v>26</v>
      </c>
      <c r="D159" t="s">
        <v>23</v>
      </c>
      <c r="E159" t="s">
        <v>74</v>
      </c>
      <c r="F159">
        <v>27.2</v>
      </c>
      <c r="G159">
        <v>58.2</v>
      </c>
      <c r="H159">
        <v>7.1</v>
      </c>
      <c r="I159">
        <v>12</v>
      </c>
      <c r="J159">
        <v>0.85</v>
      </c>
      <c r="K159">
        <v>12.3</v>
      </c>
      <c r="L159">
        <v>27</v>
      </c>
      <c r="M159">
        <v>65.400000000000006</v>
      </c>
      <c r="N159">
        <v>1.6</v>
      </c>
      <c r="O159">
        <v>122</v>
      </c>
      <c r="P159" t="s">
        <v>33</v>
      </c>
    </row>
    <row r="160" spans="1:16" x14ac:dyDescent="0.25">
      <c r="A160" t="s">
        <v>214</v>
      </c>
      <c r="B160" s="2">
        <v>45907</v>
      </c>
      <c r="C160" t="s">
        <v>26</v>
      </c>
      <c r="D160" t="s">
        <v>23</v>
      </c>
      <c r="E160" t="s">
        <v>55</v>
      </c>
      <c r="F160">
        <v>57.1</v>
      </c>
      <c r="G160">
        <v>143.19999999999999</v>
      </c>
      <c r="H160">
        <v>35</v>
      </c>
      <c r="I160">
        <v>26.6</v>
      </c>
      <c r="J160">
        <v>0.52</v>
      </c>
      <c r="K160">
        <v>18.899999999999999</v>
      </c>
      <c r="L160">
        <v>27.7</v>
      </c>
      <c r="M160">
        <v>53.3</v>
      </c>
      <c r="N160">
        <v>1.6</v>
      </c>
      <c r="O160">
        <v>253</v>
      </c>
      <c r="P160" t="s">
        <v>28</v>
      </c>
    </row>
    <row r="161" spans="1:16" x14ac:dyDescent="0.25">
      <c r="A161" t="s">
        <v>215</v>
      </c>
      <c r="B161" s="2">
        <v>45775</v>
      </c>
      <c r="C161" t="s">
        <v>64</v>
      </c>
      <c r="D161" t="s">
        <v>36</v>
      </c>
      <c r="E161" t="s">
        <v>74</v>
      </c>
      <c r="F161">
        <v>58.3</v>
      </c>
      <c r="G161">
        <v>49.6</v>
      </c>
      <c r="H161">
        <v>30.2</v>
      </c>
      <c r="I161">
        <v>1.8</v>
      </c>
      <c r="J161">
        <v>0.83</v>
      </c>
      <c r="K161">
        <v>27.1</v>
      </c>
      <c r="L161">
        <v>28.3</v>
      </c>
      <c r="M161">
        <v>41.3</v>
      </c>
      <c r="N161">
        <v>2.4</v>
      </c>
      <c r="O161">
        <v>184</v>
      </c>
      <c r="P161" t="s">
        <v>33</v>
      </c>
    </row>
    <row r="162" spans="1:16" x14ac:dyDescent="0.25">
      <c r="A162" t="s">
        <v>216</v>
      </c>
      <c r="B162" s="2">
        <v>45803</v>
      </c>
      <c r="C162" t="s">
        <v>67</v>
      </c>
      <c r="D162" t="s">
        <v>18</v>
      </c>
      <c r="E162" t="s">
        <v>70</v>
      </c>
      <c r="F162">
        <v>111.7</v>
      </c>
      <c r="G162">
        <v>163.1</v>
      </c>
      <c r="H162">
        <v>40.9</v>
      </c>
      <c r="I162">
        <v>13.3</v>
      </c>
      <c r="J162">
        <v>0.34</v>
      </c>
      <c r="K162">
        <v>65.2</v>
      </c>
      <c r="L162">
        <v>34.700000000000003</v>
      </c>
      <c r="M162">
        <v>86.1</v>
      </c>
      <c r="N162">
        <v>2.4</v>
      </c>
      <c r="O162">
        <v>365</v>
      </c>
      <c r="P162" t="s">
        <v>20</v>
      </c>
    </row>
    <row r="163" spans="1:16" x14ac:dyDescent="0.25">
      <c r="A163" t="s">
        <v>217</v>
      </c>
      <c r="B163" s="2">
        <v>46005</v>
      </c>
      <c r="C163" t="s">
        <v>64</v>
      </c>
      <c r="D163" t="s">
        <v>36</v>
      </c>
      <c r="E163" t="s">
        <v>27</v>
      </c>
      <c r="F163">
        <v>31.2</v>
      </c>
      <c r="G163">
        <v>108.1</v>
      </c>
      <c r="H163">
        <v>33.700000000000003</v>
      </c>
      <c r="I163">
        <v>4.8</v>
      </c>
      <c r="J163">
        <v>0.36</v>
      </c>
      <c r="K163">
        <v>39.200000000000003</v>
      </c>
      <c r="L163">
        <v>25.9</v>
      </c>
      <c r="M163">
        <v>79.3</v>
      </c>
      <c r="N163">
        <v>1.5</v>
      </c>
      <c r="O163">
        <v>177</v>
      </c>
      <c r="P163" t="s">
        <v>33</v>
      </c>
    </row>
    <row r="164" spans="1:16" x14ac:dyDescent="0.25">
      <c r="A164" t="s">
        <v>218</v>
      </c>
      <c r="B164" s="2">
        <v>45778</v>
      </c>
      <c r="C164" t="s">
        <v>42</v>
      </c>
      <c r="D164" t="s">
        <v>23</v>
      </c>
      <c r="E164" t="s">
        <v>55</v>
      </c>
      <c r="F164">
        <v>43.1</v>
      </c>
      <c r="G164">
        <v>106.9</v>
      </c>
      <c r="H164">
        <v>22.4</v>
      </c>
      <c r="I164">
        <v>26.4</v>
      </c>
      <c r="J164">
        <v>0.25</v>
      </c>
      <c r="K164">
        <v>24.8</v>
      </c>
      <c r="L164">
        <v>32.5</v>
      </c>
      <c r="M164">
        <v>73.900000000000006</v>
      </c>
      <c r="N164">
        <v>3.8</v>
      </c>
      <c r="O164">
        <v>192</v>
      </c>
      <c r="P164" t="s">
        <v>33</v>
      </c>
    </row>
    <row r="165" spans="1:16" x14ac:dyDescent="0.25">
      <c r="A165" t="s">
        <v>219</v>
      </c>
      <c r="B165" s="2">
        <v>45822</v>
      </c>
      <c r="C165" t="s">
        <v>30</v>
      </c>
      <c r="D165" t="s">
        <v>31</v>
      </c>
      <c r="E165" t="s">
        <v>61</v>
      </c>
      <c r="F165">
        <v>79.7</v>
      </c>
      <c r="G165">
        <v>69.7</v>
      </c>
      <c r="H165">
        <v>18.7</v>
      </c>
      <c r="I165">
        <v>9.4</v>
      </c>
      <c r="J165">
        <v>1.63</v>
      </c>
      <c r="K165">
        <v>32.4</v>
      </c>
      <c r="L165">
        <v>28</v>
      </c>
      <c r="M165">
        <v>67.099999999999994</v>
      </c>
      <c r="N165">
        <v>2.6</v>
      </c>
      <c r="O165">
        <v>250</v>
      </c>
      <c r="P165" t="s">
        <v>28</v>
      </c>
    </row>
    <row r="166" spans="1:16" x14ac:dyDescent="0.25">
      <c r="A166" t="s">
        <v>220</v>
      </c>
      <c r="B166" s="2">
        <v>46019</v>
      </c>
      <c r="C166" t="s">
        <v>26</v>
      </c>
      <c r="D166" t="s">
        <v>23</v>
      </c>
      <c r="E166" t="s">
        <v>91</v>
      </c>
      <c r="F166">
        <v>29.6</v>
      </c>
      <c r="G166">
        <v>150</v>
      </c>
      <c r="H166">
        <v>8.1999999999999993</v>
      </c>
      <c r="I166">
        <v>9.4</v>
      </c>
      <c r="J166">
        <v>0.35</v>
      </c>
      <c r="K166">
        <v>23.2</v>
      </c>
      <c r="L166">
        <v>17.399999999999999</v>
      </c>
      <c r="M166">
        <v>68.3</v>
      </c>
      <c r="N166">
        <v>2.5</v>
      </c>
      <c r="O166">
        <v>177</v>
      </c>
      <c r="P166" t="s">
        <v>33</v>
      </c>
    </row>
    <row r="167" spans="1:16" x14ac:dyDescent="0.25">
      <c r="A167" t="s">
        <v>221</v>
      </c>
      <c r="B167" s="2">
        <v>45803</v>
      </c>
      <c r="C167" t="s">
        <v>38</v>
      </c>
      <c r="D167" t="s">
        <v>39</v>
      </c>
      <c r="E167" t="s">
        <v>222</v>
      </c>
      <c r="F167">
        <v>27.8</v>
      </c>
      <c r="G167">
        <v>131.5</v>
      </c>
      <c r="H167">
        <v>46</v>
      </c>
      <c r="I167">
        <v>26.2</v>
      </c>
      <c r="J167">
        <v>0.27</v>
      </c>
      <c r="K167">
        <v>32.1</v>
      </c>
      <c r="L167">
        <v>19.7</v>
      </c>
      <c r="M167">
        <v>58.4</v>
      </c>
      <c r="N167">
        <v>2.1</v>
      </c>
      <c r="O167">
        <v>206</v>
      </c>
      <c r="P167" t="s">
        <v>28</v>
      </c>
    </row>
    <row r="168" spans="1:16" x14ac:dyDescent="0.25">
      <c r="A168" t="s">
        <v>223</v>
      </c>
      <c r="B168" s="2">
        <v>45945</v>
      </c>
      <c r="C168" t="s">
        <v>42</v>
      </c>
      <c r="D168" t="s">
        <v>23</v>
      </c>
      <c r="E168" t="s">
        <v>91</v>
      </c>
      <c r="F168">
        <v>18.2</v>
      </c>
      <c r="G168">
        <v>77.5</v>
      </c>
      <c r="H168">
        <v>34.799999999999997</v>
      </c>
      <c r="I168">
        <v>4.5</v>
      </c>
      <c r="J168">
        <v>0.91</v>
      </c>
      <c r="K168">
        <v>45.1</v>
      </c>
      <c r="L168">
        <v>23.3</v>
      </c>
      <c r="M168">
        <v>61.8</v>
      </c>
      <c r="N168">
        <v>3.7</v>
      </c>
      <c r="O168">
        <v>154</v>
      </c>
      <c r="P168" t="s">
        <v>33</v>
      </c>
    </row>
    <row r="169" spans="1:16" x14ac:dyDescent="0.25">
      <c r="A169" t="s">
        <v>224</v>
      </c>
      <c r="B169" s="2">
        <v>45732</v>
      </c>
      <c r="C169" t="s">
        <v>42</v>
      </c>
      <c r="D169" t="s">
        <v>23</v>
      </c>
      <c r="E169" t="s">
        <v>91</v>
      </c>
      <c r="F169">
        <v>77.400000000000006</v>
      </c>
      <c r="G169">
        <v>185</v>
      </c>
      <c r="H169">
        <v>8.9</v>
      </c>
      <c r="I169">
        <v>10.3</v>
      </c>
      <c r="J169">
        <v>0.87</v>
      </c>
      <c r="K169">
        <v>37</v>
      </c>
      <c r="L169">
        <v>31.6</v>
      </c>
      <c r="M169">
        <v>85.8</v>
      </c>
      <c r="N169">
        <v>2</v>
      </c>
      <c r="O169">
        <v>297</v>
      </c>
      <c r="P169" t="s">
        <v>28</v>
      </c>
    </row>
    <row r="170" spans="1:16" x14ac:dyDescent="0.25">
      <c r="A170" t="s">
        <v>225</v>
      </c>
      <c r="B170" s="2">
        <v>45803</v>
      </c>
      <c r="C170" t="s">
        <v>35</v>
      </c>
      <c r="D170" t="s">
        <v>36</v>
      </c>
      <c r="E170" t="s">
        <v>27</v>
      </c>
      <c r="F170">
        <v>57.5</v>
      </c>
      <c r="G170">
        <v>125.7</v>
      </c>
      <c r="H170">
        <v>57.8</v>
      </c>
      <c r="I170">
        <v>4.2</v>
      </c>
      <c r="J170">
        <v>0.06</v>
      </c>
      <c r="K170">
        <v>69.2</v>
      </c>
      <c r="L170">
        <v>15.7</v>
      </c>
      <c r="M170">
        <v>76.5</v>
      </c>
      <c r="N170">
        <v>4.0999999999999996</v>
      </c>
      <c r="O170">
        <v>256</v>
      </c>
      <c r="P170" t="s">
        <v>28</v>
      </c>
    </row>
    <row r="171" spans="1:16" x14ac:dyDescent="0.25">
      <c r="A171" t="s">
        <v>226</v>
      </c>
      <c r="B171" s="2">
        <v>45678</v>
      </c>
      <c r="C171" t="s">
        <v>26</v>
      </c>
      <c r="D171" t="s">
        <v>23</v>
      </c>
      <c r="E171" t="s">
        <v>70</v>
      </c>
      <c r="F171">
        <v>31.3</v>
      </c>
      <c r="G171">
        <v>160</v>
      </c>
      <c r="H171">
        <v>43</v>
      </c>
      <c r="I171">
        <v>3.9</v>
      </c>
      <c r="J171">
        <v>0.48</v>
      </c>
      <c r="K171">
        <v>25.7</v>
      </c>
      <c r="L171">
        <v>18.5</v>
      </c>
      <c r="M171">
        <v>50</v>
      </c>
      <c r="N171">
        <v>3.5</v>
      </c>
      <c r="O171">
        <v>215</v>
      </c>
      <c r="P171" t="s">
        <v>28</v>
      </c>
    </row>
    <row r="172" spans="1:16" x14ac:dyDescent="0.25">
      <c r="A172" t="s">
        <v>227</v>
      </c>
      <c r="B172" s="2">
        <v>45965</v>
      </c>
      <c r="C172" t="s">
        <v>17</v>
      </c>
      <c r="D172" t="s">
        <v>18</v>
      </c>
      <c r="E172" t="s">
        <v>19</v>
      </c>
      <c r="F172">
        <v>19.3</v>
      </c>
      <c r="G172">
        <v>38.4</v>
      </c>
      <c r="H172">
        <v>8.6</v>
      </c>
      <c r="I172">
        <v>6.9</v>
      </c>
      <c r="J172">
        <v>0.63</v>
      </c>
      <c r="K172">
        <v>57.8</v>
      </c>
      <c r="L172">
        <v>29.3</v>
      </c>
      <c r="M172">
        <v>47.8</v>
      </c>
      <c r="N172">
        <v>1.6</v>
      </c>
      <c r="O172">
        <v>109</v>
      </c>
      <c r="P172" t="s">
        <v>33</v>
      </c>
    </row>
    <row r="173" spans="1:16" x14ac:dyDescent="0.25">
      <c r="A173" t="s">
        <v>228</v>
      </c>
      <c r="B173" s="2">
        <v>45680</v>
      </c>
      <c r="C173" t="s">
        <v>77</v>
      </c>
      <c r="D173" t="s">
        <v>39</v>
      </c>
      <c r="E173" t="s">
        <v>68</v>
      </c>
      <c r="F173">
        <v>76.599999999999994</v>
      </c>
      <c r="G173">
        <v>61.4</v>
      </c>
      <c r="H173">
        <v>17.8</v>
      </c>
      <c r="I173">
        <v>14.1</v>
      </c>
      <c r="J173">
        <v>0.43</v>
      </c>
      <c r="K173">
        <v>109.2</v>
      </c>
      <c r="L173">
        <v>34.700000000000003</v>
      </c>
      <c r="M173">
        <v>51.7</v>
      </c>
      <c r="N173">
        <v>1.1000000000000001</v>
      </c>
      <c r="O173">
        <v>246</v>
      </c>
      <c r="P173" t="s">
        <v>28</v>
      </c>
    </row>
    <row r="174" spans="1:16" x14ac:dyDescent="0.25">
      <c r="A174" t="s">
        <v>229</v>
      </c>
      <c r="B174" s="2">
        <v>45958</v>
      </c>
      <c r="C174" t="s">
        <v>54</v>
      </c>
      <c r="D174" t="s">
        <v>18</v>
      </c>
      <c r="E174" t="s">
        <v>27</v>
      </c>
      <c r="F174">
        <v>89.4</v>
      </c>
      <c r="G174">
        <v>74.8</v>
      </c>
      <c r="H174">
        <v>21.2</v>
      </c>
      <c r="I174">
        <v>3.5</v>
      </c>
      <c r="J174">
        <v>1.33</v>
      </c>
      <c r="K174">
        <v>13.3</v>
      </c>
      <c r="L174">
        <v>21.8</v>
      </c>
      <c r="M174">
        <v>81.7</v>
      </c>
      <c r="N174">
        <v>1.7</v>
      </c>
      <c r="O174">
        <v>250</v>
      </c>
      <c r="P174" t="s">
        <v>28</v>
      </c>
    </row>
    <row r="175" spans="1:16" x14ac:dyDescent="0.25">
      <c r="A175" t="s">
        <v>230</v>
      </c>
      <c r="B175" s="2">
        <v>45968</v>
      </c>
      <c r="C175" t="s">
        <v>38</v>
      </c>
      <c r="D175" t="s">
        <v>39</v>
      </c>
      <c r="E175" t="s">
        <v>61</v>
      </c>
      <c r="F175">
        <v>26.9</v>
      </c>
      <c r="G175">
        <v>112.6</v>
      </c>
      <c r="H175">
        <v>131.4</v>
      </c>
      <c r="I175">
        <v>27.3</v>
      </c>
      <c r="J175">
        <v>0.49</v>
      </c>
      <c r="K175">
        <v>30</v>
      </c>
      <c r="L175">
        <v>31.5</v>
      </c>
      <c r="M175">
        <v>92.4</v>
      </c>
      <c r="N175">
        <v>2.6</v>
      </c>
      <c r="O175">
        <v>266</v>
      </c>
      <c r="P175" t="s">
        <v>28</v>
      </c>
    </row>
    <row r="176" spans="1:16" x14ac:dyDescent="0.25">
      <c r="A176" t="s">
        <v>231</v>
      </c>
      <c r="B176" s="2">
        <v>45717</v>
      </c>
      <c r="C176" t="s">
        <v>81</v>
      </c>
      <c r="D176" t="s">
        <v>39</v>
      </c>
      <c r="E176" t="s">
        <v>68</v>
      </c>
      <c r="F176">
        <v>28</v>
      </c>
      <c r="G176">
        <v>12.1</v>
      </c>
      <c r="H176">
        <v>10.9</v>
      </c>
      <c r="I176">
        <v>7.3</v>
      </c>
      <c r="J176">
        <v>1.72</v>
      </c>
      <c r="K176">
        <v>4.5999999999999996</v>
      </c>
      <c r="L176">
        <v>15.8</v>
      </c>
      <c r="M176">
        <v>47.4</v>
      </c>
      <c r="N176">
        <v>0.1</v>
      </c>
      <c r="O176">
        <v>112</v>
      </c>
      <c r="P176" t="s">
        <v>33</v>
      </c>
    </row>
    <row r="177" spans="1:16" x14ac:dyDescent="0.25">
      <c r="A177" t="s">
        <v>232</v>
      </c>
      <c r="B177" s="2">
        <v>45660</v>
      </c>
      <c r="C177" t="s">
        <v>77</v>
      </c>
      <c r="D177" t="s">
        <v>39</v>
      </c>
      <c r="E177" t="s">
        <v>43</v>
      </c>
      <c r="F177">
        <v>86.5</v>
      </c>
      <c r="G177">
        <v>58.9</v>
      </c>
      <c r="H177">
        <v>42.5</v>
      </c>
      <c r="I177">
        <v>21.2</v>
      </c>
      <c r="J177">
        <v>0.44</v>
      </c>
      <c r="K177">
        <v>27.4</v>
      </c>
      <c r="L177">
        <v>29.5</v>
      </c>
      <c r="M177">
        <v>73.7</v>
      </c>
      <c r="N177">
        <v>2.9</v>
      </c>
      <c r="O177">
        <v>249</v>
      </c>
      <c r="P177" t="s">
        <v>28</v>
      </c>
    </row>
    <row r="178" spans="1:16" x14ac:dyDescent="0.25">
      <c r="A178" t="s">
        <v>233</v>
      </c>
      <c r="B178" s="2">
        <v>46009</v>
      </c>
      <c r="C178" t="s">
        <v>38</v>
      </c>
      <c r="D178" t="s">
        <v>39</v>
      </c>
      <c r="E178" t="s">
        <v>61</v>
      </c>
      <c r="F178">
        <v>24.1</v>
      </c>
      <c r="G178">
        <v>30.1</v>
      </c>
      <c r="H178">
        <v>62.9</v>
      </c>
      <c r="I178">
        <v>6.2</v>
      </c>
      <c r="J178">
        <v>0.42</v>
      </c>
      <c r="K178">
        <v>30.8</v>
      </c>
      <c r="L178">
        <v>28.1</v>
      </c>
      <c r="M178">
        <v>45.6</v>
      </c>
      <c r="N178">
        <v>2.6</v>
      </c>
      <c r="O178">
        <v>137</v>
      </c>
      <c r="P178" t="s">
        <v>33</v>
      </c>
    </row>
    <row r="179" spans="1:16" x14ac:dyDescent="0.25">
      <c r="A179" t="s">
        <v>234</v>
      </c>
      <c r="B179" s="2">
        <v>45894</v>
      </c>
      <c r="C179" t="s">
        <v>77</v>
      </c>
      <c r="D179" t="s">
        <v>39</v>
      </c>
      <c r="E179" t="s">
        <v>74</v>
      </c>
      <c r="F179">
        <v>31.3</v>
      </c>
      <c r="G179">
        <v>87.6</v>
      </c>
      <c r="H179">
        <v>20.100000000000001</v>
      </c>
      <c r="I179">
        <v>3.1</v>
      </c>
      <c r="J179">
        <v>1.7</v>
      </c>
      <c r="K179">
        <v>28.3</v>
      </c>
      <c r="L179">
        <v>25.9</v>
      </c>
      <c r="M179">
        <v>50.4</v>
      </c>
      <c r="N179">
        <v>3.4</v>
      </c>
      <c r="O179">
        <v>181</v>
      </c>
      <c r="P179" t="s">
        <v>33</v>
      </c>
    </row>
    <row r="180" spans="1:16" x14ac:dyDescent="0.25">
      <c r="A180" t="s">
        <v>235</v>
      </c>
      <c r="B180" s="2">
        <v>45870</v>
      </c>
      <c r="C180" t="s">
        <v>77</v>
      </c>
      <c r="D180" t="s">
        <v>39</v>
      </c>
      <c r="E180" t="s">
        <v>91</v>
      </c>
      <c r="F180">
        <v>17.600000000000001</v>
      </c>
      <c r="G180">
        <v>74.400000000000006</v>
      </c>
      <c r="H180">
        <v>14.4</v>
      </c>
      <c r="I180">
        <v>5.2</v>
      </c>
      <c r="J180">
        <v>1.1100000000000001</v>
      </c>
      <c r="K180">
        <v>20.100000000000001</v>
      </c>
      <c r="L180">
        <v>24.6</v>
      </c>
      <c r="M180">
        <v>49</v>
      </c>
      <c r="N180">
        <v>1.8</v>
      </c>
      <c r="O180">
        <v>128</v>
      </c>
      <c r="P180" t="s">
        <v>33</v>
      </c>
    </row>
    <row r="181" spans="1:16" x14ac:dyDescent="0.25">
      <c r="A181" t="s">
        <v>236</v>
      </c>
      <c r="B181" s="2">
        <v>45880</v>
      </c>
      <c r="C181" t="s">
        <v>54</v>
      </c>
      <c r="D181" t="s">
        <v>18</v>
      </c>
      <c r="E181" t="s">
        <v>45</v>
      </c>
      <c r="F181">
        <v>40.799999999999997</v>
      </c>
      <c r="G181">
        <v>59.2</v>
      </c>
      <c r="H181">
        <v>51.6</v>
      </c>
      <c r="I181">
        <v>5.2</v>
      </c>
      <c r="J181">
        <v>0.35</v>
      </c>
      <c r="K181">
        <v>36</v>
      </c>
      <c r="L181">
        <v>26.1</v>
      </c>
      <c r="M181">
        <v>98</v>
      </c>
      <c r="N181">
        <v>1.9</v>
      </c>
      <c r="O181">
        <v>174</v>
      </c>
      <c r="P181" t="s">
        <v>33</v>
      </c>
    </row>
    <row r="182" spans="1:16" x14ac:dyDescent="0.25">
      <c r="A182" t="s">
        <v>237</v>
      </c>
      <c r="B182" s="2">
        <v>45933</v>
      </c>
      <c r="C182" t="s">
        <v>64</v>
      </c>
      <c r="D182" t="s">
        <v>36</v>
      </c>
      <c r="E182" t="s">
        <v>24</v>
      </c>
      <c r="F182">
        <v>85.4</v>
      </c>
      <c r="G182">
        <v>55.1</v>
      </c>
      <c r="H182">
        <v>13.3</v>
      </c>
      <c r="I182">
        <v>16.5</v>
      </c>
      <c r="J182">
        <v>0.44</v>
      </c>
      <c r="K182">
        <v>36.299999999999997</v>
      </c>
      <c r="L182">
        <v>29.5</v>
      </c>
      <c r="M182">
        <v>93.4</v>
      </c>
      <c r="N182">
        <v>2</v>
      </c>
      <c r="O182">
        <v>222</v>
      </c>
      <c r="P182" t="s">
        <v>28</v>
      </c>
    </row>
    <row r="183" spans="1:16" x14ac:dyDescent="0.25">
      <c r="A183" t="s">
        <v>238</v>
      </c>
      <c r="B183" s="2">
        <v>45872</v>
      </c>
      <c r="C183" t="s">
        <v>54</v>
      </c>
      <c r="D183" t="s">
        <v>18</v>
      </c>
      <c r="E183" t="s">
        <v>97</v>
      </c>
      <c r="F183">
        <v>100.1</v>
      </c>
      <c r="G183">
        <v>89.6</v>
      </c>
      <c r="H183">
        <v>29.1</v>
      </c>
      <c r="I183">
        <v>21</v>
      </c>
      <c r="J183">
        <v>0.24</v>
      </c>
      <c r="K183">
        <v>17.2</v>
      </c>
      <c r="L183">
        <v>24.4</v>
      </c>
      <c r="M183">
        <v>60.9</v>
      </c>
      <c r="N183">
        <v>3.1</v>
      </c>
      <c r="O183">
        <v>270</v>
      </c>
      <c r="P183" t="s">
        <v>28</v>
      </c>
    </row>
    <row r="184" spans="1:16" x14ac:dyDescent="0.25">
      <c r="A184" t="s">
        <v>239</v>
      </c>
      <c r="B184" s="2">
        <v>45935</v>
      </c>
      <c r="C184" t="s">
        <v>22</v>
      </c>
      <c r="D184" t="s">
        <v>23</v>
      </c>
      <c r="E184" t="s">
        <v>97</v>
      </c>
      <c r="F184">
        <v>86.8</v>
      </c>
      <c r="G184">
        <v>130.6</v>
      </c>
      <c r="H184">
        <v>37.5</v>
      </c>
      <c r="I184">
        <v>9.1</v>
      </c>
      <c r="J184">
        <v>2</v>
      </c>
      <c r="K184">
        <v>57.7</v>
      </c>
      <c r="L184">
        <v>27.6</v>
      </c>
      <c r="M184">
        <v>56</v>
      </c>
      <c r="N184">
        <v>1.9</v>
      </c>
      <c r="O184">
        <v>336</v>
      </c>
      <c r="P184" t="s">
        <v>20</v>
      </c>
    </row>
    <row r="185" spans="1:16" x14ac:dyDescent="0.25">
      <c r="A185" t="s">
        <v>240</v>
      </c>
      <c r="B185" s="2">
        <v>45825</v>
      </c>
      <c r="C185" t="s">
        <v>93</v>
      </c>
      <c r="D185" t="s">
        <v>36</v>
      </c>
      <c r="E185" t="s">
        <v>40</v>
      </c>
      <c r="F185">
        <v>63.6</v>
      </c>
      <c r="G185">
        <v>27.4</v>
      </c>
      <c r="H185">
        <v>10.4</v>
      </c>
      <c r="I185">
        <v>3.1</v>
      </c>
      <c r="J185">
        <v>1.85</v>
      </c>
      <c r="K185">
        <v>12.4</v>
      </c>
      <c r="L185">
        <v>27.7</v>
      </c>
      <c r="M185">
        <v>51.9</v>
      </c>
      <c r="N185">
        <v>1.2</v>
      </c>
      <c r="O185">
        <v>182</v>
      </c>
      <c r="P185" t="s">
        <v>33</v>
      </c>
    </row>
    <row r="186" spans="1:16" x14ac:dyDescent="0.25">
      <c r="A186" t="s">
        <v>241</v>
      </c>
      <c r="B186" s="2">
        <v>45666</v>
      </c>
      <c r="C186" t="s">
        <v>64</v>
      </c>
      <c r="D186" t="s">
        <v>36</v>
      </c>
      <c r="E186" t="s">
        <v>61</v>
      </c>
      <c r="F186">
        <v>90.1</v>
      </c>
      <c r="G186">
        <v>61.3</v>
      </c>
      <c r="H186">
        <v>53.6</v>
      </c>
      <c r="I186">
        <v>6.9</v>
      </c>
      <c r="J186">
        <v>0.33</v>
      </c>
      <c r="K186">
        <v>25.3</v>
      </c>
      <c r="L186">
        <v>29.1</v>
      </c>
      <c r="M186">
        <v>65.5</v>
      </c>
      <c r="N186">
        <v>0.6</v>
      </c>
      <c r="O186">
        <v>251</v>
      </c>
      <c r="P186" t="s">
        <v>28</v>
      </c>
    </row>
    <row r="187" spans="1:16" x14ac:dyDescent="0.25">
      <c r="A187" t="s">
        <v>242</v>
      </c>
      <c r="B187" s="2">
        <v>45681</v>
      </c>
      <c r="C187" t="s">
        <v>67</v>
      </c>
      <c r="D187" t="s">
        <v>18</v>
      </c>
      <c r="E187" t="s">
        <v>58</v>
      </c>
      <c r="F187">
        <v>30.2</v>
      </c>
      <c r="G187">
        <v>190.8</v>
      </c>
      <c r="H187">
        <v>27.9</v>
      </c>
      <c r="I187">
        <v>8</v>
      </c>
      <c r="J187">
        <v>0.18</v>
      </c>
      <c r="K187">
        <v>18.3</v>
      </c>
      <c r="L187">
        <v>21.7</v>
      </c>
      <c r="M187">
        <v>68.599999999999994</v>
      </c>
      <c r="N187">
        <v>2.2999999999999998</v>
      </c>
      <c r="O187">
        <v>213</v>
      </c>
      <c r="P187" t="s">
        <v>28</v>
      </c>
    </row>
    <row r="188" spans="1:16" x14ac:dyDescent="0.25">
      <c r="A188" t="s">
        <v>243</v>
      </c>
      <c r="B188" s="2">
        <v>45933</v>
      </c>
      <c r="C188" t="s">
        <v>93</v>
      </c>
      <c r="D188" t="s">
        <v>36</v>
      </c>
      <c r="E188" t="s">
        <v>40</v>
      </c>
      <c r="F188">
        <v>90.7</v>
      </c>
      <c r="G188">
        <v>83.7</v>
      </c>
      <c r="H188">
        <v>32.700000000000003</v>
      </c>
      <c r="I188">
        <v>12.2</v>
      </c>
      <c r="J188">
        <v>0.87</v>
      </c>
      <c r="K188">
        <v>14.2</v>
      </c>
      <c r="L188">
        <v>33.1</v>
      </c>
      <c r="M188">
        <v>81.7</v>
      </c>
      <c r="N188">
        <v>1.7</v>
      </c>
      <c r="O188">
        <v>262</v>
      </c>
      <c r="P188" t="s">
        <v>28</v>
      </c>
    </row>
    <row r="189" spans="1:16" x14ac:dyDescent="0.25">
      <c r="A189" t="s">
        <v>244</v>
      </c>
      <c r="B189" s="2">
        <v>45728</v>
      </c>
      <c r="C189" t="s">
        <v>50</v>
      </c>
      <c r="D189" t="s">
        <v>31</v>
      </c>
      <c r="E189" t="s">
        <v>55</v>
      </c>
      <c r="F189">
        <v>21</v>
      </c>
      <c r="G189">
        <v>95.9</v>
      </c>
      <c r="H189">
        <v>31</v>
      </c>
      <c r="I189">
        <v>6.8</v>
      </c>
      <c r="J189">
        <v>0.17</v>
      </c>
      <c r="K189">
        <v>21.8</v>
      </c>
      <c r="L189">
        <v>34.9</v>
      </c>
      <c r="M189">
        <v>67.7</v>
      </c>
      <c r="N189">
        <v>1.1000000000000001</v>
      </c>
      <c r="O189">
        <v>140</v>
      </c>
      <c r="P189" t="s">
        <v>33</v>
      </c>
    </row>
    <row r="190" spans="1:16" x14ac:dyDescent="0.25">
      <c r="A190" t="s">
        <v>245</v>
      </c>
      <c r="B190" s="2">
        <v>45695</v>
      </c>
      <c r="C190" t="s">
        <v>77</v>
      </c>
      <c r="D190" t="s">
        <v>39</v>
      </c>
      <c r="E190" t="s">
        <v>24</v>
      </c>
      <c r="F190">
        <v>43.8</v>
      </c>
      <c r="G190">
        <v>57.3</v>
      </c>
      <c r="H190">
        <v>35.9</v>
      </c>
      <c r="I190">
        <v>13.3</v>
      </c>
      <c r="J190">
        <v>0.48</v>
      </c>
      <c r="K190">
        <v>39.299999999999997</v>
      </c>
      <c r="L190">
        <v>28.7</v>
      </c>
      <c r="M190">
        <v>59.1</v>
      </c>
      <c r="N190">
        <v>4</v>
      </c>
      <c r="O190">
        <v>175</v>
      </c>
      <c r="P190" t="s">
        <v>33</v>
      </c>
    </row>
    <row r="191" spans="1:16" x14ac:dyDescent="0.25">
      <c r="A191" t="s">
        <v>246</v>
      </c>
      <c r="B191" s="2">
        <v>45911</v>
      </c>
      <c r="C191" t="s">
        <v>30</v>
      </c>
      <c r="D191" t="s">
        <v>31</v>
      </c>
      <c r="E191" t="s">
        <v>91</v>
      </c>
      <c r="F191">
        <v>60.6</v>
      </c>
      <c r="G191">
        <v>103.4</v>
      </c>
      <c r="H191">
        <v>15.1</v>
      </c>
      <c r="I191">
        <v>6</v>
      </c>
      <c r="J191">
        <v>0.33</v>
      </c>
      <c r="K191">
        <v>42.9</v>
      </c>
      <c r="L191">
        <v>32.299999999999997</v>
      </c>
      <c r="M191">
        <v>76.2</v>
      </c>
      <c r="N191">
        <v>2.9</v>
      </c>
      <c r="O191">
        <v>208</v>
      </c>
      <c r="P191" t="s">
        <v>28</v>
      </c>
    </row>
    <row r="192" spans="1:16" x14ac:dyDescent="0.25">
      <c r="A192" t="s">
        <v>247</v>
      </c>
      <c r="B192" s="2">
        <v>45716</v>
      </c>
      <c r="C192" t="s">
        <v>42</v>
      </c>
      <c r="D192" t="s">
        <v>23</v>
      </c>
      <c r="E192" t="s">
        <v>19</v>
      </c>
      <c r="F192">
        <v>62.5</v>
      </c>
      <c r="G192">
        <v>192.8</v>
      </c>
      <c r="H192">
        <v>15.6</v>
      </c>
      <c r="I192">
        <v>12.6</v>
      </c>
      <c r="J192">
        <v>0.16</v>
      </c>
      <c r="K192">
        <v>72.400000000000006</v>
      </c>
      <c r="L192">
        <v>30.2</v>
      </c>
      <c r="M192">
        <v>62.5</v>
      </c>
      <c r="N192">
        <v>1</v>
      </c>
      <c r="O192">
        <v>283</v>
      </c>
      <c r="P192" t="s">
        <v>28</v>
      </c>
    </row>
    <row r="193" spans="1:16" x14ac:dyDescent="0.25">
      <c r="A193" t="s">
        <v>248</v>
      </c>
      <c r="B193" s="2">
        <v>45983</v>
      </c>
      <c r="C193" t="s">
        <v>30</v>
      </c>
      <c r="D193" t="s">
        <v>31</v>
      </c>
      <c r="E193" t="s">
        <v>27</v>
      </c>
      <c r="F193">
        <v>30.2</v>
      </c>
      <c r="G193">
        <v>57.6</v>
      </c>
      <c r="H193">
        <v>38</v>
      </c>
      <c r="I193">
        <v>20.8</v>
      </c>
      <c r="J193">
        <v>1.0900000000000001</v>
      </c>
      <c r="K193">
        <v>39.700000000000003</v>
      </c>
      <c r="L193">
        <v>35</v>
      </c>
      <c r="M193">
        <v>56.4</v>
      </c>
      <c r="N193">
        <v>1</v>
      </c>
      <c r="O193">
        <v>176</v>
      </c>
      <c r="P193" t="s">
        <v>33</v>
      </c>
    </row>
    <row r="194" spans="1:16" x14ac:dyDescent="0.25">
      <c r="A194" t="s">
        <v>249</v>
      </c>
      <c r="B194" s="2">
        <v>45771</v>
      </c>
      <c r="C194" t="s">
        <v>42</v>
      </c>
      <c r="D194" t="s">
        <v>23</v>
      </c>
      <c r="E194" t="s">
        <v>27</v>
      </c>
      <c r="F194">
        <v>52.6</v>
      </c>
      <c r="G194">
        <v>85.3</v>
      </c>
      <c r="H194">
        <v>56.6</v>
      </c>
      <c r="I194">
        <v>3</v>
      </c>
      <c r="J194">
        <v>0.43</v>
      </c>
      <c r="K194">
        <v>30.2</v>
      </c>
      <c r="L194">
        <v>24.4</v>
      </c>
      <c r="M194">
        <v>57.6</v>
      </c>
      <c r="N194">
        <v>3.6</v>
      </c>
      <c r="O194">
        <v>211</v>
      </c>
      <c r="P194" t="s">
        <v>28</v>
      </c>
    </row>
    <row r="195" spans="1:16" x14ac:dyDescent="0.25">
      <c r="A195" t="s">
        <v>250</v>
      </c>
      <c r="B195" s="2">
        <v>45834</v>
      </c>
      <c r="C195" t="s">
        <v>81</v>
      </c>
      <c r="D195" t="s">
        <v>39</v>
      </c>
      <c r="E195" t="s">
        <v>27</v>
      </c>
      <c r="F195">
        <v>94.2</v>
      </c>
      <c r="G195">
        <v>104.7</v>
      </c>
      <c r="H195">
        <v>43.9</v>
      </c>
      <c r="I195">
        <v>24.7</v>
      </c>
      <c r="J195">
        <v>0.57999999999999996</v>
      </c>
      <c r="K195">
        <v>45.5</v>
      </c>
      <c r="L195">
        <v>28.4</v>
      </c>
      <c r="M195">
        <v>94.9</v>
      </c>
      <c r="N195">
        <v>3.9</v>
      </c>
      <c r="O195">
        <v>306</v>
      </c>
      <c r="P195" t="s">
        <v>20</v>
      </c>
    </row>
    <row r="196" spans="1:16" x14ac:dyDescent="0.25">
      <c r="A196" t="s">
        <v>251</v>
      </c>
      <c r="B196" s="2">
        <v>45816</v>
      </c>
      <c r="C196" t="s">
        <v>50</v>
      </c>
      <c r="D196" t="s">
        <v>31</v>
      </c>
      <c r="E196" t="s">
        <v>61</v>
      </c>
      <c r="F196">
        <v>63.9</v>
      </c>
      <c r="G196">
        <v>53.7</v>
      </c>
      <c r="H196">
        <v>38.200000000000003</v>
      </c>
      <c r="I196">
        <v>19.2</v>
      </c>
      <c r="J196">
        <v>0.21</v>
      </c>
      <c r="K196">
        <v>41.1</v>
      </c>
      <c r="L196">
        <v>23.6</v>
      </c>
      <c r="M196">
        <v>66.900000000000006</v>
      </c>
      <c r="N196">
        <v>2</v>
      </c>
      <c r="O196">
        <v>205</v>
      </c>
      <c r="P196" t="s">
        <v>28</v>
      </c>
    </row>
    <row r="197" spans="1:16" x14ac:dyDescent="0.25">
      <c r="A197" t="s">
        <v>252</v>
      </c>
      <c r="B197" s="2">
        <v>45800</v>
      </c>
      <c r="C197" t="s">
        <v>54</v>
      </c>
      <c r="D197" t="s">
        <v>18</v>
      </c>
      <c r="E197" t="s">
        <v>68</v>
      </c>
      <c r="F197">
        <v>90.4</v>
      </c>
      <c r="G197">
        <v>132.80000000000001</v>
      </c>
      <c r="H197">
        <v>48.4</v>
      </c>
      <c r="I197">
        <v>15.7</v>
      </c>
      <c r="J197">
        <v>1.71</v>
      </c>
      <c r="K197">
        <v>31.5</v>
      </c>
      <c r="L197">
        <v>35.4</v>
      </c>
      <c r="M197">
        <v>66.5</v>
      </c>
      <c r="N197">
        <v>3</v>
      </c>
      <c r="O197">
        <v>338</v>
      </c>
      <c r="P197" t="s">
        <v>20</v>
      </c>
    </row>
    <row r="198" spans="1:16" x14ac:dyDescent="0.25">
      <c r="A198" t="s">
        <v>253</v>
      </c>
      <c r="B198" s="2">
        <v>45882</v>
      </c>
      <c r="C198" t="s">
        <v>67</v>
      </c>
      <c r="D198" t="s">
        <v>18</v>
      </c>
      <c r="E198" t="s">
        <v>74</v>
      </c>
      <c r="F198">
        <v>16.899999999999999</v>
      </c>
      <c r="G198">
        <v>80.7</v>
      </c>
      <c r="H198">
        <v>21.6</v>
      </c>
      <c r="I198">
        <v>17.5</v>
      </c>
      <c r="J198">
        <v>0.95</v>
      </c>
      <c r="K198">
        <v>23.3</v>
      </c>
      <c r="L198">
        <v>34</v>
      </c>
      <c r="M198">
        <v>41</v>
      </c>
      <c r="N198">
        <v>1.5</v>
      </c>
      <c r="O198">
        <v>143</v>
      </c>
      <c r="P198" t="s">
        <v>33</v>
      </c>
    </row>
    <row r="199" spans="1:16" x14ac:dyDescent="0.25">
      <c r="A199" t="s">
        <v>254</v>
      </c>
      <c r="B199" s="2">
        <v>45962</v>
      </c>
      <c r="C199" t="s">
        <v>93</v>
      </c>
      <c r="D199" t="s">
        <v>36</v>
      </c>
      <c r="E199" t="s">
        <v>74</v>
      </c>
      <c r="F199">
        <v>12.8</v>
      </c>
      <c r="G199">
        <v>42.3</v>
      </c>
      <c r="H199">
        <v>18</v>
      </c>
      <c r="I199">
        <v>4.8</v>
      </c>
      <c r="J199">
        <v>0.66</v>
      </c>
      <c r="K199">
        <v>53.7</v>
      </c>
      <c r="L199">
        <v>33.5</v>
      </c>
      <c r="M199">
        <v>73.5</v>
      </c>
      <c r="N199">
        <v>2.8</v>
      </c>
      <c r="O199">
        <v>106</v>
      </c>
      <c r="P199" t="s">
        <v>33</v>
      </c>
    </row>
    <row r="200" spans="1:16" x14ac:dyDescent="0.25">
      <c r="A200" t="s">
        <v>255</v>
      </c>
      <c r="B200" s="2">
        <v>45746</v>
      </c>
      <c r="C200" t="s">
        <v>50</v>
      </c>
      <c r="D200" t="s">
        <v>31</v>
      </c>
      <c r="E200" t="s">
        <v>24</v>
      </c>
      <c r="F200">
        <v>19.5</v>
      </c>
      <c r="G200">
        <v>65.099999999999994</v>
      </c>
      <c r="H200">
        <v>28.4</v>
      </c>
      <c r="I200">
        <v>22.5</v>
      </c>
      <c r="J200">
        <v>0.56000000000000005</v>
      </c>
      <c r="K200">
        <v>24.6</v>
      </c>
      <c r="L200">
        <v>36.200000000000003</v>
      </c>
      <c r="M200">
        <v>73.099999999999994</v>
      </c>
      <c r="N200">
        <v>1.5</v>
      </c>
      <c r="O200">
        <v>137</v>
      </c>
      <c r="P200" t="s">
        <v>33</v>
      </c>
    </row>
    <row r="201" spans="1:16" x14ac:dyDescent="0.25">
      <c r="A201" t="s">
        <v>256</v>
      </c>
      <c r="B201" s="2">
        <v>45672</v>
      </c>
      <c r="C201" t="s">
        <v>77</v>
      </c>
      <c r="D201" t="s">
        <v>39</v>
      </c>
      <c r="E201" t="s">
        <v>97</v>
      </c>
      <c r="F201">
        <v>26.9</v>
      </c>
      <c r="G201">
        <v>106.5</v>
      </c>
      <c r="H201">
        <v>30.6</v>
      </c>
      <c r="I201">
        <v>15.1</v>
      </c>
      <c r="J201">
        <v>1.66</v>
      </c>
      <c r="K201">
        <v>6.2</v>
      </c>
      <c r="L201">
        <v>22.6</v>
      </c>
      <c r="M201">
        <v>54.5</v>
      </c>
      <c r="N201">
        <v>1.9</v>
      </c>
      <c r="O201">
        <v>192</v>
      </c>
      <c r="P201" t="s">
        <v>33</v>
      </c>
    </row>
    <row r="202" spans="1:16" x14ac:dyDescent="0.25">
      <c r="A202" t="s">
        <v>257</v>
      </c>
      <c r="B202" s="2">
        <v>45923</v>
      </c>
      <c r="C202" t="s">
        <v>52</v>
      </c>
      <c r="D202" t="s">
        <v>31</v>
      </c>
      <c r="E202" t="s">
        <v>43</v>
      </c>
      <c r="F202">
        <v>64.8</v>
      </c>
      <c r="G202">
        <v>69.7</v>
      </c>
      <c r="H202">
        <v>9.4</v>
      </c>
      <c r="I202">
        <v>44.9</v>
      </c>
      <c r="J202">
        <v>0.83</v>
      </c>
      <c r="K202">
        <v>48.6</v>
      </c>
      <c r="L202">
        <v>20.3</v>
      </c>
      <c r="M202">
        <v>96.2</v>
      </c>
      <c r="N202">
        <v>1.4</v>
      </c>
      <c r="O202">
        <v>231</v>
      </c>
      <c r="P202" t="s">
        <v>28</v>
      </c>
    </row>
    <row r="203" spans="1:16" x14ac:dyDescent="0.25">
      <c r="A203" t="s">
        <v>258</v>
      </c>
      <c r="B203" s="2">
        <v>45876</v>
      </c>
      <c r="C203" t="s">
        <v>17</v>
      </c>
      <c r="D203" t="s">
        <v>18</v>
      </c>
      <c r="E203" t="s">
        <v>55</v>
      </c>
      <c r="F203">
        <v>58.8</v>
      </c>
      <c r="G203">
        <v>56.5</v>
      </c>
      <c r="H203">
        <v>52.2</v>
      </c>
      <c r="I203">
        <v>15.8</v>
      </c>
      <c r="J203">
        <v>0.08</v>
      </c>
      <c r="K203">
        <v>54.3</v>
      </c>
      <c r="L203">
        <v>25.5</v>
      </c>
      <c r="M203">
        <v>80.3</v>
      </c>
      <c r="N203">
        <v>1.7</v>
      </c>
      <c r="O203">
        <v>210</v>
      </c>
      <c r="P203" t="s">
        <v>28</v>
      </c>
    </row>
    <row r="204" spans="1:16" x14ac:dyDescent="0.25">
      <c r="A204" t="s">
        <v>259</v>
      </c>
      <c r="B204" s="2">
        <v>45821</v>
      </c>
      <c r="C204" t="s">
        <v>38</v>
      </c>
      <c r="D204" t="s">
        <v>39</v>
      </c>
      <c r="E204" t="s">
        <v>58</v>
      </c>
      <c r="F204">
        <v>6.1</v>
      </c>
      <c r="G204">
        <v>87.4</v>
      </c>
      <c r="H204">
        <v>15.6</v>
      </c>
      <c r="I204">
        <v>7.5</v>
      </c>
      <c r="J204">
        <v>0.35</v>
      </c>
      <c r="K204">
        <v>16.399999999999999</v>
      </c>
      <c r="L204">
        <v>33.5</v>
      </c>
      <c r="M204">
        <v>33.9</v>
      </c>
      <c r="N204">
        <v>2</v>
      </c>
      <c r="O204">
        <v>100</v>
      </c>
      <c r="P204" t="s">
        <v>71</v>
      </c>
    </row>
    <row r="205" spans="1:16" x14ac:dyDescent="0.25">
      <c r="A205" t="s">
        <v>260</v>
      </c>
      <c r="B205" s="2">
        <v>46012</v>
      </c>
      <c r="C205" t="s">
        <v>22</v>
      </c>
      <c r="D205" t="s">
        <v>23</v>
      </c>
      <c r="E205" t="s">
        <v>68</v>
      </c>
      <c r="F205">
        <v>57.9</v>
      </c>
      <c r="G205">
        <v>85.9</v>
      </c>
      <c r="H205">
        <v>18.8</v>
      </c>
      <c r="I205">
        <v>7.8</v>
      </c>
      <c r="J205">
        <v>0.09</v>
      </c>
      <c r="K205">
        <v>15</v>
      </c>
      <c r="L205">
        <v>35</v>
      </c>
      <c r="M205">
        <v>40.799999999999997</v>
      </c>
      <c r="N205">
        <v>1.5</v>
      </c>
      <c r="O205">
        <v>178</v>
      </c>
      <c r="P205" t="s">
        <v>33</v>
      </c>
    </row>
    <row r="206" spans="1:16" x14ac:dyDescent="0.25">
      <c r="A206" t="s">
        <v>261</v>
      </c>
      <c r="B206" s="2">
        <v>45780</v>
      </c>
      <c r="C206" t="s">
        <v>50</v>
      </c>
      <c r="D206" t="s">
        <v>31</v>
      </c>
      <c r="E206" t="s">
        <v>40</v>
      </c>
      <c r="F206">
        <v>64.5</v>
      </c>
      <c r="G206">
        <v>165.2</v>
      </c>
      <c r="H206">
        <v>22.7</v>
      </c>
      <c r="I206">
        <v>26.2</v>
      </c>
      <c r="J206">
        <v>0.71</v>
      </c>
      <c r="K206">
        <v>9.6999999999999993</v>
      </c>
      <c r="L206">
        <v>24.3</v>
      </c>
      <c r="M206">
        <v>50.5</v>
      </c>
      <c r="N206">
        <v>2.2999999999999998</v>
      </c>
      <c r="O206">
        <v>269</v>
      </c>
      <c r="P206" t="s">
        <v>28</v>
      </c>
    </row>
    <row r="207" spans="1:16" x14ac:dyDescent="0.25">
      <c r="A207" t="s">
        <v>262</v>
      </c>
      <c r="B207" s="2">
        <v>45814</v>
      </c>
      <c r="C207" t="s">
        <v>77</v>
      </c>
      <c r="D207" t="s">
        <v>39</v>
      </c>
      <c r="E207" t="s">
        <v>263</v>
      </c>
      <c r="F207">
        <v>48</v>
      </c>
      <c r="G207">
        <v>144.19999999999999</v>
      </c>
      <c r="H207">
        <v>70</v>
      </c>
      <c r="I207">
        <v>17.899999999999999</v>
      </c>
      <c r="J207">
        <v>0.69</v>
      </c>
      <c r="K207">
        <v>34.5</v>
      </c>
      <c r="L207">
        <v>26</v>
      </c>
      <c r="M207">
        <v>62.7</v>
      </c>
      <c r="N207">
        <v>2.9</v>
      </c>
      <c r="O207">
        <v>272</v>
      </c>
      <c r="P207" t="s">
        <v>28</v>
      </c>
    </row>
    <row r="208" spans="1:16" x14ac:dyDescent="0.25">
      <c r="A208" t="s">
        <v>264</v>
      </c>
      <c r="B208" s="2">
        <v>45971</v>
      </c>
      <c r="C208" t="s">
        <v>22</v>
      </c>
      <c r="D208" t="s">
        <v>23</v>
      </c>
      <c r="E208" t="s">
        <v>70</v>
      </c>
      <c r="F208">
        <v>42.2</v>
      </c>
      <c r="G208">
        <v>97.7</v>
      </c>
      <c r="H208">
        <v>58</v>
      </c>
      <c r="I208">
        <v>7.5</v>
      </c>
      <c r="J208">
        <v>0.54</v>
      </c>
      <c r="K208">
        <v>44.2</v>
      </c>
      <c r="L208">
        <v>27.4</v>
      </c>
      <c r="M208">
        <v>70.7</v>
      </c>
      <c r="N208">
        <v>3.1</v>
      </c>
      <c r="O208">
        <v>216</v>
      </c>
      <c r="P208" t="s">
        <v>28</v>
      </c>
    </row>
    <row r="209" spans="1:16" x14ac:dyDescent="0.25">
      <c r="A209" t="s">
        <v>265</v>
      </c>
      <c r="B209" s="2">
        <v>45768</v>
      </c>
      <c r="C209" t="s">
        <v>99</v>
      </c>
      <c r="D209" t="s">
        <v>36</v>
      </c>
      <c r="E209" t="s">
        <v>70</v>
      </c>
      <c r="F209">
        <v>18.600000000000001</v>
      </c>
      <c r="G209">
        <v>61.2</v>
      </c>
      <c r="H209">
        <v>14</v>
      </c>
      <c r="I209">
        <v>14.5</v>
      </c>
      <c r="J209">
        <v>0.43</v>
      </c>
      <c r="K209">
        <v>28.4</v>
      </c>
      <c r="L209">
        <v>25.7</v>
      </c>
      <c r="M209">
        <v>78.599999999999994</v>
      </c>
      <c r="N209">
        <v>1.4</v>
      </c>
      <c r="O209">
        <v>114</v>
      </c>
      <c r="P209" t="s">
        <v>33</v>
      </c>
    </row>
    <row r="210" spans="1:16" x14ac:dyDescent="0.25">
      <c r="A210" t="s">
        <v>266</v>
      </c>
      <c r="B210" s="2">
        <v>46019</v>
      </c>
      <c r="C210" t="s">
        <v>22</v>
      </c>
      <c r="D210" t="s">
        <v>23</v>
      </c>
      <c r="E210" t="s">
        <v>32</v>
      </c>
      <c r="F210">
        <v>54.3</v>
      </c>
      <c r="G210">
        <v>90</v>
      </c>
      <c r="H210">
        <v>42.2</v>
      </c>
      <c r="I210">
        <v>14.3</v>
      </c>
      <c r="J210">
        <v>0.88</v>
      </c>
      <c r="K210">
        <v>46.9</v>
      </c>
      <c r="L210">
        <v>14.1</v>
      </c>
      <c r="M210">
        <v>67.3</v>
      </c>
      <c r="N210">
        <v>3.3</v>
      </c>
      <c r="O210">
        <v>232</v>
      </c>
      <c r="P210" t="s">
        <v>28</v>
      </c>
    </row>
    <row r="211" spans="1:16" x14ac:dyDescent="0.25">
      <c r="A211" t="s">
        <v>267</v>
      </c>
      <c r="B211" s="2">
        <v>45793</v>
      </c>
      <c r="C211" t="s">
        <v>50</v>
      </c>
      <c r="D211" t="s">
        <v>31</v>
      </c>
      <c r="E211" t="s">
        <v>58</v>
      </c>
      <c r="F211">
        <v>27.4</v>
      </c>
      <c r="G211">
        <v>114.7</v>
      </c>
      <c r="H211">
        <v>20.9</v>
      </c>
      <c r="I211">
        <v>6.9</v>
      </c>
      <c r="J211">
        <v>0.3</v>
      </c>
      <c r="K211">
        <v>19</v>
      </c>
      <c r="L211">
        <v>28.8</v>
      </c>
      <c r="M211">
        <v>68.599999999999994</v>
      </c>
      <c r="N211">
        <v>2.2999999999999998</v>
      </c>
      <c r="O211">
        <v>156</v>
      </c>
      <c r="P211" t="s">
        <v>33</v>
      </c>
    </row>
    <row r="212" spans="1:16" x14ac:dyDescent="0.25">
      <c r="A212" t="s">
        <v>268</v>
      </c>
      <c r="B212" s="2">
        <v>45925</v>
      </c>
      <c r="C212" t="s">
        <v>35</v>
      </c>
      <c r="D212" t="s">
        <v>36</v>
      </c>
      <c r="E212" t="s">
        <v>45</v>
      </c>
      <c r="F212">
        <v>85.9</v>
      </c>
      <c r="G212">
        <v>74</v>
      </c>
      <c r="H212">
        <v>14.1</v>
      </c>
      <c r="I212">
        <v>10.7</v>
      </c>
      <c r="J212">
        <v>0.73</v>
      </c>
      <c r="K212">
        <v>37.5</v>
      </c>
      <c r="L212">
        <v>26</v>
      </c>
      <c r="M212">
        <v>76.8</v>
      </c>
      <c r="N212">
        <v>2.2000000000000002</v>
      </c>
      <c r="O212">
        <v>239</v>
      </c>
      <c r="P212" t="s">
        <v>28</v>
      </c>
    </row>
    <row r="213" spans="1:16" x14ac:dyDescent="0.25">
      <c r="A213" t="s">
        <v>269</v>
      </c>
      <c r="B213" s="2">
        <v>45867</v>
      </c>
      <c r="C213" t="s">
        <v>42</v>
      </c>
      <c r="D213" t="s">
        <v>23</v>
      </c>
      <c r="E213" t="s">
        <v>27</v>
      </c>
      <c r="F213">
        <v>36.200000000000003</v>
      </c>
      <c r="G213">
        <v>74.3</v>
      </c>
      <c r="H213">
        <v>27.2</v>
      </c>
      <c r="I213">
        <v>8.1</v>
      </c>
      <c r="J213">
        <v>0.73</v>
      </c>
      <c r="K213">
        <v>9.8000000000000007</v>
      </c>
      <c r="L213">
        <v>27.4</v>
      </c>
      <c r="M213">
        <v>78.099999999999994</v>
      </c>
      <c r="N213">
        <v>1.1000000000000001</v>
      </c>
      <c r="O213">
        <v>156</v>
      </c>
      <c r="P213" t="s">
        <v>33</v>
      </c>
    </row>
    <row r="214" spans="1:16" x14ac:dyDescent="0.25">
      <c r="A214" t="s">
        <v>270</v>
      </c>
      <c r="B214" s="2">
        <v>45941</v>
      </c>
      <c r="C214" t="s">
        <v>64</v>
      </c>
      <c r="D214" t="s">
        <v>36</v>
      </c>
      <c r="E214" t="s">
        <v>61</v>
      </c>
      <c r="F214">
        <v>51.4</v>
      </c>
      <c r="G214">
        <v>78</v>
      </c>
      <c r="H214">
        <v>41.5</v>
      </c>
      <c r="I214">
        <v>5.7</v>
      </c>
      <c r="J214">
        <v>0.43</v>
      </c>
      <c r="K214">
        <v>29.9</v>
      </c>
      <c r="L214">
        <v>34.200000000000003</v>
      </c>
      <c r="M214">
        <v>66.5</v>
      </c>
      <c r="N214">
        <v>2.4</v>
      </c>
      <c r="O214">
        <v>194</v>
      </c>
      <c r="P214" t="s">
        <v>33</v>
      </c>
    </row>
    <row r="215" spans="1:16" x14ac:dyDescent="0.25">
      <c r="A215" t="s">
        <v>271</v>
      </c>
      <c r="B215" s="2">
        <v>45979</v>
      </c>
      <c r="C215" t="s">
        <v>77</v>
      </c>
      <c r="D215" t="s">
        <v>39</v>
      </c>
      <c r="E215" t="s">
        <v>40</v>
      </c>
      <c r="F215">
        <v>43.9</v>
      </c>
      <c r="G215">
        <v>119</v>
      </c>
      <c r="H215">
        <v>27.3</v>
      </c>
      <c r="I215">
        <v>8.1999999999999993</v>
      </c>
      <c r="J215">
        <v>1.07</v>
      </c>
      <c r="K215">
        <v>33.9</v>
      </c>
      <c r="L215">
        <v>24.4</v>
      </c>
      <c r="M215">
        <v>82.8</v>
      </c>
      <c r="N215">
        <v>2.8</v>
      </c>
      <c r="O215">
        <v>217</v>
      </c>
      <c r="P215" t="s">
        <v>28</v>
      </c>
    </row>
    <row r="216" spans="1:16" x14ac:dyDescent="0.25">
      <c r="A216" t="s">
        <v>272</v>
      </c>
      <c r="B216" s="2">
        <v>45714</v>
      </c>
      <c r="C216" t="s">
        <v>77</v>
      </c>
      <c r="D216" t="s">
        <v>39</v>
      </c>
      <c r="E216" t="s">
        <v>27</v>
      </c>
      <c r="F216">
        <v>37.5</v>
      </c>
      <c r="G216">
        <v>71.3</v>
      </c>
      <c r="H216">
        <v>16.3</v>
      </c>
      <c r="I216">
        <v>6.9</v>
      </c>
      <c r="J216">
        <v>0.85</v>
      </c>
      <c r="K216">
        <v>37.299999999999997</v>
      </c>
      <c r="L216">
        <v>26.3</v>
      </c>
      <c r="M216">
        <v>74.7</v>
      </c>
      <c r="N216">
        <v>1.5</v>
      </c>
      <c r="O216">
        <v>162</v>
      </c>
      <c r="P216" t="s">
        <v>33</v>
      </c>
    </row>
    <row r="217" spans="1:16" x14ac:dyDescent="0.25">
      <c r="A217" t="s">
        <v>273</v>
      </c>
      <c r="B217" s="2">
        <v>45924</v>
      </c>
      <c r="C217" t="s">
        <v>17</v>
      </c>
      <c r="D217" t="s">
        <v>18</v>
      </c>
      <c r="E217" t="s">
        <v>91</v>
      </c>
      <c r="F217">
        <v>60.3</v>
      </c>
      <c r="G217">
        <v>77.8</v>
      </c>
      <c r="H217">
        <v>49.3</v>
      </c>
      <c r="I217">
        <v>8</v>
      </c>
      <c r="J217">
        <v>0.61</v>
      </c>
      <c r="K217">
        <v>53.9</v>
      </c>
      <c r="L217">
        <v>18</v>
      </c>
      <c r="M217">
        <v>61.6</v>
      </c>
      <c r="N217">
        <v>1.8</v>
      </c>
      <c r="O217">
        <v>232</v>
      </c>
      <c r="P217" t="s">
        <v>28</v>
      </c>
    </row>
    <row r="218" spans="1:16" x14ac:dyDescent="0.25">
      <c r="A218" t="s">
        <v>274</v>
      </c>
      <c r="B218" s="2">
        <v>45810</v>
      </c>
      <c r="C218" t="s">
        <v>35</v>
      </c>
      <c r="D218" t="s">
        <v>36</v>
      </c>
      <c r="E218" t="s">
        <v>58</v>
      </c>
      <c r="F218">
        <v>81.900000000000006</v>
      </c>
      <c r="G218">
        <v>67.900000000000006</v>
      </c>
      <c r="H218">
        <v>15.2</v>
      </c>
      <c r="I218">
        <v>1.2</v>
      </c>
      <c r="J218">
        <v>0.89</v>
      </c>
      <c r="K218">
        <v>63.7</v>
      </c>
      <c r="L218">
        <v>27.5</v>
      </c>
      <c r="M218">
        <v>57.7</v>
      </c>
      <c r="N218">
        <v>1.6</v>
      </c>
      <c r="O218">
        <v>239</v>
      </c>
      <c r="P218" t="s">
        <v>28</v>
      </c>
    </row>
    <row r="219" spans="1:16" x14ac:dyDescent="0.25">
      <c r="A219" t="s">
        <v>275</v>
      </c>
      <c r="B219" s="2">
        <v>45782</v>
      </c>
      <c r="C219" t="s">
        <v>30</v>
      </c>
      <c r="D219" t="s">
        <v>31</v>
      </c>
      <c r="E219" t="s">
        <v>68</v>
      </c>
      <c r="F219">
        <v>18.5</v>
      </c>
      <c r="G219">
        <v>43</v>
      </c>
      <c r="H219">
        <v>25.1</v>
      </c>
      <c r="I219">
        <v>28.5</v>
      </c>
      <c r="J219">
        <v>0.23</v>
      </c>
      <c r="K219">
        <v>29.2</v>
      </c>
      <c r="L219">
        <v>19.8</v>
      </c>
      <c r="M219">
        <v>75.900000000000006</v>
      </c>
      <c r="N219">
        <v>2</v>
      </c>
      <c r="O219">
        <v>116</v>
      </c>
      <c r="P219" t="s">
        <v>33</v>
      </c>
    </row>
    <row r="220" spans="1:16" x14ac:dyDescent="0.25">
      <c r="A220" t="s">
        <v>276</v>
      </c>
      <c r="B220" s="2">
        <v>45937</v>
      </c>
      <c r="C220" t="s">
        <v>67</v>
      </c>
      <c r="D220" t="s">
        <v>18</v>
      </c>
      <c r="E220" t="s">
        <v>43</v>
      </c>
      <c r="F220">
        <v>57.2</v>
      </c>
      <c r="G220">
        <v>56.1</v>
      </c>
      <c r="H220">
        <v>50.7</v>
      </c>
      <c r="I220">
        <v>1.3</v>
      </c>
      <c r="J220">
        <v>0.68</v>
      </c>
      <c r="K220">
        <v>23.4</v>
      </c>
      <c r="L220">
        <v>34.4</v>
      </c>
      <c r="M220">
        <v>51.1</v>
      </c>
      <c r="N220">
        <v>1.7</v>
      </c>
      <c r="O220">
        <v>197</v>
      </c>
      <c r="P220" t="s">
        <v>33</v>
      </c>
    </row>
    <row r="221" spans="1:16" x14ac:dyDescent="0.25">
      <c r="A221" t="s">
        <v>277</v>
      </c>
      <c r="B221" s="2">
        <v>45797</v>
      </c>
      <c r="C221" t="s">
        <v>35</v>
      </c>
      <c r="D221" t="s">
        <v>36</v>
      </c>
      <c r="E221" t="s">
        <v>55</v>
      </c>
      <c r="F221">
        <v>97.8</v>
      </c>
      <c r="G221">
        <v>124.8</v>
      </c>
      <c r="H221">
        <v>61.8</v>
      </c>
      <c r="I221">
        <v>15.3</v>
      </c>
      <c r="J221">
        <v>0.32</v>
      </c>
      <c r="K221">
        <v>36.6</v>
      </c>
      <c r="L221">
        <v>24.2</v>
      </c>
      <c r="M221">
        <v>68.099999999999994</v>
      </c>
      <c r="N221">
        <v>2.1</v>
      </c>
      <c r="O221">
        <v>322</v>
      </c>
      <c r="P221" t="s">
        <v>20</v>
      </c>
    </row>
    <row r="222" spans="1:16" x14ac:dyDescent="0.25">
      <c r="A222" t="s">
        <v>278</v>
      </c>
      <c r="B222" s="2">
        <v>45718</v>
      </c>
      <c r="C222" t="s">
        <v>26</v>
      </c>
      <c r="D222" t="s">
        <v>23</v>
      </c>
      <c r="E222" t="s">
        <v>97</v>
      </c>
      <c r="F222">
        <v>33.200000000000003</v>
      </c>
      <c r="G222">
        <v>50.8</v>
      </c>
      <c r="H222">
        <v>15.8</v>
      </c>
      <c r="I222">
        <v>8.4</v>
      </c>
      <c r="J222">
        <v>0.42</v>
      </c>
      <c r="K222">
        <v>13.9</v>
      </c>
      <c r="L222">
        <v>30.5</v>
      </c>
      <c r="M222">
        <v>61.4</v>
      </c>
      <c r="N222">
        <v>1.4</v>
      </c>
      <c r="O222">
        <v>121</v>
      </c>
      <c r="P222" t="s">
        <v>33</v>
      </c>
    </row>
    <row r="223" spans="1:16" x14ac:dyDescent="0.25">
      <c r="A223" t="s">
        <v>279</v>
      </c>
      <c r="B223" s="2">
        <v>45889</v>
      </c>
      <c r="C223" t="s">
        <v>30</v>
      </c>
      <c r="D223" t="s">
        <v>31</v>
      </c>
      <c r="E223" t="s">
        <v>70</v>
      </c>
      <c r="F223">
        <v>35.299999999999997</v>
      </c>
      <c r="G223">
        <v>167</v>
      </c>
      <c r="H223">
        <v>6.1</v>
      </c>
      <c r="I223">
        <v>5.9</v>
      </c>
      <c r="J223">
        <v>0.34</v>
      </c>
      <c r="K223">
        <v>35.200000000000003</v>
      </c>
      <c r="L223">
        <v>31.6</v>
      </c>
      <c r="M223">
        <v>82.2</v>
      </c>
      <c r="N223">
        <v>2.2000000000000002</v>
      </c>
      <c r="O223">
        <v>198</v>
      </c>
      <c r="P223" t="s">
        <v>33</v>
      </c>
    </row>
    <row r="224" spans="1:16" x14ac:dyDescent="0.25">
      <c r="A224" t="s">
        <v>280</v>
      </c>
      <c r="B224" s="2">
        <v>46003</v>
      </c>
      <c r="C224" t="s">
        <v>77</v>
      </c>
      <c r="D224" t="s">
        <v>39</v>
      </c>
      <c r="E224" t="s">
        <v>40</v>
      </c>
      <c r="F224">
        <v>45</v>
      </c>
      <c r="G224">
        <v>88.2</v>
      </c>
      <c r="H224">
        <v>4.7</v>
      </c>
      <c r="I224">
        <v>5.5</v>
      </c>
      <c r="J224">
        <v>1.29</v>
      </c>
      <c r="K224">
        <v>28.2</v>
      </c>
      <c r="L224">
        <v>23.8</v>
      </c>
      <c r="M224">
        <v>68.599999999999994</v>
      </c>
      <c r="N224">
        <v>1.7</v>
      </c>
      <c r="O224">
        <v>182</v>
      </c>
      <c r="P224" t="s">
        <v>33</v>
      </c>
    </row>
    <row r="225" spans="1:16" x14ac:dyDescent="0.25">
      <c r="A225" t="s">
        <v>281</v>
      </c>
      <c r="B225" s="2">
        <v>45887</v>
      </c>
      <c r="C225" t="s">
        <v>35</v>
      </c>
      <c r="D225" t="s">
        <v>36</v>
      </c>
      <c r="E225" t="s">
        <v>27</v>
      </c>
      <c r="F225">
        <v>29.7</v>
      </c>
      <c r="G225">
        <v>39</v>
      </c>
      <c r="H225">
        <v>50</v>
      </c>
      <c r="I225">
        <v>5.5</v>
      </c>
      <c r="J225">
        <v>1.88</v>
      </c>
      <c r="K225">
        <v>27.3</v>
      </c>
      <c r="L225">
        <v>24.8</v>
      </c>
      <c r="M225">
        <v>62.2</v>
      </c>
      <c r="N225">
        <v>2.8</v>
      </c>
      <c r="O225">
        <v>176</v>
      </c>
      <c r="P225" t="s">
        <v>33</v>
      </c>
    </row>
    <row r="226" spans="1:16" x14ac:dyDescent="0.25">
      <c r="A226" t="s">
        <v>282</v>
      </c>
      <c r="B226" s="2">
        <v>45772</v>
      </c>
      <c r="C226" t="s">
        <v>77</v>
      </c>
      <c r="D226" t="s">
        <v>39</v>
      </c>
      <c r="E226" t="s">
        <v>27</v>
      </c>
      <c r="F226">
        <v>34.799999999999997</v>
      </c>
      <c r="G226">
        <v>122</v>
      </c>
      <c r="H226">
        <v>3</v>
      </c>
      <c r="I226">
        <v>5.3</v>
      </c>
      <c r="J226">
        <v>0.87</v>
      </c>
      <c r="K226">
        <v>31.6</v>
      </c>
      <c r="L226">
        <v>29</v>
      </c>
      <c r="M226">
        <v>50</v>
      </c>
      <c r="N226">
        <v>2.2000000000000002</v>
      </c>
      <c r="O226">
        <v>177</v>
      </c>
      <c r="P226" t="s">
        <v>33</v>
      </c>
    </row>
    <row r="227" spans="1:16" x14ac:dyDescent="0.25">
      <c r="A227" t="s">
        <v>283</v>
      </c>
      <c r="B227" s="2">
        <v>45699</v>
      </c>
      <c r="C227" t="s">
        <v>30</v>
      </c>
      <c r="D227" t="s">
        <v>31</v>
      </c>
      <c r="E227" t="s">
        <v>43</v>
      </c>
      <c r="F227">
        <v>30.3</v>
      </c>
      <c r="G227">
        <v>72.7</v>
      </c>
      <c r="H227">
        <v>39.6</v>
      </c>
      <c r="I227">
        <v>10.1</v>
      </c>
      <c r="J227">
        <v>0.85</v>
      </c>
      <c r="K227">
        <v>28</v>
      </c>
      <c r="L227">
        <v>20.9</v>
      </c>
      <c r="M227">
        <v>57.8</v>
      </c>
      <c r="N227">
        <v>3.3</v>
      </c>
      <c r="O227">
        <v>168</v>
      </c>
      <c r="P227" t="s">
        <v>33</v>
      </c>
    </row>
    <row r="228" spans="1:16" x14ac:dyDescent="0.25">
      <c r="A228" t="s">
        <v>284</v>
      </c>
      <c r="B228" s="2">
        <v>45753</v>
      </c>
      <c r="C228" t="s">
        <v>17</v>
      </c>
      <c r="D228" t="s">
        <v>18</v>
      </c>
      <c r="E228" t="s">
        <v>27</v>
      </c>
      <c r="F228">
        <v>91.7</v>
      </c>
      <c r="G228">
        <v>126.1</v>
      </c>
      <c r="H228">
        <v>39.9</v>
      </c>
      <c r="I228">
        <v>14.1</v>
      </c>
      <c r="J228">
        <v>0.36</v>
      </c>
      <c r="K228">
        <v>38.1</v>
      </c>
      <c r="L228">
        <v>30.9</v>
      </c>
      <c r="M228">
        <v>88.2</v>
      </c>
      <c r="N228">
        <v>4.3</v>
      </c>
      <c r="O228">
        <v>297</v>
      </c>
      <c r="P228" t="s">
        <v>28</v>
      </c>
    </row>
    <row r="229" spans="1:16" x14ac:dyDescent="0.25">
      <c r="A229" t="s">
        <v>285</v>
      </c>
      <c r="B229" s="2">
        <v>45868</v>
      </c>
      <c r="C229" t="s">
        <v>22</v>
      </c>
      <c r="D229" t="s">
        <v>23</v>
      </c>
      <c r="E229" t="s">
        <v>70</v>
      </c>
      <c r="F229">
        <v>73.599999999999994</v>
      </c>
      <c r="G229">
        <v>206.5</v>
      </c>
      <c r="H229">
        <v>8.6</v>
      </c>
      <c r="I229">
        <v>9.6999999999999993</v>
      </c>
      <c r="J229">
        <v>0.9</v>
      </c>
      <c r="K229">
        <v>21.4</v>
      </c>
      <c r="L229">
        <v>24.8</v>
      </c>
      <c r="M229">
        <v>54.4</v>
      </c>
      <c r="N229">
        <v>1</v>
      </c>
      <c r="O229">
        <v>298</v>
      </c>
      <c r="P229" t="s">
        <v>28</v>
      </c>
    </row>
    <row r="230" spans="1:16" x14ac:dyDescent="0.25">
      <c r="A230" t="s">
        <v>286</v>
      </c>
      <c r="B230" s="2">
        <v>45756</v>
      </c>
      <c r="C230" t="s">
        <v>38</v>
      </c>
      <c r="D230" t="s">
        <v>39</v>
      </c>
      <c r="E230" t="s">
        <v>45</v>
      </c>
      <c r="F230">
        <v>45.6</v>
      </c>
      <c r="G230">
        <v>160.1</v>
      </c>
      <c r="H230">
        <v>16.8</v>
      </c>
      <c r="I230">
        <v>4.7</v>
      </c>
      <c r="J230">
        <v>3.19</v>
      </c>
      <c r="K230">
        <v>43.3</v>
      </c>
      <c r="L230">
        <v>25.4</v>
      </c>
      <c r="M230">
        <v>64.8</v>
      </c>
      <c r="N230">
        <v>1.6</v>
      </c>
      <c r="O230">
        <v>293</v>
      </c>
      <c r="P230" t="s">
        <v>28</v>
      </c>
    </row>
    <row r="231" spans="1:16" x14ac:dyDescent="0.25">
      <c r="A231" t="s">
        <v>287</v>
      </c>
      <c r="B231" s="2">
        <v>45930</v>
      </c>
      <c r="C231" t="s">
        <v>64</v>
      </c>
      <c r="D231" t="s">
        <v>36</v>
      </c>
      <c r="E231" t="s">
        <v>45</v>
      </c>
      <c r="F231">
        <v>49.7</v>
      </c>
      <c r="G231">
        <v>71.400000000000006</v>
      </c>
      <c r="H231">
        <v>31.1</v>
      </c>
      <c r="I231">
        <v>7.8</v>
      </c>
      <c r="J231">
        <v>1.33</v>
      </c>
      <c r="K231">
        <v>19.2</v>
      </c>
      <c r="L231">
        <v>42</v>
      </c>
      <c r="M231">
        <v>55.5</v>
      </c>
      <c r="N231">
        <v>2.8</v>
      </c>
      <c r="O231">
        <v>198</v>
      </c>
      <c r="P231" t="s">
        <v>33</v>
      </c>
    </row>
    <row r="232" spans="1:16" x14ac:dyDescent="0.25">
      <c r="A232" t="s">
        <v>288</v>
      </c>
      <c r="B232" s="2">
        <v>45794</v>
      </c>
      <c r="C232" t="s">
        <v>35</v>
      </c>
      <c r="D232" t="s">
        <v>36</v>
      </c>
      <c r="E232" t="s">
        <v>32</v>
      </c>
      <c r="F232">
        <v>31</v>
      </c>
      <c r="G232">
        <v>85.5</v>
      </c>
      <c r="H232">
        <v>18.600000000000001</v>
      </c>
      <c r="I232">
        <v>38.799999999999997</v>
      </c>
      <c r="J232">
        <v>0.86</v>
      </c>
      <c r="K232">
        <v>59.4</v>
      </c>
      <c r="L232">
        <v>28.7</v>
      </c>
      <c r="M232">
        <v>62.2</v>
      </c>
      <c r="N232">
        <v>2.9</v>
      </c>
      <c r="O232">
        <v>195</v>
      </c>
      <c r="P232" t="s">
        <v>33</v>
      </c>
    </row>
    <row r="233" spans="1:16" x14ac:dyDescent="0.25">
      <c r="A233" t="s">
        <v>289</v>
      </c>
      <c r="B233" s="2">
        <v>45704</v>
      </c>
      <c r="C233" t="s">
        <v>26</v>
      </c>
      <c r="D233" t="s">
        <v>23</v>
      </c>
      <c r="E233" t="s">
        <v>27</v>
      </c>
      <c r="F233">
        <v>76.5</v>
      </c>
      <c r="G233">
        <v>92</v>
      </c>
      <c r="H233">
        <v>17.8</v>
      </c>
      <c r="I233">
        <v>5.4</v>
      </c>
      <c r="J233">
        <v>0.39</v>
      </c>
      <c r="K233">
        <v>22</v>
      </c>
      <c r="L233">
        <v>32</v>
      </c>
      <c r="M233">
        <v>90.9</v>
      </c>
      <c r="N233">
        <v>3</v>
      </c>
      <c r="O233">
        <v>220</v>
      </c>
      <c r="P233" t="s">
        <v>28</v>
      </c>
    </row>
    <row r="234" spans="1:16" x14ac:dyDescent="0.25">
      <c r="A234" t="s">
        <v>290</v>
      </c>
      <c r="B234" s="2">
        <v>45894</v>
      </c>
      <c r="C234" t="s">
        <v>99</v>
      </c>
      <c r="D234" t="s">
        <v>36</v>
      </c>
      <c r="E234" t="s">
        <v>27</v>
      </c>
      <c r="F234">
        <v>27</v>
      </c>
      <c r="G234">
        <v>85.8</v>
      </c>
      <c r="H234">
        <v>27.7</v>
      </c>
      <c r="I234">
        <v>38.4</v>
      </c>
      <c r="J234">
        <v>0.22</v>
      </c>
      <c r="K234">
        <v>22.9</v>
      </c>
      <c r="L234">
        <v>19.2</v>
      </c>
      <c r="M234">
        <v>43.6</v>
      </c>
      <c r="N234">
        <v>3.4</v>
      </c>
      <c r="O234">
        <v>164</v>
      </c>
      <c r="P234" t="s">
        <v>33</v>
      </c>
    </row>
    <row r="235" spans="1:16" x14ac:dyDescent="0.25">
      <c r="A235" t="s">
        <v>291</v>
      </c>
      <c r="B235" s="2">
        <v>45941</v>
      </c>
      <c r="C235" t="s">
        <v>42</v>
      </c>
      <c r="D235" t="s">
        <v>23</v>
      </c>
      <c r="E235" t="s">
        <v>74</v>
      </c>
      <c r="F235">
        <v>61</v>
      </c>
      <c r="G235">
        <v>95.6</v>
      </c>
      <c r="H235">
        <v>20.9</v>
      </c>
      <c r="I235">
        <v>25.8</v>
      </c>
      <c r="J235">
        <v>0.32</v>
      </c>
      <c r="K235">
        <v>39.700000000000003</v>
      </c>
      <c r="L235">
        <v>26.2</v>
      </c>
      <c r="M235">
        <v>52.8</v>
      </c>
      <c r="N235">
        <v>2.5</v>
      </c>
      <c r="O235">
        <v>220</v>
      </c>
      <c r="P235" t="s">
        <v>28</v>
      </c>
    </row>
    <row r="236" spans="1:16" x14ac:dyDescent="0.25">
      <c r="A236" t="s">
        <v>292</v>
      </c>
      <c r="B236" s="2">
        <v>45982</v>
      </c>
      <c r="C236" t="s">
        <v>54</v>
      </c>
      <c r="D236" t="s">
        <v>18</v>
      </c>
      <c r="E236" t="s">
        <v>91</v>
      </c>
      <c r="F236">
        <v>62.4</v>
      </c>
      <c r="G236">
        <v>63.9</v>
      </c>
      <c r="H236">
        <v>13</v>
      </c>
      <c r="I236">
        <v>18.7</v>
      </c>
      <c r="J236">
        <v>0.73</v>
      </c>
      <c r="K236">
        <v>27.3</v>
      </c>
      <c r="L236">
        <v>31.8</v>
      </c>
      <c r="M236">
        <v>47</v>
      </c>
      <c r="N236">
        <v>1.1000000000000001</v>
      </c>
      <c r="O236">
        <v>195</v>
      </c>
      <c r="P236" t="s">
        <v>33</v>
      </c>
    </row>
    <row r="237" spans="1:16" x14ac:dyDescent="0.25">
      <c r="A237" t="s">
        <v>293</v>
      </c>
      <c r="B237" s="2">
        <v>45712</v>
      </c>
      <c r="C237" t="s">
        <v>81</v>
      </c>
      <c r="D237" t="s">
        <v>39</v>
      </c>
      <c r="E237" t="s">
        <v>55</v>
      </c>
      <c r="F237">
        <v>64.7</v>
      </c>
      <c r="G237">
        <v>205.2</v>
      </c>
      <c r="H237">
        <v>6.3</v>
      </c>
      <c r="I237">
        <v>32.700000000000003</v>
      </c>
      <c r="J237">
        <v>1.08</v>
      </c>
      <c r="K237">
        <v>57.6</v>
      </c>
      <c r="L237">
        <v>27.9</v>
      </c>
      <c r="M237">
        <v>65.099999999999994</v>
      </c>
      <c r="N237">
        <v>3.7</v>
      </c>
      <c r="O237">
        <v>318</v>
      </c>
      <c r="P237" t="s">
        <v>20</v>
      </c>
    </row>
    <row r="238" spans="1:16" x14ac:dyDescent="0.25">
      <c r="A238" t="s">
        <v>294</v>
      </c>
      <c r="B238" s="2">
        <v>45952</v>
      </c>
      <c r="C238" t="s">
        <v>99</v>
      </c>
      <c r="D238" t="s">
        <v>36</v>
      </c>
      <c r="E238" t="s">
        <v>97</v>
      </c>
      <c r="F238">
        <v>25.7</v>
      </c>
      <c r="G238">
        <v>94.1</v>
      </c>
      <c r="H238">
        <v>13.9</v>
      </c>
      <c r="I238">
        <v>5.6</v>
      </c>
      <c r="J238">
        <v>0.09</v>
      </c>
      <c r="K238">
        <v>26.8</v>
      </c>
      <c r="L238">
        <v>30.3</v>
      </c>
      <c r="M238">
        <v>70</v>
      </c>
      <c r="N238">
        <v>2.5</v>
      </c>
      <c r="O238">
        <v>132</v>
      </c>
      <c r="P238" t="s">
        <v>33</v>
      </c>
    </row>
    <row r="239" spans="1:16" x14ac:dyDescent="0.25">
      <c r="A239" t="s">
        <v>295</v>
      </c>
      <c r="B239" s="2">
        <v>45689</v>
      </c>
      <c r="C239" t="s">
        <v>93</v>
      </c>
      <c r="D239" t="s">
        <v>36</v>
      </c>
      <c r="E239" t="s">
        <v>91</v>
      </c>
      <c r="F239">
        <v>52.6</v>
      </c>
      <c r="G239">
        <v>177.4</v>
      </c>
      <c r="H239">
        <v>42.7</v>
      </c>
      <c r="I239">
        <v>12.1</v>
      </c>
      <c r="J239">
        <v>0.95</v>
      </c>
      <c r="K239">
        <v>21.9</v>
      </c>
      <c r="L239">
        <v>27.4</v>
      </c>
      <c r="M239">
        <v>46.3</v>
      </c>
      <c r="N239">
        <v>2.2999999999999998</v>
      </c>
      <c r="O239">
        <v>276</v>
      </c>
      <c r="P239" t="s">
        <v>28</v>
      </c>
    </row>
    <row r="240" spans="1:16" x14ac:dyDescent="0.25">
      <c r="A240" t="s">
        <v>296</v>
      </c>
      <c r="B240" s="2">
        <v>45998</v>
      </c>
      <c r="C240" t="s">
        <v>67</v>
      </c>
      <c r="D240" t="s">
        <v>18</v>
      </c>
      <c r="E240" t="s">
        <v>32</v>
      </c>
      <c r="F240">
        <v>16.899999999999999</v>
      </c>
      <c r="G240">
        <v>45.9</v>
      </c>
      <c r="H240">
        <v>13.1</v>
      </c>
      <c r="I240">
        <v>12.9</v>
      </c>
      <c r="J240">
        <v>0.66</v>
      </c>
      <c r="K240">
        <v>18.3</v>
      </c>
      <c r="L240">
        <v>35.9</v>
      </c>
      <c r="M240">
        <v>48.8</v>
      </c>
      <c r="N240">
        <v>1.2</v>
      </c>
      <c r="O240">
        <v>101</v>
      </c>
      <c r="P240" t="s">
        <v>33</v>
      </c>
    </row>
    <row r="241" spans="1:16" x14ac:dyDescent="0.25">
      <c r="A241" t="s">
        <v>297</v>
      </c>
      <c r="B241" s="2">
        <v>45861</v>
      </c>
      <c r="C241" t="s">
        <v>81</v>
      </c>
      <c r="D241" t="s">
        <v>39</v>
      </c>
      <c r="E241" t="s">
        <v>61</v>
      </c>
      <c r="F241">
        <v>58.3</v>
      </c>
      <c r="G241">
        <v>126.6</v>
      </c>
      <c r="H241">
        <v>27.7</v>
      </c>
      <c r="I241">
        <v>10.6</v>
      </c>
      <c r="J241">
        <v>1.08</v>
      </c>
      <c r="K241">
        <v>14.7</v>
      </c>
      <c r="L241">
        <v>21.1</v>
      </c>
      <c r="M241">
        <v>62</v>
      </c>
      <c r="N241">
        <v>2.8</v>
      </c>
      <c r="O241">
        <v>239</v>
      </c>
      <c r="P241" t="s">
        <v>28</v>
      </c>
    </row>
    <row r="242" spans="1:16" x14ac:dyDescent="0.25">
      <c r="A242" t="s">
        <v>298</v>
      </c>
      <c r="B242" s="2">
        <v>45717</v>
      </c>
      <c r="C242" t="s">
        <v>67</v>
      </c>
      <c r="D242" t="s">
        <v>18</v>
      </c>
      <c r="E242" t="s">
        <v>74</v>
      </c>
      <c r="F242">
        <v>44.4</v>
      </c>
      <c r="G242">
        <v>69.3</v>
      </c>
      <c r="H242">
        <v>8.1999999999999993</v>
      </c>
      <c r="I242">
        <v>5.0999999999999996</v>
      </c>
      <c r="J242">
        <v>0.37</v>
      </c>
      <c r="K242">
        <v>34</v>
      </c>
      <c r="L242">
        <v>28.7</v>
      </c>
      <c r="M242">
        <v>70.599999999999994</v>
      </c>
      <c r="N242">
        <v>2.7</v>
      </c>
      <c r="O242">
        <v>151</v>
      </c>
      <c r="P242" t="s">
        <v>33</v>
      </c>
    </row>
    <row r="243" spans="1:16" x14ac:dyDescent="0.25">
      <c r="A243" t="s">
        <v>299</v>
      </c>
      <c r="B243" s="2">
        <v>45943</v>
      </c>
      <c r="C243" t="s">
        <v>30</v>
      </c>
      <c r="D243" t="s">
        <v>31</v>
      </c>
      <c r="E243" t="s">
        <v>43</v>
      </c>
      <c r="F243">
        <v>16.8</v>
      </c>
      <c r="G243">
        <v>52.9</v>
      </c>
      <c r="H243">
        <v>50.2</v>
      </c>
      <c r="I243">
        <v>20</v>
      </c>
      <c r="J243">
        <v>0.35</v>
      </c>
      <c r="K243">
        <v>23</v>
      </c>
      <c r="L243">
        <v>29.6</v>
      </c>
      <c r="M243">
        <v>48.1</v>
      </c>
      <c r="N243">
        <v>2.5</v>
      </c>
      <c r="O243">
        <v>135</v>
      </c>
      <c r="P243" t="s">
        <v>33</v>
      </c>
    </row>
    <row r="244" spans="1:16" x14ac:dyDescent="0.25">
      <c r="A244" t="s">
        <v>300</v>
      </c>
      <c r="B244" s="2">
        <v>45953</v>
      </c>
      <c r="C244" t="s">
        <v>67</v>
      </c>
      <c r="D244" t="s">
        <v>18</v>
      </c>
      <c r="E244" t="s">
        <v>91</v>
      </c>
      <c r="F244">
        <v>64.7</v>
      </c>
      <c r="G244">
        <v>96</v>
      </c>
      <c r="H244">
        <v>26.5</v>
      </c>
      <c r="I244">
        <v>18.2</v>
      </c>
      <c r="J244">
        <v>0.5</v>
      </c>
      <c r="K244">
        <v>45.1</v>
      </c>
      <c r="L244">
        <v>30.1</v>
      </c>
      <c r="M244">
        <v>54.6</v>
      </c>
      <c r="N244">
        <v>1.3</v>
      </c>
      <c r="O244">
        <v>233</v>
      </c>
      <c r="P244" t="s">
        <v>28</v>
      </c>
    </row>
    <row r="245" spans="1:16" x14ac:dyDescent="0.25">
      <c r="A245" t="s">
        <v>301</v>
      </c>
      <c r="B245" s="2">
        <v>45882</v>
      </c>
      <c r="C245" t="s">
        <v>54</v>
      </c>
      <c r="D245" t="s">
        <v>18</v>
      </c>
      <c r="E245" t="s">
        <v>70</v>
      </c>
      <c r="F245">
        <v>39.4</v>
      </c>
      <c r="G245">
        <v>91.2</v>
      </c>
      <c r="H245">
        <v>32.299999999999997</v>
      </c>
      <c r="I245">
        <v>7.4</v>
      </c>
      <c r="J245">
        <v>0.24</v>
      </c>
      <c r="K245">
        <v>23</v>
      </c>
      <c r="L245">
        <v>31.7</v>
      </c>
      <c r="M245">
        <v>48.3</v>
      </c>
      <c r="N245">
        <v>3.6</v>
      </c>
      <c r="O245">
        <v>170</v>
      </c>
      <c r="P245" t="s">
        <v>33</v>
      </c>
    </row>
    <row r="246" spans="1:16" x14ac:dyDescent="0.25">
      <c r="A246" t="s">
        <v>302</v>
      </c>
      <c r="B246" s="2">
        <v>45821</v>
      </c>
      <c r="C246" t="s">
        <v>52</v>
      </c>
      <c r="D246" t="s">
        <v>31</v>
      </c>
      <c r="E246" t="s">
        <v>40</v>
      </c>
      <c r="F246">
        <v>55.2</v>
      </c>
      <c r="G246">
        <v>101.7</v>
      </c>
      <c r="H246">
        <v>41.6</v>
      </c>
      <c r="I246">
        <v>3.4</v>
      </c>
      <c r="J246">
        <v>1.1599999999999999</v>
      </c>
      <c r="K246">
        <v>47.5</v>
      </c>
      <c r="L246">
        <v>30.4</v>
      </c>
      <c r="M246">
        <v>38.200000000000003</v>
      </c>
      <c r="N246">
        <v>1.7</v>
      </c>
      <c r="O246">
        <v>240</v>
      </c>
      <c r="P246" t="s">
        <v>28</v>
      </c>
    </row>
    <row r="247" spans="1:16" x14ac:dyDescent="0.25">
      <c r="A247" t="s">
        <v>303</v>
      </c>
      <c r="B247" s="2">
        <v>45879</v>
      </c>
      <c r="C247" t="s">
        <v>35</v>
      </c>
      <c r="D247" t="s">
        <v>36</v>
      </c>
      <c r="E247" t="s">
        <v>19</v>
      </c>
      <c r="F247">
        <v>40.200000000000003</v>
      </c>
      <c r="G247">
        <v>110.5</v>
      </c>
      <c r="H247">
        <v>63.1</v>
      </c>
      <c r="I247">
        <v>3.2</v>
      </c>
      <c r="J247">
        <v>1.71</v>
      </c>
      <c r="K247">
        <v>61</v>
      </c>
      <c r="L247">
        <v>28.9</v>
      </c>
      <c r="M247">
        <v>56.8</v>
      </c>
      <c r="N247">
        <v>2.7</v>
      </c>
      <c r="O247">
        <v>259</v>
      </c>
      <c r="P247" t="s">
        <v>28</v>
      </c>
    </row>
    <row r="248" spans="1:16" x14ac:dyDescent="0.25">
      <c r="A248" t="s">
        <v>304</v>
      </c>
      <c r="B248" s="2">
        <v>45936</v>
      </c>
      <c r="C248" t="s">
        <v>50</v>
      </c>
      <c r="D248" t="s">
        <v>31</v>
      </c>
      <c r="E248" t="s">
        <v>24</v>
      </c>
      <c r="F248">
        <v>27.8</v>
      </c>
      <c r="G248">
        <v>118.1</v>
      </c>
      <c r="H248">
        <v>25</v>
      </c>
      <c r="I248">
        <v>6.5</v>
      </c>
      <c r="J248">
        <v>0.96</v>
      </c>
      <c r="K248">
        <v>14.4</v>
      </c>
      <c r="L248">
        <v>21.1</v>
      </c>
      <c r="M248">
        <v>32.9</v>
      </c>
      <c r="N248">
        <v>3.4</v>
      </c>
      <c r="O248">
        <v>176</v>
      </c>
      <c r="P248" t="s">
        <v>33</v>
      </c>
    </row>
    <row r="249" spans="1:16" x14ac:dyDescent="0.25">
      <c r="A249" t="s">
        <v>305</v>
      </c>
      <c r="B249" s="2">
        <v>45691</v>
      </c>
      <c r="C249" t="s">
        <v>35</v>
      </c>
      <c r="D249" t="s">
        <v>36</v>
      </c>
      <c r="E249" t="s">
        <v>306</v>
      </c>
      <c r="F249">
        <v>55.6</v>
      </c>
      <c r="G249">
        <v>28.1</v>
      </c>
      <c r="H249">
        <v>11.6</v>
      </c>
      <c r="I249">
        <v>8.1999999999999993</v>
      </c>
      <c r="J249">
        <v>1.18</v>
      </c>
      <c r="K249">
        <v>40.9</v>
      </c>
      <c r="L249">
        <v>29</v>
      </c>
      <c r="M249">
        <v>60.8</v>
      </c>
      <c r="N249">
        <v>1.7</v>
      </c>
      <c r="O249">
        <v>170</v>
      </c>
      <c r="P249" t="s">
        <v>33</v>
      </c>
    </row>
    <row r="250" spans="1:16" x14ac:dyDescent="0.25">
      <c r="A250" t="s">
        <v>307</v>
      </c>
      <c r="B250" s="2">
        <v>45662</v>
      </c>
      <c r="C250" t="s">
        <v>17</v>
      </c>
      <c r="D250" t="s">
        <v>18</v>
      </c>
      <c r="E250" t="s">
        <v>61</v>
      </c>
      <c r="F250">
        <v>17</v>
      </c>
      <c r="G250">
        <v>35</v>
      </c>
      <c r="H250">
        <v>34.200000000000003</v>
      </c>
      <c r="I250">
        <v>17.899999999999999</v>
      </c>
      <c r="J250">
        <v>0.77</v>
      </c>
      <c r="K250">
        <v>13.7</v>
      </c>
      <c r="L250">
        <v>18.399999999999999</v>
      </c>
      <c r="M250">
        <v>59.2</v>
      </c>
      <c r="N250">
        <v>1.9</v>
      </c>
      <c r="O250">
        <v>115</v>
      </c>
      <c r="P250" t="s">
        <v>33</v>
      </c>
    </row>
    <row r="251" spans="1:16" x14ac:dyDescent="0.25">
      <c r="A251" t="s">
        <v>308</v>
      </c>
      <c r="B251" s="2">
        <v>45869</v>
      </c>
      <c r="C251" t="s">
        <v>35</v>
      </c>
      <c r="D251" t="s">
        <v>36</v>
      </c>
      <c r="E251" t="s">
        <v>70</v>
      </c>
      <c r="F251">
        <v>55</v>
      </c>
      <c r="G251">
        <v>143.80000000000001</v>
      </c>
      <c r="H251">
        <v>9.1</v>
      </c>
      <c r="I251">
        <v>8.3000000000000007</v>
      </c>
      <c r="J251">
        <v>0.6</v>
      </c>
      <c r="K251">
        <v>27.3</v>
      </c>
      <c r="L251">
        <v>25.4</v>
      </c>
      <c r="M251">
        <v>70.3</v>
      </c>
      <c r="N251">
        <v>2.8</v>
      </c>
      <c r="O251">
        <v>222</v>
      </c>
      <c r="P251" t="s">
        <v>28</v>
      </c>
    </row>
    <row r="252" spans="1:16" x14ac:dyDescent="0.25">
      <c r="A252" t="s">
        <v>309</v>
      </c>
      <c r="B252" s="2">
        <v>45963</v>
      </c>
      <c r="C252" t="s">
        <v>42</v>
      </c>
      <c r="D252" t="s">
        <v>23</v>
      </c>
      <c r="E252" t="s">
        <v>58</v>
      </c>
      <c r="F252">
        <v>22.1</v>
      </c>
      <c r="G252">
        <v>146.80000000000001</v>
      </c>
      <c r="H252">
        <v>13.3</v>
      </c>
      <c r="I252">
        <v>5</v>
      </c>
      <c r="J252">
        <v>0.46</v>
      </c>
      <c r="K252">
        <v>54.4</v>
      </c>
      <c r="L252">
        <v>28</v>
      </c>
      <c r="M252">
        <v>64.099999999999994</v>
      </c>
      <c r="N252">
        <v>3.3</v>
      </c>
      <c r="O252">
        <v>181</v>
      </c>
      <c r="P252" t="s">
        <v>33</v>
      </c>
    </row>
    <row r="253" spans="1:16" x14ac:dyDescent="0.25">
      <c r="A253" t="s">
        <v>310</v>
      </c>
      <c r="B253" s="2">
        <v>45845</v>
      </c>
      <c r="C253" t="s">
        <v>42</v>
      </c>
      <c r="D253" t="s">
        <v>23</v>
      </c>
      <c r="E253" t="s">
        <v>61</v>
      </c>
      <c r="F253">
        <v>55.9</v>
      </c>
      <c r="G253">
        <v>50.4</v>
      </c>
      <c r="H253">
        <v>19.399999999999999</v>
      </c>
      <c r="I253">
        <v>4.9000000000000004</v>
      </c>
      <c r="J253">
        <v>1.67</v>
      </c>
      <c r="K253">
        <v>39.700000000000003</v>
      </c>
      <c r="L253">
        <v>13.3</v>
      </c>
      <c r="M253">
        <v>48.9</v>
      </c>
      <c r="N253">
        <v>3.4</v>
      </c>
      <c r="O253">
        <v>201</v>
      </c>
      <c r="P253" t="s">
        <v>28</v>
      </c>
    </row>
    <row r="254" spans="1:16" x14ac:dyDescent="0.25">
      <c r="A254" t="s">
        <v>311</v>
      </c>
      <c r="B254" s="2">
        <v>45665</v>
      </c>
      <c r="C254" t="s">
        <v>38</v>
      </c>
      <c r="D254" t="s">
        <v>39</v>
      </c>
      <c r="E254" t="s">
        <v>97</v>
      </c>
      <c r="F254">
        <v>26.8</v>
      </c>
      <c r="G254">
        <v>19.2</v>
      </c>
      <c r="H254">
        <v>11.9</v>
      </c>
      <c r="I254">
        <v>7.4</v>
      </c>
      <c r="J254">
        <v>0.56000000000000005</v>
      </c>
      <c r="K254">
        <v>38.200000000000003</v>
      </c>
      <c r="L254">
        <v>35.200000000000003</v>
      </c>
      <c r="M254">
        <v>59</v>
      </c>
      <c r="N254">
        <v>1</v>
      </c>
      <c r="O254">
        <v>101</v>
      </c>
      <c r="P254" t="s">
        <v>33</v>
      </c>
    </row>
    <row r="255" spans="1:16" x14ac:dyDescent="0.25">
      <c r="A255" t="s">
        <v>312</v>
      </c>
      <c r="B255" s="2">
        <v>45663</v>
      </c>
      <c r="C255" t="s">
        <v>30</v>
      </c>
      <c r="D255" t="s">
        <v>31</v>
      </c>
      <c r="E255" t="s">
        <v>68</v>
      </c>
      <c r="F255">
        <v>56.1</v>
      </c>
      <c r="G255">
        <v>102.9</v>
      </c>
      <c r="H255">
        <v>29.8</v>
      </c>
      <c r="I255">
        <v>4.8</v>
      </c>
      <c r="J255">
        <v>0.67</v>
      </c>
      <c r="K255">
        <v>81.2</v>
      </c>
      <c r="L255">
        <v>19.3</v>
      </c>
      <c r="M255">
        <v>52.1</v>
      </c>
      <c r="N255">
        <v>3</v>
      </c>
      <c r="O255">
        <v>237</v>
      </c>
      <c r="P255" t="s">
        <v>28</v>
      </c>
    </row>
    <row r="256" spans="1:16" x14ac:dyDescent="0.25">
      <c r="A256" t="s">
        <v>313</v>
      </c>
      <c r="B256" s="2">
        <v>45879</v>
      </c>
      <c r="C256" t="s">
        <v>64</v>
      </c>
      <c r="D256" t="s">
        <v>36</v>
      </c>
      <c r="E256" t="s">
        <v>91</v>
      </c>
      <c r="F256">
        <v>71.900000000000006</v>
      </c>
      <c r="G256">
        <v>78.900000000000006</v>
      </c>
      <c r="H256">
        <v>34</v>
      </c>
      <c r="I256">
        <v>3.8</v>
      </c>
      <c r="J256">
        <v>0.19</v>
      </c>
      <c r="K256">
        <v>22</v>
      </c>
      <c r="L256">
        <v>22.2</v>
      </c>
      <c r="M256">
        <v>57.1</v>
      </c>
      <c r="N256">
        <v>2.7</v>
      </c>
      <c r="O256">
        <v>211</v>
      </c>
      <c r="P256" t="s">
        <v>28</v>
      </c>
    </row>
    <row r="257" spans="1:16" x14ac:dyDescent="0.25">
      <c r="A257" t="s">
        <v>314</v>
      </c>
      <c r="B257" s="2">
        <v>45937</v>
      </c>
      <c r="C257" t="s">
        <v>17</v>
      </c>
      <c r="D257" t="s">
        <v>18</v>
      </c>
      <c r="E257" t="s">
        <v>32</v>
      </c>
      <c r="F257">
        <v>18.2</v>
      </c>
      <c r="G257">
        <v>94.9</v>
      </c>
      <c r="H257">
        <v>30.1</v>
      </c>
      <c r="I257">
        <v>7.5</v>
      </c>
      <c r="J257">
        <v>1.17</v>
      </c>
      <c r="K257">
        <v>36.9</v>
      </c>
      <c r="L257">
        <v>29.4</v>
      </c>
      <c r="M257">
        <v>50</v>
      </c>
      <c r="N257">
        <v>0.6</v>
      </c>
      <c r="O257">
        <v>166</v>
      </c>
      <c r="P257" t="s">
        <v>33</v>
      </c>
    </row>
    <row r="258" spans="1:16" x14ac:dyDescent="0.25">
      <c r="A258" t="s">
        <v>315</v>
      </c>
      <c r="B258" s="2">
        <v>45853</v>
      </c>
      <c r="C258" t="s">
        <v>64</v>
      </c>
      <c r="D258" t="s">
        <v>36</v>
      </c>
      <c r="E258" t="s">
        <v>24</v>
      </c>
      <c r="F258">
        <v>15.1</v>
      </c>
      <c r="G258">
        <v>35.299999999999997</v>
      </c>
      <c r="H258">
        <v>31.7</v>
      </c>
      <c r="I258">
        <v>7.6</v>
      </c>
      <c r="J258">
        <v>1.35</v>
      </c>
      <c r="K258">
        <v>32.5</v>
      </c>
      <c r="L258">
        <v>29.9</v>
      </c>
      <c r="M258">
        <v>61.3</v>
      </c>
      <c r="N258">
        <v>1.1000000000000001</v>
      </c>
      <c r="O258">
        <v>126</v>
      </c>
      <c r="P258" t="s">
        <v>33</v>
      </c>
    </row>
    <row r="259" spans="1:16" x14ac:dyDescent="0.25">
      <c r="A259" t="s">
        <v>316</v>
      </c>
      <c r="B259" s="2">
        <v>45738</v>
      </c>
      <c r="C259" t="s">
        <v>38</v>
      </c>
      <c r="D259" t="s">
        <v>39</v>
      </c>
      <c r="E259" t="s">
        <v>70</v>
      </c>
      <c r="F259">
        <v>59.6</v>
      </c>
      <c r="G259">
        <v>105.2</v>
      </c>
      <c r="H259">
        <v>8.1</v>
      </c>
      <c r="I259">
        <v>2.8</v>
      </c>
      <c r="J259">
        <v>0.46</v>
      </c>
      <c r="K259">
        <v>40.5</v>
      </c>
      <c r="L259">
        <v>30.4</v>
      </c>
      <c r="M259">
        <v>70.099999999999994</v>
      </c>
      <c r="N259">
        <v>2.1</v>
      </c>
      <c r="O259">
        <v>202</v>
      </c>
      <c r="P259" t="s">
        <v>28</v>
      </c>
    </row>
    <row r="260" spans="1:16" x14ac:dyDescent="0.25">
      <c r="A260" t="s">
        <v>317</v>
      </c>
      <c r="B260" s="2">
        <v>45753</v>
      </c>
      <c r="C260" t="s">
        <v>35</v>
      </c>
      <c r="D260" t="s">
        <v>36</v>
      </c>
      <c r="E260" t="s">
        <v>19</v>
      </c>
      <c r="F260">
        <v>42.3</v>
      </c>
      <c r="G260">
        <v>149.5</v>
      </c>
      <c r="H260">
        <v>21.6</v>
      </c>
      <c r="I260">
        <v>23.8</v>
      </c>
      <c r="J260">
        <v>0.79</v>
      </c>
      <c r="K260">
        <v>17.8</v>
      </c>
      <c r="L260">
        <v>25.6</v>
      </c>
      <c r="M260">
        <v>63.2</v>
      </c>
      <c r="N260">
        <v>2.6</v>
      </c>
      <c r="O260">
        <v>227</v>
      </c>
      <c r="P260" t="s">
        <v>28</v>
      </c>
    </row>
    <row r="261" spans="1:16" x14ac:dyDescent="0.25">
      <c r="A261" t="s">
        <v>318</v>
      </c>
      <c r="B261" s="2">
        <v>45827</v>
      </c>
      <c r="C261" t="s">
        <v>81</v>
      </c>
      <c r="D261" t="s">
        <v>39</v>
      </c>
      <c r="E261" t="s">
        <v>91</v>
      </c>
      <c r="F261">
        <v>27.8</v>
      </c>
      <c r="G261">
        <v>143.19999999999999</v>
      </c>
      <c r="H261">
        <v>18.600000000000001</v>
      </c>
      <c r="I261">
        <v>15.4</v>
      </c>
      <c r="J261">
        <v>0.28999999999999998</v>
      </c>
      <c r="K261">
        <v>28.7</v>
      </c>
      <c r="L261">
        <v>20</v>
      </c>
      <c r="M261">
        <v>53.1</v>
      </c>
      <c r="N261">
        <v>4</v>
      </c>
      <c r="O261">
        <v>183</v>
      </c>
      <c r="P261" t="s">
        <v>33</v>
      </c>
    </row>
    <row r="262" spans="1:16" x14ac:dyDescent="0.25">
      <c r="A262" t="s">
        <v>319</v>
      </c>
      <c r="B262" s="2">
        <v>45708</v>
      </c>
      <c r="C262" t="s">
        <v>93</v>
      </c>
      <c r="D262" t="s">
        <v>36</v>
      </c>
      <c r="E262" t="s">
        <v>58</v>
      </c>
      <c r="F262">
        <v>52.3</v>
      </c>
      <c r="G262">
        <v>141.1</v>
      </c>
      <c r="H262">
        <v>40.299999999999997</v>
      </c>
      <c r="I262">
        <v>26.3</v>
      </c>
      <c r="J262">
        <v>1.08</v>
      </c>
      <c r="K262">
        <v>48.1</v>
      </c>
      <c r="L262">
        <v>28</v>
      </c>
      <c r="M262">
        <v>67.400000000000006</v>
      </c>
      <c r="N262">
        <v>2.9</v>
      </c>
      <c r="O262">
        <v>275</v>
      </c>
      <c r="P262" t="s">
        <v>28</v>
      </c>
    </row>
    <row r="263" spans="1:16" x14ac:dyDescent="0.25">
      <c r="A263" t="s">
        <v>320</v>
      </c>
      <c r="B263" s="2">
        <v>45824</v>
      </c>
      <c r="C263" t="s">
        <v>67</v>
      </c>
      <c r="D263" t="s">
        <v>18</v>
      </c>
      <c r="E263" t="s">
        <v>74</v>
      </c>
      <c r="F263">
        <v>29.2</v>
      </c>
      <c r="G263">
        <v>63.7</v>
      </c>
      <c r="H263">
        <v>19.8</v>
      </c>
      <c r="I263">
        <v>7.2</v>
      </c>
      <c r="J263">
        <v>0.17</v>
      </c>
      <c r="K263">
        <v>50.5</v>
      </c>
      <c r="L263">
        <v>24.5</v>
      </c>
      <c r="M263">
        <v>46.3</v>
      </c>
      <c r="N263">
        <v>3.1</v>
      </c>
      <c r="O263">
        <v>136</v>
      </c>
      <c r="P263" t="s">
        <v>33</v>
      </c>
    </row>
    <row r="264" spans="1:16" x14ac:dyDescent="0.25">
      <c r="A264" t="s">
        <v>321</v>
      </c>
      <c r="B264" s="2">
        <v>45715</v>
      </c>
      <c r="C264" t="s">
        <v>54</v>
      </c>
      <c r="D264" t="s">
        <v>18</v>
      </c>
      <c r="E264" t="s">
        <v>40</v>
      </c>
      <c r="F264">
        <v>20.8</v>
      </c>
      <c r="G264">
        <v>153.1</v>
      </c>
      <c r="H264">
        <v>24.2</v>
      </c>
      <c r="I264">
        <v>25.1</v>
      </c>
      <c r="J264">
        <v>0.94</v>
      </c>
      <c r="K264">
        <v>4.3</v>
      </c>
      <c r="L264">
        <v>22.4</v>
      </c>
      <c r="M264">
        <v>77</v>
      </c>
      <c r="N264">
        <v>2.2000000000000002</v>
      </c>
      <c r="O264">
        <v>195</v>
      </c>
      <c r="P264" t="s">
        <v>33</v>
      </c>
    </row>
    <row r="265" spans="1:16" x14ac:dyDescent="0.25">
      <c r="A265" t="s">
        <v>322</v>
      </c>
      <c r="B265" s="2">
        <v>45906</v>
      </c>
      <c r="C265" t="s">
        <v>52</v>
      </c>
      <c r="D265" t="s">
        <v>31</v>
      </c>
      <c r="E265" t="s">
        <v>24</v>
      </c>
      <c r="F265">
        <v>10.3</v>
      </c>
      <c r="G265">
        <v>43.2</v>
      </c>
      <c r="H265">
        <v>19.3</v>
      </c>
      <c r="I265">
        <v>10.3</v>
      </c>
      <c r="J265">
        <v>0.3</v>
      </c>
      <c r="K265">
        <v>74.400000000000006</v>
      </c>
      <c r="L265">
        <v>28.2</v>
      </c>
      <c r="M265">
        <v>73.2</v>
      </c>
      <c r="N265">
        <v>2.7</v>
      </c>
      <c r="O265">
        <v>108</v>
      </c>
      <c r="P265" t="s">
        <v>33</v>
      </c>
    </row>
    <row r="266" spans="1:16" x14ac:dyDescent="0.25">
      <c r="A266" t="s">
        <v>323</v>
      </c>
      <c r="B266" s="2">
        <v>45924</v>
      </c>
      <c r="C266" t="s">
        <v>81</v>
      </c>
      <c r="D266" t="s">
        <v>39</v>
      </c>
      <c r="E266" t="s">
        <v>74</v>
      </c>
      <c r="F266">
        <v>79.3</v>
      </c>
      <c r="G266">
        <v>61.9</v>
      </c>
      <c r="H266">
        <v>8.9</v>
      </c>
      <c r="I266">
        <v>16.600000000000001</v>
      </c>
      <c r="J266">
        <v>0.15</v>
      </c>
      <c r="K266">
        <v>52.4</v>
      </c>
      <c r="L266">
        <v>29.5</v>
      </c>
      <c r="M266">
        <v>78.900000000000006</v>
      </c>
      <c r="N266">
        <v>3.4</v>
      </c>
      <c r="O266">
        <v>213</v>
      </c>
      <c r="P266" t="s">
        <v>28</v>
      </c>
    </row>
    <row r="267" spans="1:16" x14ac:dyDescent="0.25">
      <c r="A267" t="s">
        <v>324</v>
      </c>
      <c r="B267" s="2">
        <v>45972</v>
      </c>
      <c r="C267" t="s">
        <v>52</v>
      </c>
      <c r="D267" t="s">
        <v>31</v>
      </c>
      <c r="E267" t="s">
        <v>74</v>
      </c>
      <c r="F267">
        <v>86.3</v>
      </c>
      <c r="G267">
        <v>39.5</v>
      </c>
      <c r="H267">
        <v>11.7</v>
      </c>
      <c r="I267">
        <v>2.8</v>
      </c>
      <c r="J267">
        <v>2.4300000000000002</v>
      </c>
      <c r="K267">
        <v>37.799999999999997</v>
      </c>
      <c r="L267">
        <v>32.6</v>
      </c>
      <c r="M267">
        <v>52.7</v>
      </c>
      <c r="N267">
        <v>2</v>
      </c>
      <c r="O267">
        <v>253</v>
      </c>
      <c r="P267" t="s">
        <v>28</v>
      </c>
    </row>
    <row r="268" spans="1:16" x14ac:dyDescent="0.25">
      <c r="A268" t="s">
        <v>325</v>
      </c>
      <c r="B268" s="2">
        <v>45732</v>
      </c>
      <c r="C268" t="s">
        <v>38</v>
      </c>
      <c r="D268" t="s">
        <v>39</v>
      </c>
      <c r="E268" t="s">
        <v>58</v>
      </c>
      <c r="F268">
        <v>80.099999999999994</v>
      </c>
      <c r="G268">
        <v>47.2</v>
      </c>
      <c r="H268">
        <v>12.8</v>
      </c>
      <c r="I268">
        <v>7.2</v>
      </c>
      <c r="J268">
        <v>0.49</v>
      </c>
      <c r="K268">
        <v>65.400000000000006</v>
      </c>
      <c r="L268">
        <v>19</v>
      </c>
      <c r="M268">
        <v>56.5</v>
      </c>
      <c r="N268">
        <v>1.6</v>
      </c>
      <c r="O268">
        <v>216</v>
      </c>
      <c r="P268" t="s">
        <v>28</v>
      </c>
    </row>
    <row r="269" spans="1:16" x14ac:dyDescent="0.25">
      <c r="A269" t="s">
        <v>326</v>
      </c>
      <c r="B269" s="2">
        <v>45942</v>
      </c>
      <c r="C269" t="s">
        <v>54</v>
      </c>
      <c r="D269" t="s">
        <v>18</v>
      </c>
      <c r="E269" t="s">
        <v>24</v>
      </c>
      <c r="F269">
        <v>73.2</v>
      </c>
      <c r="G269">
        <v>25.1</v>
      </c>
      <c r="H269">
        <v>23.7</v>
      </c>
      <c r="I269">
        <v>13.9</v>
      </c>
      <c r="J269">
        <v>0.45</v>
      </c>
      <c r="K269">
        <v>30.4</v>
      </c>
      <c r="L269">
        <v>27.5</v>
      </c>
      <c r="M269">
        <v>48.1</v>
      </c>
      <c r="N269">
        <v>2.2000000000000002</v>
      </c>
      <c r="O269">
        <v>187</v>
      </c>
      <c r="P269" t="s">
        <v>33</v>
      </c>
    </row>
    <row r="270" spans="1:16" x14ac:dyDescent="0.25">
      <c r="A270" t="s">
        <v>327</v>
      </c>
      <c r="B270" s="2">
        <v>45958</v>
      </c>
      <c r="C270" t="s">
        <v>42</v>
      </c>
      <c r="D270" t="s">
        <v>23</v>
      </c>
      <c r="E270" t="s">
        <v>68</v>
      </c>
      <c r="F270">
        <v>39.200000000000003</v>
      </c>
      <c r="G270">
        <v>68.3</v>
      </c>
      <c r="H270">
        <v>66.400000000000006</v>
      </c>
      <c r="I270">
        <v>12.8</v>
      </c>
      <c r="J270">
        <v>0.41</v>
      </c>
      <c r="K270">
        <v>29.1</v>
      </c>
      <c r="L270">
        <v>26.4</v>
      </c>
      <c r="M270">
        <v>69.5</v>
      </c>
      <c r="N270">
        <v>1.7</v>
      </c>
      <c r="O270">
        <v>193</v>
      </c>
      <c r="P270" t="s">
        <v>33</v>
      </c>
    </row>
    <row r="271" spans="1:16" x14ac:dyDescent="0.25">
      <c r="A271" t="s">
        <v>328</v>
      </c>
      <c r="B271" s="2">
        <v>45735</v>
      </c>
      <c r="C271" t="s">
        <v>93</v>
      </c>
      <c r="D271" t="s">
        <v>36</v>
      </c>
      <c r="E271" t="s">
        <v>58</v>
      </c>
      <c r="F271">
        <v>114.3</v>
      </c>
      <c r="G271">
        <v>61.9</v>
      </c>
      <c r="H271">
        <v>22.2</v>
      </c>
      <c r="I271">
        <v>16.3</v>
      </c>
      <c r="J271">
        <v>0.63</v>
      </c>
      <c r="K271">
        <v>31.7</v>
      </c>
      <c r="L271">
        <v>30.3</v>
      </c>
      <c r="M271">
        <v>64.3</v>
      </c>
      <c r="N271">
        <v>0.8</v>
      </c>
      <c r="O271">
        <v>282</v>
      </c>
      <c r="P271" t="s">
        <v>28</v>
      </c>
    </row>
    <row r="272" spans="1:16" x14ac:dyDescent="0.25">
      <c r="A272" t="s">
        <v>329</v>
      </c>
      <c r="B272" s="2">
        <v>45981</v>
      </c>
      <c r="C272" t="s">
        <v>38</v>
      </c>
      <c r="D272" t="s">
        <v>39</v>
      </c>
      <c r="E272" t="s">
        <v>74</v>
      </c>
      <c r="F272">
        <v>31.5</v>
      </c>
      <c r="G272">
        <v>74</v>
      </c>
      <c r="H272">
        <v>46.6</v>
      </c>
      <c r="I272">
        <v>34.799999999999997</v>
      </c>
      <c r="J272">
        <v>1.2</v>
      </c>
      <c r="K272">
        <v>33.799999999999997</v>
      </c>
      <c r="L272">
        <v>25.5</v>
      </c>
      <c r="M272">
        <v>62.4</v>
      </c>
      <c r="N272">
        <v>0.7</v>
      </c>
      <c r="O272">
        <v>205</v>
      </c>
      <c r="P272" t="s">
        <v>28</v>
      </c>
    </row>
    <row r="273" spans="1:16" x14ac:dyDescent="0.25">
      <c r="A273" t="s">
        <v>330</v>
      </c>
      <c r="B273" s="2">
        <v>45741</v>
      </c>
      <c r="C273" t="s">
        <v>30</v>
      </c>
      <c r="D273" t="s">
        <v>31</v>
      </c>
      <c r="E273" t="s">
        <v>74</v>
      </c>
      <c r="F273">
        <v>74.2</v>
      </c>
      <c r="G273">
        <v>64.900000000000006</v>
      </c>
      <c r="H273">
        <v>36</v>
      </c>
      <c r="I273">
        <v>17.399999999999999</v>
      </c>
      <c r="J273">
        <v>0.35</v>
      </c>
      <c r="K273">
        <v>35.799999999999997</v>
      </c>
      <c r="L273">
        <v>13.1</v>
      </c>
      <c r="M273">
        <v>63.6</v>
      </c>
      <c r="N273">
        <v>3.4</v>
      </c>
      <c r="O273">
        <v>227</v>
      </c>
      <c r="P273" t="s">
        <v>28</v>
      </c>
    </row>
    <row r="274" spans="1:16" x14ac:dyDescent="0.25">
      <c r="A274" t="s">
        <v>331</v>
      </c>
      <c r="B274" s="2">
        <v>45762</v>
      </c>
      <c r="C274" t="s">
        <v>52</v>
      </c>
      <c r="D274" t="s">
        <v>31</v>
      </c>
      <c r="E274" t="s">
        <v>70</v>
      </c>
      <c r="F274">
        <v>64.900000000000006</v>
      </c>
      <c r="G274">
        <v>88.9</v>
      </c>
      <c r="H274">
        <v>50.3</v>
      </c>
      <c r="I274">
        <v>13.8</v>
      </c>
      <c r="J274">
        <v>0.68</v>
      </c>
      <c r="K274">
        <v>19.100000000000001</v>
      </c>
      <c r="L274">
        <v>20.399999999999999</v>
      </c>
      <c r="M274">
        <v>57.6</v>
      </c>
      <c r="N274">
        <v>1</v>
      </c>
      <c r="O274">
        <v>237</v>
      </c>
      <c r="P274" t="s">
        <v>28</v>
      </c>
    </row>
    <row r="275" spans="1:16" x14ac:dyDescent="0.25">
      <c r="A275" t="s">
        <v>332</v>
      </c>
      <c r="B275" s="2">
        <v>45814</v>
      </c>
      <c r="C275" t="s">
        <v>52</v>
      </c>
      <c r="D275" t="s">
        <v>31</v>
      </c>
      <c r="E275" t="s">
        <v>55</v>
      </c>
      <c r="F275">
        <v>40.1</v>
      </c>
      <c r="G275">
        <v>241.9</v>
      </c>
      <c r="H275">
        <v>23.5</v>
      </c>
      <c r="I275">
        <v>19.899999999999999</v>
      </c>
      <c r="J275">
        <v>1.41</v>
      </c>
      <c r="K275">
        <v>14.4</v>
      </c>
      <c r="L275">
        <v>24</v>
      </c>
      <c r="M275">
        <v>54.2</v>
      </c>
      <c r="N275">
        <v>1.6</v>
      </c>
      <c r="O275">
        <v>296</v>
      </c>
      <c r="P275" t="s">
        <v>28</v>
      </c>
    </row>
    <row r="276" spans="1:16" x14ac:dyDescent="0.25">
      <c r="A276" t="s">
        <v>333</v>
      </c>
      <c r="B276" s="2">
        <v>45955</v>
      </c>
      <c r="C276" t="s">
        <v>67</v>
      </c>
      <c r="D276" t="s">
        <v>18</v>
      </c>
      <c r="E276" t="s">
        <v>27</v>
      </c>
      <c r="F276">
        <v>106</v>
      </c>
      <c r="G276">
        <v>48</v>
      </c>
      <c r="H276">
        <v>27.1</v>
      </c>
      <c r="I276">
        <v>20.2</v>
      </c>
      <c r="J276">
        <v>1.1399999999999999</v>
      </c>
      <c r="K276">
        <v>43.8</v>
      </c>
      <c r="L276">
        <v>22.9</v>
      </c>
      <c r="M276">
        <v>30.2</v>
      </c>
      <c r="N276">
        <v>1.7</v>
      </c>
      <c r="O276">
        <v>285</v>
      </c>
      <c r="P276" t="s">
        <v>28</v>
      </c>
    </row>
    <row r="277" spans="1:16" x14ac:dyDescent="0.25">
      <c r="A277" t="s">
        <v>334</v>
      </c>
      <c r="B277" s="2">
        <v>45791</v>
      </c>
      <c r="C277" t="s">
        <v>17</v>
      </c>
      <c r="D277" t="s">
        <v>18</v>
      </c>
      <c r="E277" t="s">
        <v>97</v>
      </c>
      <c r="F277">
        <v>87.8</v>
      </c>
      <c r="G277">
        <v>123.4</v>
      </c>
      <c r="H277">
        <v>14</v>
      </c>
      <c r="I277">
        <v>6.7</v>
      </c>
      <c r="J277">
        <v>0.7</v>
      </c>
      <c r="K277">
        <v>34.6</v>
      </c>
      <c r="L277">
        <v>23.3</v>
      </c>
      <c r="M277">
        <v>64.8</v>
      </c>
      <c r="N277">
        <v>1.4</v>
      </c>
      <c r="O277">
        <v>270</v>
      </c>
      <c r="P277" t="s">
        <v>28</v>
      </c>
    </row>
    <row r="278" spans="1:16" x14ac:dyDescent="0.25">
      <c r="A278" t="s">
        <v>335</v>
      </c>
      <c r="B278" s="2">
        <v>45952</v>
      </c>
      <c r="C278" t="s">
        <v>54</v>
      </c>
      <c r="D278" t="s">
        <v>18</v>
      </c>
      <c r="E278" t="s">
        <v>61</v>
      </c>
      <c r="F278">
        <v>65.400000000000006</v>
      </c>
      <c r="G278">
        <v>57.4</v>
      </c>
      <c r="H278">
        <v>35.799999999999997</v>
      </c>
      <c r="I278">
        <v>19.5</v>
      </c>
      <c r="J278">
        <v>0.16</v>
      </c>
      <c r="K278">
        <v>19.7</v>
      </c>
      <c r="L278">
        <v>27.3</v>
      </c>
      <c r="M278">
        <v>71</v>
      </c>
      <c r="N278">
        <v>0.8</v>
      </c>
      <c r="O278">
        <v>197</v>
      </c>
      <c r="P278" t="s">
        <v>33</v>
      </c>
    </row>
    <row r="279" spans="1:16" x14ac:dyDescent="0.25">
      <c r="A279" t="s">
        <v>336</v>
      </c>
      <c r="B279" s="2">
        <v>45920</v>
      </c>
      <c r="C279" t="s">
        <v>35</v>
      </c>
      <c r="D279" t="s">
        <v>36</v>
      </c>
      <c r="E279" t="s">
        <v>24</v>
      </c>
      <c r="F279">
        <v>48.1</v>
      </c>
      <c r="G279">
        <v>36.299999999999997</v>
      </c>
      <c r="H279">
        <v>33.1</v>
      </c>
      <c r="I279">
        <v>4.5</v>
      </c>
      <c r="J279">
        <v>0.42</v>
      </c>
      <c r="K279">
        <v>44.5</v>
      </c>
      <c r="L279">
        <v>28</v>
      </c>
      <c r="M279">
        <v>45</v>
      </c>
      <c r="N279">
        <v>2.8</v>
      </c>
      <c r="O279">
        <v>161</v>
      </c>
      <c r="P279" t="s">
        <v>33</v>
      </c>
    </row>
    <row r="280" spans="1:16" x14ac:dyDescent="0.25">
      <c r="A280" t="s">
        <v>337</v>
      </c>
      <c r="B280" s="2">
        <v>45870</v>
      </c>
      <c r="C280" t="s">
        <v>52</v>
      </c>
      <c r="D280" t="s">
        <v>31</v>
      </c>
      <c r="E280" t="s">
        <v>27</v>
      </c>
      <c r="F280">
        <v>30.3</v>
      </c>
      <c r="G280">
        <v>50.5</v>
      </c>
      <c r="H280">
        <v>22.6</v>
      </c>
      <c r="I280">
        <v>0.8</v>
      </c>
      <c r="J280">
        <v>0.25</v>
      </c>
      <c r="K280">
        <v>7.3</v>
      </c>
      <c r="L280">
        <v>26.4</v>
      </c>
      <c r="M280">
        <v>77.3</v>
      </c>
      <c r="N280">
        <v>2.4</v>
      </c>
      <c r="O280">
        <v>109</v>
      </c>
      <c r="P280" t="s">
        <v>33</v>
      </c>
    </row>
    <row r="281" spans="1:16" x14ac:dyDescent="0.25">
      <c r="A281" t="s">
        <v>338</v>
      </c>
      <c r="B281" s="2">
        <v>45857</v>
      </c>
      <c r="C281" t="s">
        <v>52</v>
      </c>
      <c r="D281" t="s">
        <v>31</v>
      </c>
      <c r="E281" t="s">
        <v>45</v>
      </c>
      <c r="F281">
        <v>34.1</v>
      </c>
      <c r="G281">
        <v>36.4</v>
      </c>
      <c r="H281">
        <v>47</v>
      </c>
      <c r="I281">
        <v>17.899999999999999</v>
      </c>
      <c r="J281">
        <v>0.3</v>
      </c>
      <c r="K281">
        <v>12</v>
      </c>
      <c r="L281">
        <v>28</v>
      </c>
      <c r="M281">
        <v>47.2</v>
      </c>
      <c r="N281">
        <v>2.7</v>
      </c>
      <c r="O281">
        <v>141</v>
      </c>
      <c r="P281" t="s">
        <v>33</v>
      </c>
    </row>
    <row r="282" spans="1:16" x14ac:dyDescent="0.25">
      <c r="A282" t="s">
        <v>339</v>
      </c>
      <c r="B282" s="2">
        <v>45838</v>
      </c>
      <c r="C282" t="s">
        <v>77</v>
      </c>
      <c r="D282" t="s">
        <v>39</v>
      </c>
      <c r="E282" t="s">
        <v>32</v>
      </c>
      <c r="F282">
        <v>16</v>
      </c>
      <c r="G282">
        <v>54.3</v>
      </c>
      <c r="H282">
        <v>50</v>
      </c>
      <c r="I282">
        <v>14.6</v>
      </c>
      <c r="J282">
        <v>1.1299999999999999</v>
      </c>
      <c r="K282">
        <v>38.200000000000003</v>
      </c>
      <c r="L282">
        <v>27</v>
      </c>
      <c r="M282">
        <v>53.5</v>
      </c>
      <c r="N282">
        <v>3.1</v>
      </c>
      <c r="O282">
        <v>157</v>
      </c>
      <c r="P282" t="s">
        <v>33</v>
      </c>
    </row>
    <row r="283" spans="1:16" x14ac:dyDescent="0.25">
      <c r="A283" t="s">
        <v>340</v>
      </c>
      <c r="B283" s="2">
        <v>45822</v>
      </c>
      <c r="C283" t="s">
        <v>77</v>
      </c>
      <c r="D283" t="s">
        <v>39</v>
      </c>
      <c r="E283" t="s">
        <v>40</v>
      </c>
      <c r="F283">
        <v>11.3</v>
      </c>
      <c r="G283">
        <v>32.4</v>
      </c>
      <c r="H283">
        <v>20</v>
      </c>
      <c r="I283">
        <v>6.1</v>
      </c>
      <c r="J283">
        <v>0.62</v>
      </c>
      <c r="K283">
        <v>51.3</v>
      </c>
      <c r="L283">
        <v>26.1</v>
      </c>
      <c r="M283">
        <v>35.799999999999997</v>
      </c>
      <c r="N283">
        <v>3</v>
      </c>
      <c r="O283">
        <v>98</v>
      </c>
      <c r="P283" t="s">
        <v>71</v>
      </c>
    </row>
    <row r="284" spans="1:16" x14ac:dyDescent="0.25">
      <c r="A284" t="s">
        <v>341</v>
      </c>
      <c r="B284" s="2">
        <v>45769</v>
      </c>
      <c r="C284" t="s">
        <v>81</v>
      </c>
      <c r="D284" t="s">
        <v>39</v>
      </c>
      <c r="E284" t="s">
        <v>91</v>
      </c>
      <c r="F284">
        <v>25.4</v>
      </c>
      <c r="G284">
        <v>102</v>
      </c>
      <c r="H284">
        <v>32.1</v>
      </c>
      <c r="I284">
        <v>18.8</v>
      </c>
      <c r="J284">
        <v>1.59</v>
      </c>
      <c r="K284">
        <v>39.799999999999997</v>
      </c>
      <c r="L284">
        <v>18.3</v>
      </c>
      <c r="M284">
        <v>58.3</v>
      </c>
      <c r="N284">
        <v>1.5</v>
      </c>
      <c r="O284">
        <v>203</v>
      </c>
      <c r="P284" t="s">
        <v>28</v>
      </c>
    </row>
    <row r="285" spans="1:16" x14ac:dyDescent="0.25">
      <c r="A285" t="s">
        <v>342</v>
      </c>
      <c r="B285" s="2">
        <v>45878</v>
      </c>
      <c r="C285" t="s">
        <v>99</v>
      </c>
      <c r="D285" t="s">
        <v>36</v>
      </c>
      <c r="E285" t="s">
        <v>58</v>
      </c>
      <c r="F285">
        <v>75.099999999999994</v>
      </c>
      <c r="G285">
        <v>96.6</v>
      </c>
      <c r="H285">
        <v>29.6</v>
      </c>
      <c r="I285">
        <v>7</v>
      </c>
      <c r="J285">
        <v>1.22</v>
      </c>
      <c r="K285">
        <v>29</v>
      </c>
      <c r="L285">
        <v>30.3</v>
      </c>
      <c r="M285">
        <v>49.5</v>
      </c>
      <c r="N285">
        <v>3</v>
      </c>
      <c r="O285">
        <v>255</v>
      </c>
      <c r="P285" t="s">
        <v>28</v>
      </c>
    </row>
    <row r="286" spans="1:16" x14ac:dyDescent="0.25">
      <c r="A286" t="s">
        <v>343</v>
      </c>
      <c r="B286" s="2">
        <v>45678</v>
      </c>
      <c r="C286" t="s">
        <v>22</v>
      </c>
      <c r="D286" t="s">
        <v>23</v>
      </c>
      <c r="E286" t="s">
        <v>61</v>
      </c>
      <c r="F286">
        <v>28.2</v>
      </c>
      <c r="G286">
        <v>101.4</v>
      </c>
      <c r="H286">
        <v>18.8</v>
      </c>
      <c r="I286">
        <v>25.8</v>
      </c>
      <c r="J286">
        <v>0.41</v>
      </c>
      <c r="K286">
        <v>33.700000000000003</v>
      </c>
      <c r="L286">
        <v>28.1</v>
      </c>
      <c r="M286">
        <v>71.900000000000006</v>
      </c>
      <c r="N286">
        <v>1.8</v>
      </c>
      <c r="O286">
        <v>170</v>
      </c>
      <c r="P286" t="s">
        <v>33</v>
      </c>
    </row>
    <row r="287" spans="1:16" x14ac:dyDescent="0.25">
      <c r="A287" t="s">
        <v>344</v>
      </c>
      <c r="B287" s="2">
        <v>45797</v>
      </c>
      <c r="C287" t="s">
        <v>42</v>
      </c>
      <c r="D287" t="s">
        <v>23</v>
      </c>
      <c r="E287" t="s">
        <v>61</v>
      </c>
      <c r="F287">
        <v>61.9</v>
      </c>
      <c r="G287">
        <v>48.2</v>
      </c>
      <c r="H287">
        <v>10.5</v>
      </c>
      <c r="I287">
        <v>12.7</v>
      </c>
      <c r="J287">
        <v>0.72</v>
      </c>
      <c r="K287">
        <v>66.599999999999994</v>
      </c>
      <c r="L287">
        <v>22.1</v>
      </c>
      <c r="M287">
        <v>70.5</v>
      </c>
      <c r="N287">
        <v>4</v>
      </c>
      <c r="O287">
        <v>196</v>
      </c>
      <c r="P287" t="s">
        <v>33</v>
      </c>
    </row>
    <row r="288" spans="1:16" x14ac:dyDescent="0.25">
      <c r="A288" t="s">
        <v>345</v>
      </c>
      <c r="B288" s="2">
        <v>45821</v>
      </c>
      <c r="C288" t="s">
        <v>26</v>
      </c>
      <c r="D288" t="s">
        <v>23</v>
      </c>
      <c r="E288" t="s">
        <v>97</v>
      </c>
      <c r="F288">
        <v>20.3</v>
      </c>
      <c r="G288">
        <v>193.1</v>
      </c>
      <c r="H288">
        <v>26.8</v>
      </c>
      <c r="I288">
        <v>7.5</v>
      </c>
      <c r="J288">
        <v>0.18</v>
      </c>
      <c r="K288">
        <v>50.2</v>
      </c>
      <c r="L288">
        <v>25.1</v>
      </c>
      <c r="M288">
        <v>66.400000000000006</v>
      </c>
      <c r="N288">
        <v>1.4</v>
      </c>
      <c r="O288">
        <v>212</v>
      </c>
      <c r="P288" t="s">
        <v>28</v>
      </c>
    </row>
    <row r="289" spans="1:16" x14ac:dyDescent="0.25">
      <c r="A289" t="s">
        <v>346</v>
      </c>
      <c r="B289" s="2">
        <v>45971</v>
      </c>
      <c r="C289" t="s">
        <v>35</v>
      </c>
      <c r="D289" t="s">
        <v>36</v>
      </c>
      <c r="E289" t="s">
        <v>19</v>
      </c>
      <c r="F289">
        <v>47.3</v>
      </c>
      <c r="G289">
        <v>27.2</v>
      </c>
      <c r="H289">
        <v>15.5</v>
      </c>
      <c r="I289">
        <v>11.4</v>
      </c>
      <c r="J289">
        <v>0.56999999999999995</v>
      </c>
      <c r="K289">
        <v>59.4</v>
      </c>
      <c r="L289">
        <v>24.7</v>
      </c>
      <c r="M289">
        <v>60</v>
      </c>
      <c r="N289">
        <v>2.2000000000000002</v>
      </c>
      <c r="O289">
        <v>155</v>
      </c>
      <c r="P289" t="s">
        <v>33</v>
      </c>
    </row>
    <row r="290" spans="1:16" x14ac:dyDescent="0.25">
      <c r="A290" t="s">
        <v>347</v>
      </c>
      <c r="B290" s="2">
        <v>45983</v>
      </c>
      <c r="C290" t="s">
        <v>35</v>
      </c>
      <c r="D290" t="s">
        <v>36</v>
      </c>
      <c r="E290" t="s">
        <v>68</v>
      </c>
      <c r="F290">
        <v>104.8</v>
      </c>
      <c r="G290">
        <v>154.4</v>
      </c>
      <c r="H290">
        <v>35.4</v>
      </c>
      <c r="I290">
        <v>34.5</v>
      </c>
      <c r="J290">
        <v>1.94</v>
      </c>
      <c r="K290">
        <v>8.1999999999999993</v>
      </c>
      <c r="L290">
        <v>24.1</v>
      </c>
      <c r="M290">
        <v>63.6</v>
      </c>
      <c r="N290">
        <v>0.9</v>
      </c>
      <c r="O290">
        <v>373</v>
      </c>
      <c r="P290" t="s">
        <v>20</v>
      </c>
    </row>
    <row r="291" spans="1:16" x14ac:dyDescent="0.25">
      <c r="A291" t="s">
        <v>348</v>
      </c>
      <c r="B291" s="2">
        <v>45930</v>
      </c>
      <c r="C291" t="s">
        <v>67</v>
      </c>
      <c r="D291" t="s">
        <v>18</v>
      </c>
      <c r="E291" t="s">
        <v>19</v>
      </c>
      <c r="F291">
        <v>29.4</v>
      </c>
      <c r="G291">
        <v>54.4</v>
      </c>
      <c r="H291">
        <v>60.7</v>
      </c>
      <c r="I291">
        <v>4</v>
      </c>
      <c r="J291">
        <v>0.76</v>
      </c>
      <c r="K291">
        <v>46.1</v>
      </c>
      <c r="L291">
        <v>27.5</v>
      </c>
      <c r="M291">
        <v>73.099999999999994</v>
      </c>
      <c r="N291">
        <v>2.2999999999999998</v>
      </c>
      <c r="O291">
        <v>174</v>
      </c>
      <c r="P291" t="s">
        <v>33</v>
      </c>
    </row>
    <row r="292" spans="1:16" x14ac:dyDescent="0.25">
      <c r="A292" t="s">
        <v>349</v>
      </c>
      <c r="B292" s="2">
        <v>45723</v>
      </c>
      <c r="C292" t="s">
        <v>93</v>
      </c>
      <c r="D292" t="s">
        <v>36</v>
      </c>
      <c r="E292" t="s">
        <v>97</v>
      </c>
      <c r="F292">
        <v>18.5</v>
      </c>
      <c r="G292">
        <v>130.80000000000001</v>
      </c>
      <c r="H292">
        <v>28.2</v>
      </c>
      <c r="I292">
        <v>15.4</v>
      </c>
      <c r="J292">
        <v>0.42</v>
      </c>
      <c r="K292">
        <v>15</v>
      </c>
      <c r="L292">
        <v>32.799999999999997</v>
      </c>
      <c r="M292">
        <v>49.8</v>
      </c>
      <c r="N292">
        <v>3.3</v>
      </c>
      <c r="O292">
        <v>165</v>
      </c>
      <c r="P292" t="s">
        <v>33</v>
      </c>
    </row>
    <row r="293" spans="1:16" x14ac:dyDescent="0.25">
      <c r="A293" t="s">
        <v>350</v>
      </c>
      <c r="B293" s="2">
        <v>45948</v>
      </c>
      <c r="C293" t="s">
        <v>93</v>
      </c>
      <c r="D293" t="s">
        <v>36</v>
      </c>
      <c r="E293" t="s">
        <v>55</v>
      </c>
      <c r="F293">
        <v>66.3</v>
      </c>
      <c r="G293">
        <v>155.80000000000001</v>
      </c>
      <c r="H293">
        <v>17.7</v>
      </c>
      <c r="I293">
        <v>3.5</v>
      </c>
      <c r="J293">
        <v>0.44</v>
      </c>
      <c r="K293">
        <v>29.6</v>
      </c>
      <c r="L293">
        <v>27.8</v>
      </c>
      <c r="M293">
        <v>69.599999999999994</v>
      </c>
      <c r="N293">
        <v>4.0999999999999996</v>
      </c>
      <c r="O293">
        <v>248</v>
      </c>
      <c r="P293" t="s">
        <v>28</v>
      </c>
    </row>
    <row r="294" spans="1:16" x14ac:dyDescent="0.25">
      <c r="A294" t="s">
        <v>351</v>
      </c>
      <c r="B294" s="2">
        <v>45945</v>
      </c>
      <c r="C294" t="s">
        <v>26</v>
      </c>
      <c r="D294" t="s">
        <v>23</v>
      </c>
      <c r="E294" t="s">
        <v>32</v>
      </c>
      <c r="F294">
        <v>64.3</v>
      </c>
      <c r="G294">
        <v>102.6</v>
      </c>
      <c r="H294">
        <v>19.7</v>
      </c>
      <c r="I294">
        <v>14.3</v>
      </c>
      <c r="J294">
        <v>0.74</v>
      </c>
      <c r="K294">
        <v>22.8</v>
      </c>
      <c r="L294">
        <v>15.3</v>
      </c>
      <c r="M294">
        <v>58.9</v>
      </c>
      <c r="N294">
        <v>0.9</v>
      </c>
      <c r="O294">
        <v>224</v>
      </c>
      <c r="P294" t="s">
        <v>28</v>
      </c>
    </row>
    <row r="295" spans="1:16" x14ac:dyDescent="0.25">
      <c r="A295" t="s">
        <v>352</v>
      </c>
      <c r="B295" s="2">
        <v>46019</v>
      </c>
      <c r="C295" t="s">
        <v>42</v>
      </c>
      <c r="D295" t="s">
        <v>23</v>
      </c>
      <c r="E295" t="s">
        <v>74</v>
      </c>
      <c r="F295">
        <v>103.9</v>
      </c>
      <c r="G295">
        <v>81.900000000000006</v>
      </c>
      <c r="H295">
        <v>43.2</v>
      </c>
      <c r="I295">
        <v>22.7</v>
      </c>
      <c r="J295">
        <v>0.99</v>
      </c>
      <c r="K295">
        <v>38.700000000000003</v>
      </c>
      <c r="L295">
        <v>23.2</v>
      </c>
      <c r="M295">
        <v>45.6</v>
      </c>
      <c r="N295">
        <v>2.5</v>
      </c>
      <c r="O295">
        <v>312</v>
      </c>
      <c r="P295" t="s">
        <v>20</v>
      </c>
    </row>
    <row r="296" spans="1:16" x14ac:dyDescent="0.25">
      <c r="A296" t="s">
        <v>353</v>
      </c>
      <c r="B296" s="2">
        <v>45879</v>
      </c>
      <c r="C296" t="s">
        <v>30</v>
      </c>
      <c r="D296" t="s">
        <v>31</v>
      </c>
      <c r="E296" t="s">
        <v>61</v>
      </c>
      <c r="F296">
        <v>62.8</v>
      </c>
      <c r="G296">
        <v>25.3</v>
      </c>
      <c r="H296">
        <v>10.9</v>
      </c>
      <c r="I296">
        <v>12.4</v>
      </c>
      <c r="J296">
        <v>0.57999999999999996</v>
      </c>
      <c r="K296">
        <v>44.8</v>
      </c>
      <c r="L296">
        <v>28.3</v>
      </c>
      <c r="M296">
        <v>59.4</v>
      </c>
      <c r="N296">
        <v>2.6</v>
      </c>
      <c r="O296">
        <v>169</v>
      </c>
      <c r="P296" t="s">
        <v>33</v>
      </c>
    </row>
    <row r="297" spans="1:16" x14ac:dyDescent="0.25">
      <c r="A297" t="s">
        <v>354</v>
      </c>
      <c r="B297" s="2">
        <v>45908</v>
      </c>
      <c r="C297" t="s">
        <v>35</v>
      </c>
      <c r="D297" t="s">
        <v>36</v>
      </c>
      <c r="E297" t="s">
        <v>61</v>
      </c>
      <c r="F297">
        <v>43.2</v>
      </c>
      <c r="G297">
        <v>102.2</v>
      </c>
      <c r="H297">
        <v>17.399999999999999</v>
      </c>
      <c r="I297">
        <v>16.399999999999999</v>
      </c>
      <c r="J297">
        <v>0.21</v>
      </c>
      <c r="K297">
        <v>9.5</v>
      </c>
      <c r="L297">
        <v>27.5</v>
      </c>
      <c r="M297">
        <v>60.7</v>
      </c>
      <c r="N297">
        <v>2.2000000000000002</v>
      </c>
      <c r="O297">
        <v>170</v>
      </c>
      <c r="P297" t="s">
        <v>33</v>
      </c>
    </row>
    <row r="298" spans="1:16" x14ac:dyDescent="0.25">
      <c r="A298" t="s">
        <v>355</v>
      </c>
      <c r="B298" s="2">
        <v>45773</v>
      </c>
      <c r="C298" t="s">
        <v>77</v>
      </c>
      <c r="D298" t="s">
        <v>39</v>
      </c>
      <c r="E298" t="s">
        <v>97</v>
      </c>
      <c r="F298">
        <v>30.3</v>
      </c>
      <c r="G298">
        <v>54.7</v>
      </c>
      <c r="H298">
        <v>33.700000000000003</v>
      </c>
      <c r="I298">
        <v>3.4</v>
      </c>
      <c r="J298">
        <v>0.56000000000000005</v>
      </c>
      <c r="K298">
        <v>17</v>
      </c>
      <c r="L298">
        <v>23.6</v>
      </c>
      <c r="M298">
        <v>87.4</v>
      </c>
      <c r="N298">
        <v>2.9</v>
      </c>
      <c r="O298">
        <v>135</v>
      </c>
      <c r="P298" t="s">
        <v>33</v>
      </c>
    </row>
    <row r="299" spans="1:16" x14ac:dyDescent="0.25">
      <c r="A299" t="s">
        <v>356</v>
      </c>
      <c r="B299" s="2">
        <v>45896</v>
      </c>
      <c r="C299" t="s">
        <v>42</v>
      </c>
      <c r="D299" t="s">
        <v>23</v>
      </c>
      <c r="E299" t="s">
        <v>40</v>
      </c>
      <c r="F299">
        <v>81.7</v>
      </c>
      <c r="G299">
        <v>87.9</v>
      </c>
      <c r="H299">
        <v>32.4</v>
      </c>
      <c r="I299">
        <v>4.8</v>
      </c>
      <c r="J299">
        <v>0.22</v>
      </c>
      <c r="K299">
        <v>35.6</v>
      </c>
      <c r="L299">
        <v>25.8</v>
      </c>
      <c r="M299">
        <v>60</v>
      </c>
      <c r="N299">
        <v>1.7</v>
      </c>
      <c r="O299">
        <v>239</v>
      </c>
      <c r="P299" t="s">
        <v>28</v>
      </c>
    </row>
    <row r="300" spans="1:16" x14ac:dyDescent="0.25">
      <c r="A300" t="s">
        <v>357</v>
      </c>
      <c r="B300" s="2">
        <v>45840</v>
      </c>
      <c r="C300" t="s">
        <v>50</v>
      </c>
      <c r="D300" t="s">
        <v>31</v>
      </c>
      <c r="E300" t="s">
        <v>27</v>
      </c>
      <c r="F300">
        <v>3.4</v>
      </c>
      <c r="G300">
        <v>39.1</v>
      </c>
      <c r="H300">
        <v>23.2</v>
      </c>
      <c r="I300">
        <v>15.7</v>
      </c>
      <c r="J300">
        <v>0.68</v>
      </c>
      <c r="K300">
        <v>61</v>
      </c>
      <c r="L300">
        <v>25</v>
      </c>
      <c r="M300">
        <v>78.2</v>
      </c>
      <c r="N300">
        <v>0.9</v>
      </c>
      <c r="O300">
        <v>105</v>
      </c>
      <c r="P300" t="s">
        <v>33</v>
      </c>
    </row>
    <row r="301" spans="1:16" x14ac:dyDescent="0.25">
      <c r="A301" t="s">
        <v>358</v>
      </c>
      <c r="B301" s="2">
        <v>45937</v>
      </c>
      <c r="C301" t="s">
        <v>64</v>
      </c>
      <c r="D301" t="s">
        <v>36</v>
      </c>
      <c r="E301" t="s">
        <v>70</v>
      </c>
      <c r="F301">
        <v>8.9</v>
      </c>
      <c r="G301">
        <v>44.8</v>
      </c>
      <c r="H301">
        <v>43</v>
      </c>
      <c r="I301">
        <v>22.4</v>
      </c>
      <c r="J301">
        <v>0.99</v>
      </c>
      <c r="K301">
        <v>59.6</v>
      </c>
      <c r="L301">
        <v>19</v>
      </c>
      <c r="M301">
        <v>88</v>
      </c>
      <c r="N301">
        <v>1.6</v>
      </c>
      <c r="O301">
        <v>145</v>
      </c>
      <c r="P301" t="s">
        <v>33</v>
      </c>
    </row>
    <row r="302" spans="1:16" x14ac:dyDescent="0.25">
      <c r="A302" t="s">
        <v>359</v>
      </c>
      <c r="B302" s="2">
        <v>45679</v>
      </c>
      <c r="C302" t="s">
        <v>26</v>
      </c>
      <c r="D302" t="s">
        <v>23</v>
      </c>
      <c r="E302" t="s">
        <v>74</v>
      </c>
      <c r="F302">
        <v>51.8</v>
      </c>
      <c r="G302">
        <v>81</v>
      </c>
      <c r="H302">
        <v>31.8</v>
      </c>
      <c r="I302">
        <v>22.6</v>
      </c>
      <c r="J302">
        <v>0.54</v>
      </c>
      <c r="K302">
        <v>13.1</v>
      </c>
      <c r="L302">
        <v>21.2</v>
      </c>
      <c r="M302">
        <v>68.900000000000006</v>
      </c>
      <c r="N302">
        <v>3.4</v>
      </c>
      <c r="O302">
        <v>196</v>
      </c>
      <c r="P302" t="s">
        <v>33</v>
      </c>
    </row>
    <row r="303" spans="1:16" x14ac:dyDescent="0.25">
      <c r="A303" t="s">
        <v>360</v>
      </c>
      <c r="B303" s="2">
        <v>45888</v>
      </c>
      <c r="C303" t="s">
        <v>54</v>
      </c>
      <c r="D303" t="s">
        <v>18</v>
      </c>
      <c r="E303" t="s">
        <v>68</v>
      </c>
      <c r="F303">
        <v>78.5</v>
      </c>
      <c r="G303">
        <v>68.5</v>
      </c>
      <c r="H303">
        <v>50.9</v>
      </c>
      <c r="I303">
        <v>4.0999999999999996</v>
      </c>
      <c r="J303">
        <v>0.65</v>
      </c>
      <c r="K303">
        <v>17.8</v>
      </c>
      <c r="L303">
        <v>20.9</v>
      </c>
      <c r="M303">
        <v>70.3</v>
      </c>
      <c r="N303">
        <v>1.8</v>
      </c>
      <c r="O303">
        <v>238</v>
      </c>
      <c r="P303" t="s">
        <v>28</v>
      </c>
    </row>
    <row r="304" spans="1:16" x14ac:dyDescent="0.25">
      <c r="A304" t="s">
        <v>361</v>
      </c>
      <c r="B304" s="2">
        <v>45873</v>
      </c>
      <c r="C304" t="s">
        <v>35</v>
      </c>
      <c r="D304" t="s">
        <v>36</v>
      </c>
      <c r="E304" t="s">
        <v>91</v>
      </c>
      <c r="F304">
        <v>39</v>
      </c>
      <c r="G304">
        <v>75.099999999999994</v>
      </c>
      <c r="H304">
        <v>54.5</v>
      </c>
      <c r="I304">
        <v>20.399999999999999</v>
      </c>
      <c r="J304">
        <v>0.67</v>
      </c>
      <c r="K304">
        <v>36.299999999999997</v>
      </c>
      <c r="L304">
        <v>28.1</v>
      </c>
      <c r="M304">
        <v>64.3</v>
      </c>
      <c r="N304">
        <v>3.3</v>
      </c>
      <c r="O304">
        <v>202</v>
      </c>
      <c r="P304" t="s">
        <v>28</v>
      </c>
    </row>
    <row r="305" spans="1:16" x14ac:dyDescent="0.25">
      <c r="A305" t="s">
        <v>362</v>
      </c>
      <c r="B305" s="2">
        <v>46006</v>
      </c>
      <c r="C305" t="s">
        <v>35</v>
      </c>
      <c r="D305" t="s">
        <v>36</v>
      </c>
      <c r="E305" t="s">
        <v>70</v>
      </c>
      <c r="F305">
        <v>49.2</v>
      </c>
      <c r="G305">
        <v>70.5</v>
      </c>
      <c r="H305">
        <v>49.3</v>
      </c>
      <c r="I305">
        <v>4.7</v>
      </c>
      <c r="J305">
        <v>1.65</v>
      </c>
      <c r="K305">
        <v>29.6</v>
      </c>
      <c r="L305">
        <v>31.2</v>
      </c>
      <c r="M305">
        <v>50.5</v>
      </c>
      <c r="N305">
        <v>2.9</v>
      </c>
      <c r="O305">
        <v>222</v>
      </c>
      <c r="P305" t="s">
        <v>28</v>
      </c>
    </row>
    <row r="306" spans="1:16" x14ac:dyDescent="0.25">
      <c r="A306" t="s">
        <v>363</v>
      </c>
      <c r="B306" s="2">
        <v>46019</v>
      </c>
      <c r="C306" t="s">
        <v>26</v>
      </c>
      <c r="D306" t="s">
        <v>23</v>
      </c>
      <c r="E306" t="s">
        <v>91</v>
      </c>
      <c r="F306">
        <v>52.1</v>
      </c>
      <c r="G306">
        <v>166.3</v>
      </c>
      <c r="H306">
        <v>49.6</v>
      </c>
      <c r="I306">
        <v>24.8</v>
      </c>
      <c r="J306">
        <v>0.33</v>
      </c>
      <c r="K306">
        <v>22</v>
      </c>
      <c r="L306">
        <v>30.2</v>
      </c>
      <c r="M306">
        <v>74.599999999999994</v>
      </c>
      <c r="N306">
        <v>0.1</v>
      </c>
      <c r="O306">
        <v>267</v>
      </c>
      <c r="P306" t="s">
        <v>28</v>
      </c>
    </row>
    <row r="307" spans="1:16" x14ac:dyDescent="0.25">
      <c r="A307" t="s">
        <v>364</v>
      </c>
      <c r="B307" s="2">
        <v>45806</v>
      </c>
      <c r="C307" t="s">
        <v>77</v>
      </c>
      <c r="D307" t="s">
        <v>39</v>
      </c>
      <c r="E307" t="s">
        <v>27</v>
      </c>
      <c r="F307">
        <v>88.3</v>
      </c>
      <c r="G307">
        <v>14.8</v>
      </c>
      <c r="H307">
        <v>18.899999999999999</v>
      </c>
      <c r="I307">
        <v>11.6</v>
      </c>
      <c r="J307">
        <v>0.32</v>
      </c>
      <c r="K307">
        <v>32.5</v>
      </c>
      <c r="L307">
        <v>27.7</v>
      </c>
      <c r="M307">
        <v>82.3</v>
      </c>
      <c r="N307">
        <v>1.3</v>
      </c>
      <c r="O307">
        <v>197</v>
      </c>
      <c r="P307" t="s">
        <v>33</v>
      </c>
    </row>
    <row r="308" spans="1:16" x14ac:dyDescent="0.25">
      <c r="A308" t="s">
        <v>365</v>
      </c>
      <c r="B308" s="2">
        <v>45849</v>
      </c>
      <c r="C308" t="s">
        <v>64</v>
      </c>
      <c r="D308" t="s">
        <v>36</v>
      </c>
      <c r="E308" t="s">
        <v>32</v>
      </c>
      <c r="F308">
        <v>70.8</v>
      </c>
      <c r="G308">
        <v>79.2</v>
      </c>
      <c r="H308">
        <v>38.5</v>
      </c>
      <c r="I308">
        <v>7.3</v>
      </c>
      <c r="J308">
        <v>0.7</v>
      </c>
      <c r="K308">
        <v>36.1</v>
      </c>
      <c r="L308">
        <v>39.799999999999997</v>
      </c>
      <c r="M308">
        <v>41.8</v>
      </c>
      <c r="N308">
        <v>2.6</v>
      </c>
      <c r="O308">
        <v>234</v>
      </c>
      <c r="P308" t="s">
        <v>28</v>
      </c>
    </row>
    <row r="309" spans="1:16" x14ac:dyDescent="0.25">
      <c r="A309" t="s">
        <v>366</v>
      </c>
      <c r="B309" s="2">
        <v>45792</v>
      </c>
      <c r="C309" t="s">
        <v>93</v>
      </c>
      <c r="D309" t="s">
        <v>36</v>
      </c>
      <c r="E309" t="s">
        <v>70</v>
      </c>
      <c r="F309">
        <v>59.7</v>
      </c>
      <c r="G309">
        <v>70.3</v>
      </c>
      <c r="H309">
        <v>22.1</v>
      </c>
      <c r="I309">
        <v>10.1</v>
      </c>
      <c r="J309">
        <v>0.62</v>
      </c>
      <c r="K309">
        <v>23.2</v>
      </c>
      <c r="L309">
        <v>25.7</v>
      </c>
      <c r="M309">
        <v>36.6</v>
      </c>
      <c r="N309">
        <v>2.6</v>
      </c>
      <c r="O309">
        <v>192</v>
      </c>
      <c r="P309" t="s">
        <v>33</v>
      </c>
    </row>
    <row r="310" spans="1:16" x14ac:dyDescent="0.25">
      <c r="A310" t="s">
        <v>367</v>
      </c>
      <c r="B310" s="2">
        <v>45675</v>
      </c>
      <c r="C310" t="s">
        <v>30</v>
      </c>
      <c r="D310" t="s">
        <v>31</v>
      </c>
      <c r="E310" t="s">
        <v>97</v>
      </c>
      <c r="F310">
        <v>25.4</v>
      </c>
      <c r="G310">
        <v>87.3</v>
      </c>
      <c r="H310">
        <v>31.3</v>
      </c>
      <c r="I310">
        <v>28.1</v>
      </c>
      <c r="J310">
        <v>1.41</v>
      </c>
      <c r="K310">
        <v>58.1</v>
      </c>
      <c r="L310">
        <v>19.5</v>
      </c>
      <c r="M310">
        <v>77.5</v>
      </c>
      <c r="N310">
        <v>3.6</v>
      </c>
      <c r="O310">
        <v>203</v>
      </c>
      <c r="P310" t="s">
        <v>28</v>
      </c>
    </row>
    <row r="311" spans="1:16" x14ac:dyDescent="0.25">
      <c r="A311" t="s">
        <v>368</v>
      </c>
      <c r="B311" s="2">
        <v>45689</v>
      </c>
      <c r="C311" t="s">
        <v>30</v>
      </c>
      <c r="D311" t="s">
        <v>31</v>
      </c>
      <c r="E311" t="s">
        <v>58</v>
      </c>
      <c r="F311">
        <v>73</v>
      </c>
      <c r="G311">
        <v>51.2</v>
      </c>
      <c r="H311">
        <v>51.5</v>
      </c>
      <c r="I311">
        <v>11</v>
      </c>
      <c r="J311">
        <v>0.74</v>
      </c>
      <c r="K311">
        <v>16.600000000000001</v>
      </c>
      <c r="L311">
        <v>16.3</v>
      </c>
      <c r="M311">
        <v>51.7</v>
      </c>
      <c r="N311">
        <v>2.6</v>
      </c>
      <c r="O311">
        <v>225</v>
      </c>
      <c r="P311" t="s">
        <v>28</v>
      </c>
    </row>
    <row r="312" spans="1:16" x14ac:dyDescent="0.25">
      <c r="A312" t="s">
        <v>369</v>
      </c>
      <c r="B312" s="2">
        <v>45692</v>
      </c>
      <c r="C312" t="s">
        <v>22</v>
      </c>
      <c r="D312" t="s">
        <v>23</v>
      </c>
      <c r="E312" t="s">
        <v>97</v>
      </c>
      <c r="F312">
        <v>70</v>
      </c>
      <c r="G312">
        <v>67.400000000000006</v>
      </c>
      <c r="H312">
        <v>14.6</v>
      </c>
      <c r="I312">
        <v>18.100000000000001</v>
      </c>
      <c r="J312">
        <v>0.39</v>
      </c>
      <c r="K312">
        <v>21.5</v>
      </c>
      <c r="L312">
        <v>36.4</v>
      </c>
      <c r="M312">
        <v>66</v>
      </c>
      <c r="N312">
        <v>3.8</v>
      </c>
      <c r="O312">
        <v>200</v>
      </c>
      <c r="P312" t="s">
        <v>33</v>
      </c>
    </row>
    <row r="313" spans="1:16" x14ac:dyDescent="0.25">
      <c r="A313" t="s">
        <v>370</v>
      </c>
      <c r="B313" s="2">
        <v>46002</v>
      </c>
      <c r="C313" t="s">
        <v>22</v>
      </c>
      <c r="D313" t="s">
        <v>23</v>
      </c>
      <c r="E313" t="s">
        <v>74</v>
      </c>
      <c r="F313">
        <v>46.1</v>
      </c>
      <c r="G313">
        <v>28.4</v>
      </c>
      <c r="H313">
        <v>20.5</v>
      </c>
      <c r="I313">
        <v>9.3000000000000007</v>
      </c>
      <c r="J313">
        <v>0.66</v>
      </c>
      <c r="K313">
        <v>87.4</v>
      </c>
      <c r="L313">
        <v>26.5</v>
      </c>
      <c r="M313">
        <v>68.7</v>
      </c>
      <c r="N313">
        <v>1.7</v>
      </c>
      <c r="O313">
        <v>171</v>
      </c>
      <c r="P313" t="s">
        <v>33</v>
      </c>
    </row>
    <row r="314" spans="1:16" x14ac:dyDescent="0.25">
      <c r="A314" t="s">
        <v>371</v>
      </c>
      <c r="B314" s="2">
        <v>45808</v>
      </c>
      <c r="C314" t="s">
        <v>93</v>
      </c>
      <c r="D314" t="s">
        <v>36</v>
      </c>
      <c r="E314" t="s">
        <v>68</v>
      </c>
      <c r="F314">
        <v>71.8</v>
      </c>
      <c r="G314">
        <v>90.5</v>
      </c>
      <c r="H314">
        <v>26.6</v>
      </c>
      <c r="I314">
        <v>12.5</v>
      </c>
      <c r="J314">
        <v>0.45</v>
      </c>
      <c r="K314">
        <v>20</v>
      </c>
      <c r="L314">
        <v>26</v>
      </c>
      <c r="M314">
        <v>40.299999999999997</v>
      </c>
      <c r="N314">
        <v>2.2999999999999998</v>
      </c>
      <c r="O314">
        <v>224</v>
      </c>
      <c r="P314" t="s">
        <v>28</v>
      </c>
    </row>
    <row r="315" spans="1:16" x14ac:dyDescent="0.25">
      <c r="A315" t="s">
        <v>372</v>
      </c>
      <c r="B315" s="2">
        <v>45687</v>
      </c>
      <c r="C315" t="s">
        <v>50</v>
      </c>
      <c r="D315" t="s">
        <v>31</v>
      </c>
      <c r="E315" t="s">
        <v>68</v>
      </c>
      <c r="F315">
        <v>20.5</v>
      </c>
      <c r="G315">
        <v>43.9</v>
      </c>
      <c r="H315">
        <v>18.5</v>
      </c>
      <c r="I315">
        <v>8.6</v>
      </c>
      <c r="J315">
        <v>0.51</v>
      </c>
      <c r="K315">
        <v>10.3</v>
      </c>
      <c r="L315">
        <v>25.8</v>
      </c>
      <c r="M315">
        <v>46.4</v>
      </c>
      <c r="N315">
        <v>2.9</v>
      </c>
      <c r="O315">
        <v>100</v>
      </c>
      <c r="P315" t="s">
        <v>71</v>
      </c>
    </row>
    <row r="316" spans="1:16" x14ac:dyDescent="0.25">
      <c r="A316" t="s">
        <v>373</v>
      </c>
      <c r="B316" s="2">
        <v>45758</v>
      </c>
      <c r="C316" t="s">
        <v>64</v>
      </c>
      <c r="D316" t="s">
        <v>36</v>
      </c>
      <c r="E316" t="s">
        <v>68</v>
      </c>
      <c r="F316">
        <v>53.3</v>
      </c>
      <c r="G316">
        <v>103.1</v>
      </c>
      <c r="H316">
        <v>22.3</v>
      </c>
      <c r="I316">
        <v>3</v>
      </c>
      <c r="J316">
        <v>1.69</v>
      </c>
      <c r="K316">
        <v>13.6</v>
      </c>
      <c r="L316">
        <v>31.7</v>
      </c>
      <c r="M316">
        <v>64.3</v>
      </c>
      <c r="N316">
        <v>2.4</v>
      </c>
      <c r="O316">
        <v>221</v>
      </c>
      <c r="P316" t="s">
        <v>28</v>
      </c>
    </row>
    <row r="317" spans="1:16" x14ac:dyDescent="0.25">
      <c r="A317" t="s">
        <v>374</v>
      </c>
      <c r="B317" s="2">
        <v>45990</v>
      </c>
      <c r="C317" t="s">
        <v>99</v>
      </c>
      <c r="D317" t="s">
        <v>36</v>
      </c>
      <c r="E317" t="s">
        <v>70</v>
      </c>
      <c r="F317">
        <v>72.900000000000006</v>
      </c>
      <c r="G317">
        <v>130.1</v>
      </c>
      <c r="H317">
        <v>20.8</v>
      </c>
      <c r="I317">
        <v>10.199999999999999</v>
      </c>
      <c r="J317">
        <v>0.94</v>
      </c>
      <c r="K317">
        <v>31.9</v>
      </c>
      <c r="L317">
        <v>30.3</v>
      </c>
      <c r="M317">
        <v>66.7</v>
      </c>
      <c r="N317">
        <v>2.8</v>
      </c>
      <c r="O317">
        <v>263</v>
      </c>
      <c r="P317" t="s">
        <v>28</v>
      </c>
    </row>
    <row r="318" spans="1:16" x14ac:dyDescent="0.25">
      <c r="A318" t="s">
        <v>375</v>
      </c>
      <c r="B318" s="2">
        <v>45930</v>
      </c>
      <c r="C318" t="s">
        <v>22</v>
      </c>
      <c r="D318" t="s">
        <v>23</v>
      </c>
      <c r="E318" t="s">
        <v>45</v>
      </c>
      <c r="F318">
        <v>54.3</v>
      </c>
      <c r="G318">
        <v>115.4</v>
      </c>
      <c r="H318">
        <v>33.700000000000003</v>
      </c>
      <c r="I318">
        <v>4.0999999999999996</v>
      </c>
      <c r="J318">
        <v>2.44</v>
      </c>
      <c r="K318">
        <v>29</v>
      </c>
      <c r="L318">
        <v>27.2</v>
      </c>
      <c r="M318">
        <v>70.900000000000006</v>
      </c>
      <c r="N318">
        <v>1.2</v>
      </c>
      <c r="O318">
        <v>266</v>
      </c>
      <c r="P318" t="s">
        <v>28</v>
      </c>
    </row>
    <row r="319" spans="1:16" x14ac:dyDescent="0.25">
      <c r="A319" t="s">
        <v>376</v>
      </c>
      <c r="B319" s="2">
        <v>45787</v>
      </c>
      <c r="C319" t="s">
        <v>22</v>
      </c>
      <c r="D319" t="s">
        <v>23</v>
      </c>
      <c r="E319" t="s">
        <v>74</v>
      </c>
      <c r="F319">
        <v>96.5</v>
      </c>
      <c r="G319">
        <v>89.7</v>
      </c>
      <c r="H319">
        <v>77.599999999999994</v>
      </c>
      <c r="I319">
        <v>11.8</v>
      </c>
      <c r="J319">
        <v>0.36</v>
      </c>
      <c r="K319">
        <v>43</v>
      </c>
      <c r="L319">
        <v>21.6</v>
      </c>
      <c r="M319">
        <v>39</v>
      </c>
      <c r="N319">
        <v>2.4</v>
      </c>
      <c r="O319">
        <v>311</v>
      </c>
      <c r="P319" t="s">
        <v>20</v>
      </c>
    </row>
    <row r="320" spans="1:16" x14ac:dyDescent="0.25">
      <c r="A320" t="s">
        <v>377</v>
      </c>
      <c r="B320" s="2">
        <v>45785</v>
      </c>
      <c r="C320" t="s">
        <v>30</v>
      </c>
      <c r="D320" t="s">
        <v>31</v>
      </c>
      <c r="E320" t="s">
        <v>24</v>
      </c>
      <c r="F320">
        <v>25</v>
      </c>
      <c r="G320">
        <v>92</v>
      </c>
      <c r="H320">
        <v>7.5</v>
      </c>
      <c r="I320">
        <v>3.7</v>
      </c>
      <c r="J320">
        <v>1.36</v>
      </c>
      <c r="K320">
        <v>32.200000000000003</v>
      </c>
      <c r="L320">
        <v>31.3</v>
      </c>
      <c r="M320">
        <v>64.7</v>
      </c>
      <c r="N320">
        <v>2.2999999999999998</v>
      </c>
      <c r="O320">
        <v>157</v>
      </c>
      <c r="P320" t="s">
        <v>33</v>
      </c>
    </row>
    <row r="321" spans="1:16" x14ac:dyDescent="0.25">
      <c r="A321" t="s">
        <v>378</v>
      </c>
      <c r="B321" s="2">
        <v>46019</v>
      </c>
      <c r="C321" t="s">
        <v>50</v>
      </c>
      <c r="D321" t="s">
        <v>31</v>
      </c>
      <c r="E321" t="s">
        <v>24</v>
      </c>
      <c r="F321">
        <v>39.5</v>
      </c>
      <c r="G321">
        <v>76.8</v>
      </c>
      <c r="H321">
        <v>17.399999999999999</v>
      </c>
      <c r="I321">
        <v>49.1</v>
      </c>
      <c r="J321">
        <v>0.75</v>
      </c>
      <c r="K321">
        <v>51.1</v>
      </c>
      <c r="L321">
        <v>16.3</v>
      </c>
      <c r="M321">
        <v>62.5</v>
      </c>
      <c r="N321">
        <v>2.6</v>
      </c>
      <c r="O321">
        <v>203</v>
      </c>
      <c r="P321" t="s">
        <v>28</v>
      </c>
    </row>
    <row r="322" spans="1:16" x14ac:dyDescent="0.25">
      <c r="A322" t="s">
        <v>379</v>
      </c>
      <c r="B322" s="2">
        <v>45810</v>
      </c>
      <c r="C322" t="s">
        <v>17</v>
      </c>
      <c r="D322" t="s">
        <v>18</v>
      </c>
      <c r="E322" t="s">
        <v>74</v>
      </c>
      <c r="F322">
        <v>83.2</v>
      </c>
      <c r="G322">
        <v>36.299999999999997</v>
      </c>
      <c r="H322">
        <v>21.4</v>
      </c>
      <c r="I322">
        <v>6.2</v>
      </c>
      <c r="J322">
        <v>0.4</v>
      </c>
      <c r="K322">
        <v>54.8</v>
      </c>
      <c r="L322">
        <v>24</v>
      </c>
      <c r="M322">
        <v>68.2</v>
      </c>
      <c r="N322">
        <v>1.4</v>
      </c>
      <c r="O322">
        <v>213</v>
      </c>
      <c r="P322" t="s">
        <v>28</v>
      </c>
    </row>
    <row r="323" spans="1:16" x14ac:dyDescent="0.25">
      <c r="A323" t="s">
        <v>380</v>
      </c>
      <c r="B323" s="2">
        <v>45705</v>
      </c>
      <c r="C323" t="s">
        <v>81</v>
      </c>
      <c r="D323" t="s">
        <v>39</v>
      </c>
      <c r="E323" t="s">
        <v>32</v>
      </c>
      <c r="F323">
        <v>61.6</v>
      </c>
      <c r="G323">
        <v>68.8</v>
      </c>
      <c r="H323">
        <v>25.4</v>
      </c>
      <c r="I323">
        <v>15.2</v>
      </c>
      <c r="J323">
        <v>0.63</v>
      </c>
      <c r="K323">
        <v>47.7</v>
      </c>
      <c r="L323">
        <v>32</v>
      </c>
      <c r="M323">
        <v>68.099999999999994</v>
      </c>
      <c r="N323">
        <v>3.5</v>
      </c>
      <c r="O323">
        <v>211</v>
      </c>
      <c r="P323" t="s">
        <v>28</v>
      </c>
    </row>
    <row r="324" spans="1:16" x14ac:dyDescent="0.25">
      <c r="A324" t="s">
        <v>381</v>
      </c>
      <c r="B324" s="2">
        <v>45903</v>
      </c>
      <c r="C324" t="s">
        <v>64</v>
      </c>
      <c r="D324" t="s">
        <v>36</v>
      </c>
      <c r="E324" t="s">
        <v>61</v>
      </c>
      <c r="F324">
        <v>24.3</v>
      </c>
      <c r="G324">
        <v>61</v>
      </c>
      <c r="H324">
        <v>10.9</v>
      </c>
      <c r="I324">
        <v>6.6</v>
      </c>
      <c r="J324">
        <v>1.01</v>
      </c>
      <c r="K324">
        <v>8.1999999999999993</v>
      </c>
      <c r="L324">
        <v>36.5</v>
      </c>
      <c r="M324">
        <v>63.9</v>
      </c>
      <c r="N324">
        <v>2.7</v>
      </c>
      <c r="O324">
        <v>121</v>
      </c>
      <c r="P324" t="s">
        <v>33</v>
      </c>
    </row>
    <row r="325" spans="1:16" x14ac:dyDescent="0.25">
      <c r="A325" t="s">
        <v>382</v>
      </c>
      <c r="B325" s="2">
        <v>45746</v>
      </c>
      <c r="C325" t="s">
        <v>38</v>
      </c>
      <c r="D325" t="s">
        <v>39</v>
      </c>
      <c r="E325" t="s">
        <v>91</v>
      </c>
      <c r="F325">
        <v>31.8</v>
      </c>
      <c r="G325">
        <v>83.5</v>
      </c>
      <c r="H325">
        <v>5.0999999999999996</v>
      </c>
      <c r="I325">
        <v>6.1</v>
      </c>
      <c r="J325">
        <v>0.17</v>
      </c>
      <c r="K325">
        <v>35.299999999999997</v>
      </c>
      <c r="L325">
        <v>34.9</v>
      </c>
      <c r="M325">
        <v>80.099999999999994</v>
      </c>
      <c r="N325">
        <v>1.3</v>
      </c>
      <c r="O325">
        <v>134</v>
      </c>
      <c r="P325" t="s">
        <v>33</v>
      </c>
    </row>
    <row r="326" spans="1:16" x14ac:dyDescent="0.25">
      <c r="A326" t="s">
        <v>383</v>
      </c>
      <c r="B326" s="2">
        <v>45890</v>
      </c>
      <c r="C326" t="s">
        <v>22</v>
      </c>
      <c r="D326" t="s">
        <v>23</v>
      </c>
      <c r="E326" t="s">
        <v>45</v>
      </c>
      <c r="F326">
        <v>5.3</v>
      </c>
      <c r="G326">
        <v>63.2</v>
      </c>
      <c r="H326">
        <v>32.4</v>
      </c>
      <c r="I326">
        <v>18</v>
      </c>
      <c r="J326">
        <v>0.18</v>
      </c>
      <c r="K326">
        <v>46.9</v>
      </c>
      <c r="L326">
        <v>32.700000000000003</v>
      </c>
      <c r="M326">
        <v>71.7</v>
      </c>
      <c r="N326">
        <v>3.1</v>
      </c>
      <c r="O326">
        <v>114</v>
      </c>
      <c r="P326" t="s">
        <v>33</v>
      </c>
    </row>
    <row r="327" spans="1:16" x14ac:dyDescent="0.25">
      <c r="A327" t="s">
        <v>384</v>
      </c>
      <c r="B327" s="2">
        <v>45946</v>
      </c>
      <c r="C327" t="s">
        <v>93</v>
      </c>
      <c r="D327" t="s">
        <v>36</v>
      </c>
      <c r="E327" t="s">
        <v>32</v>
      </c>
      <c r="F327">
        <v>38.700000000000003</v>
      </c>
      <c r="G327">
        <v>54.6</v>
      </c>
      <c r="H327">
        <v>22.5</v>
      </c>
      <c r="I327">
        <v>36.9</v>
      </c>
      <c r="J327">
        <v>1.5</v>
      </c>
      <c r="K327">
        <v>13.7</v>
      </c>
      <c r="L327">
        <v>33.6</v>
      </c>
      <c r="M327">
        <v>96.4</v>
      </c>
      <c r="N327">
        <v>2.2999999999999998</v>
      </c>
      <c r="O327">
        <v>185</v>
      </c>
      <c r="P327" t="s">
        <v>33</v>
      </c>
    </row>
    <row r="328" spans="1:16" x14ac:dyDescent="0.25">
      <c r="A328" t="s">
        <v>385</v>
      </c>
      <c r="B328" s="2">
        <v>45865</v>
      </c>
      <c r="C328" t="s">
        <v>38</v>
      </c>
      <c r="D328" t="s">
        <v>39</v>
      </c>
      <c r="E328" t="s">
        <v>24</v>
      </c>
      <c r="F328">
        <v>98.3</v>
      </c>
      <c r="G328">
        <v>32.6</v>
      </c>
      <c r="H328">
        <v>13.2</v>
      </c>
      <c r="I328">
        <v>10.9</v>
      </c>
      <c r="J328">
        <v>0.27</v>
      </c>
      <c r="K328">
        <v>72.400000000000006</v>
      </c>
      <c r="L328">
        <v>20</v>
      </c>
      <c r="M328">
        <v>62.3</v>
      </c>
      <c r="N328">
        <v>3</v>
      </c>
      <c r="O328">
        <v>236</v>
      </c>
      <c r="P328" t="s">
        <v>28</v>
      </c>
    </row>
    <row r="329" spans="1:16" x14ac:dyDescent="0.25">
      <c r="A329" t="s">
        <v>386</v>
      </c>
      <c r="B329" s="2">
        <v>45800</v>
      </c>
      <c r="C329" t="s">
        <v>50</v>
      </c>
      <c r="D329" t="s">
        <v>31</v>
      </c>
      <c r="E329" t="s">
        <v>19</v>
      </c>
      <c r="F329">
        <v>73.900000000000006</v>
      </c>
      <c r="G329">
        <v>99.8</v>
      </c>
      <c r="H329">
        <v>11.2</v>
      </c>
      <c r="I329">
        <v>11.2</v>
      </c>
      <c r="J329">
        <v>7.0000000000000007E-2</v>
      </c>
      <c r="K329">
        <v>11.2</v>
      </c>
      <c r="L329">
        <v>17</v>
      </c>
      <c r="M329">
        <v>48.9</v>
      </c>
      <c r="N329">
        <v>3.1</v>
      </c>
      <c r="O329">
        <v>207</v>
      </c>
      <c r="P329" t="s">
        <v>28</v>
      </c>
    </row>
    <row r="330" spans="1:16" x14ac:dyDescent="0.25">
      <c r="A330" t="s">
        <v>387</v>
      </c>
      <c r="B330" s="2">
        <v>45880</v>
      </c>
      <c r="C330" t="s">
        <v>64</v>
      </c>
      <c r="D330" t="s">
        <v>36</v>
      </c>
      <c r="E330" t="s">
        <v>24</v>
      </c>
      <c r="F330">
        <v>10.199999999999999</v>
      </c>
      <c r="G330">
        <v>39.1</v>
      </c>
      <c r="H330">
        <v>21.6</v>
      </c>
      <c r="I330">
        <v>22.1</v>
      </c>
      <c r="J330">
        <v>0.48</v>
      </c>
      <c r="K330">
        <v>23.9</v>
      </c>
      <c r="L330">
        <v>17.8</v>
      </c>
      <c r="M330">
        <v>74.099999999999994</v>
      </c>
      <c r="N330">
        <v>1.4</v>
      </c>
      <c r="O330">
        <v>97</v>
      </c>
      <c r="P330" t="s">
        <v>71</v>
      </c>
    </row>
    <row r="331" spans="1:16" x14ac:dyDescent="0.25">
      <c r="A331" t="s">
        <v>388</v>
      </c>
      <c r="B331" s="2">
        <v>45818</v>
      </c>
      <c r="C331" t="s">
        <v>35</v>
      </c>
      <c r="D331" t="s">
        <v>36</v>
      </c>
      <c r="E331" t="s">
        <v>74</v>
      </c>
      <c r="F331">
        <v>36.299999999999997</v>
      </c>
      <c r="G331">
        <v>104.7</v>
      </c>
      <c r="H331">
        <v>12.8</v>
      </c>
      <c r="I331">
        <v>10.3</v>
      </c>
      <c r="J331">
        <v>0.11</v>
      </c>
      <c r="K331">
        <v>31.2</v>
      </c>
      <c r="L331">
        <v>23</v>
      </c>
      <c r="M331">
        <v>63.9</v>
      </c>
      <c r="N331">
        <v>1.9</v>
      </c>
      <c r="O331">
        <v>160</v>
      </c>
      <c r="P331" t="s">
        <v>33</v>
      </c>
    </row>
    <row r="332" spans="1:16" x14ac:dyDescent="0.25">
      <c r="A332" t="s">
        <v>389</v>
      </c>
      <c r="B332" s="2">
        <v>45878</v>
      </c>
      <c r="C332" t="s">
        <v>26</v>
      </c>
      <c r="D332" t="s">
        <v>23</v>
      </c>
      <c r="E332" t="s">
        <v>24</v>
      </c>
      <c r="F332">
        <v>18.899999999999999</v>
      </c>
      <c r="G332">
        <v>46.7</v>
      </c>
      <c r="H332">
        <v>26.3</v>
      </c>
      <c r="I332">
        <v>14.3</v>
      </c>
      <c r="J332">
        <v>0.64</v>
      </c>
      <c r="K332">
        <v>15.3</v>
      </c>
      <c r="L332">
        <v>20.3</v>
      </c>
      <c r="M332">
        <v>62.5</v>
      </c>
      <c r="N332">
        <v>1.5</v>
      </c>
      <c r="O332">
        <v>115</v>
      </c>
      <c r="P332" t="s">
        <v>33</v>
      </c>
    </row>
    <row r="333" spans="1:16" x14ac:dyDescent="0.25">
      <c r="A333" t="s">
        <v>390</v>
      </c>
      <c r="B333" s="2">
        <v>45731</v>
      </c>
      <c r="C333" t="s">
        <v>26</v>
      </c>
      <c r="D333" t="s">
        <v>23</v>
      </c>
      <c r="E333" t="s">
        <v>61</v>
      </c>
      <c r="F333">
        <v>85.8</v>
      </c>
      <c r="G333">
        <v>135</v>
      </c>
      <c r="H333">
        <v>26</v>
      </c>
      <c r="I333">
        <v>25.3</v>
      </c>
      <c r="J333">
        <v>1.03</v>
      </c>
      <c r="K333">
        <v>37.6</v>
      </c>
      <c r="L333">
        <v>26.6</v>
      </c>
      <c r="M333">
        <v>92.3</v>
      </c>
      <c r="N333">
        <v>3.5</v>
      </c>
      <c r="O333">
        <v>306</v>
      </c>
      <c r="P333" t="s">
        <v>20</v>
      </c>
    </row>
    <row r="334" spans="1:16" x14ac:dyDescent="0.25">
      <c r="A334" t="s">
        <v>391</v>
      </c>
      <c r="B334" s="2">
        <v>45935</v>
      </c>
      <c r="C334" t="s">
        <v>81</v>
      </c>
      <c r="D334" t="s">
        <v>39</v>
      </c>
      <c r="E334" t="s">
        <v>61</v>
      </c>
      <c r="F334">
        <v>24.6</v>
      </c>
      <c r="G334">
        <v>93.1</v>
      </c>
      <c r="H334">
        <v>19.100000000000001</v>
      </c>
      <c r="I334">
        <v>10.1</v>
      </c>
      <c r="J334">
        <v>0.28999999999999998</v>
      </c>
      <c r="K334">
        <v>32</v>
      </c>
      <c r="L334">
        <v>38.9</v>
      </c>
      <c r="M334">
        <v>69</v>
      </c>
      <c r="N334">
        <v>2.5</v>
      </c>
      <c r="O334">
        <v>144</v>
      </c>
      <c r="P334" t="s">
        <v>33</v>
      </c>
    </row>
    <row r="335" spans="1:16" x14ac:dyDescent="0.25">
      <c r="A335" t="s">
        <v>392</v>
      </c>
      <c r="B335" s="2">
        <v>45715</v>
      </c>
      <c r="C335" t="s">
        <v>67</v>
      </c>
      <c r="D335" t="s">
        <v>18</v>
      </c>
      <c r="E335" t="s">
        <v>97</v>
      </c>
      <c r="F335">
        <v>149</v>
      </c>
      <c r="G335">
        <v>158.19999999999999</v>
      </c>
      <c r="H335">
        <v>30.1</v>
      </c>
      <c r="I335">
        <v>3.8</v>
      </c>
      <c r="J335">
        <v>1.3</v>
      </c>
      <c r="K335">
        <v>12.4</v>
      </c>
      <c r="L335">
        <v>25.8</v>
      </c>
      <c r="M335">
        <v>57.1</v>
      </c>
      <c r="N335">
        <v>2.8</v>
      </c>
      <c r="O335">
        <v>406</v>
      </c>
      <c r="P335" t="s">
        <v>20</v>
      </c>
    </row>
    <row r="336" spans="1:16" x14ac:dyDescent="0.25">
      <c r="A336" t="s">
        <v>393</v>
      </c>
      <c r="B336" s="2">
        <v>45762</v>
      </c>
      <c r="C336" t="s">
        <v>77</v>
      </c>
      <c r="D336" t="s">
        <v>39</v>
      </c>
      <c r="E336" t="s">
        <v>32</v>
      </c>
      <c r="F336">
        <v>16.399999999999999</v>
      </c>
      <c r="G336">
        <v>98.2</v>
      </c>
      <c r="H336">
        <v>37.799999999999997</v>
      </c>
      <c r="I336">
        <v>20.2</v>
      </c>
      <c r="J336">
        <v>0.39</v>
      </c>
      <c r="K336">
        <v>18.399999999999999</v>
      </c>
      <c r="L336">
        <v>35.9</v>
      </c>
      <c r="M336">
        <v>59.5</v>
      </c>
      <c r="N336">
        <v>2.8</v>
      </c>
      <c r="O336">
        <v>152</v>
      </c>
      <c r="P336" t="s">
        <v>33</v>
      </c>
    </row>
    <row r="337" spans="1:16" x14ac:dyDescent="0.25">
      <c r="A337" t="s">
        <v>394</v>
      </c>
      <c r="B337" s="2">
        <v>45971</v>
      </c>
      <c r="C337" t="s">
        <v>26</v>
      </c>
      <c r="D337" t="s">
        <v>23</v>
      </c>
      <c r="E337" t="s">
        <v>24</v>
      </c>
      <c r="F337">
        <v>22.4</v>
      </c>
      <c r="G337">
        <v>134.30000000000001</v>
      </c>
      <c r="H337">
        <v>11.6</v>
      </c>
      <c r="I337">
        <v>4</v>
      </c>
      <c r="J337">
        <v>2.5</v>
      </c>
      <c r="K337">
        <v>22.3</v>
      </c>
      <c r="L337">
        <v>22</v>
      </c>
      <c r="M337">
        <v>64.599999999999994</v>
      </c>
      <c r="N337">
        <v>1.8</v>
      </c>
      <c r="O337">
        <v>208</v>
      </c>
      <c r="P337" t="s">
        <v>28</v>
      </c>
    </row>
    <row r="338" spans="1:16" x14ac:dyDescent="0.25">
      <c r="A338" t="s">
        <v>395</v>
      </c>
      <c r="B338" s="2">
        <v>45851</v>
      </c>
      <c r="C338" t="s">
        <v>77</v>
      </c>
      <c r="D338" t="s">
        <v>39</v>
      </c>
      <c r="E338" t="s">
        <v>74</v>
      </c>
      <c r="F338">
        <v>23.1</v>
      </c>
      <c r="G338">
        <v>96.8</v>
      </c>
      <c r="H338">
        <v>19.399999999999999</v>
      </c>
      <c r="I338">
        <v>57.9</v>
      </c>
      <c r="J338">
        <v>0.97</v>
      </c>
      <c r="K338">
        <v>24.7</v>
      </c>
      <c r="L338">
        <v>28</v>
      </c>
      <c r="M338">
        <v>65.7</v>
      </c>
      <c r="N338">
        <v>2.1</v>
      </c>
      <c r="O338">
        <v>191</v>
      </c>
      <c r="P338" t="s">
        <v>33</v>
      </c>
    </row>
    <row r="339" spans="1:16" x14ac:dyDescent="0.25">
      <c r="A339" t="s">
        <v>396</v>
      </c>
      <c r="B339" s="2">
        <v>45874</v>
      </c>
      <c r="C339" t="s">
        <v>42</v>
      </c>
      <c r="D339" t="s">
        <v>23</v>
      </c>
      <c r="E339" t="s">
        <v>43</v>
      </c>
      <c r="F339">
        <v>60</v>
      </c>
      <c r="G339">
        <v>40.200000000000003</v>
      </c>
      <c r="H339">
        <v>45.7</v>
      </c>
      <c r="I339">
        <v>9.6</v>
      </c>
      <c r="J339">
        <v>1.93</v>
      </c>
      <c r="K339">
        <v>61.6</v>
      </c>
      <c r="L339">
        <v>25.4</v>
      </c>
      <c r="M339">
        <v>48.7</v>
      </c>
      <c r="N339">
        <v>2.4</v>
      </c>
      <c r="O339">
        <v>241</v>
      </c>
      <c r="P339" t="s">
        <v>28</v>
      </c>
    </row>
    <row r="340" spans="1:16" x14ac:dyDescent="0.25">
      <c r="A340" t="s">
        <v>397</v>
      </c>
      <c r="B340" s="2">
        <v>45909</v>
      </c>
      <c r="C340" t="s">
        <v>52</v>
      </c>
      <c r="D340" t="s">
        <v>31</v>
      </c>
      <c r="E340" t="s">
        <v>40</v>
      </c>
      <c r="F340">
        <v>65.8</v>
      </c>
      <c r="G340">
        <v>85.2</v>
      </c>
      <c r="H340">
        <v>39.799999999999997</v>
      </c>
      <c r="I340">
        <v>13.6</v>
      </c>
      <c r="J340">
        <v>0.79</v>
      </c>
      <c r="K340">
        <v>14.8</v>
      </c>
      <c r="L340">
        <v>20.9</v>
      </c>
      <c r="M340">
        <v>47</v>
      </c>
      <c r="N340">
        <v>1.9</v>
      </c>
      <c r="O340">
        <v>228</v>
      </c>
      <c r="P340" t="s">
        <v>28</v>
      </c>
    </row>
    <row r="341" spans="1:16" x14ac:dyDescent="0.25">
      <c r="A341" t="s">
        <v>398</v>
      </c>
      <c r="B341" s="2">
        <v>45944</v>
      </c>
      <c r="C341" t="s">
        <v>38</v>
      </c>
      <c r="D341" t="s">
        <v>39</v>
      </c>
      <c r="E341" t="s">
        <v>40</v>
      </c>
      <c r="F341">
        <v>17.100000000000001</v>
      </c>
      <c r="G341">
        <v>50.7</v>
      </c>
      <c r="H341">
        <v>12.5</v>
      </c>
      <c r="I341">
        <v>3.3</v>
      </c>
      <c r="J341">
        <v>0.86</v>
      </c>
      <c r="K341">
        <v>37.700000000000003</v>
      </c>
      <c r="L341">
        <v>29.3</v>
      </c>
      <c r="M341">
        <v>59.8</v>
      </c>
      <c r="N341">
        <v>1.7</v>
      </c>
      <c r="O341">
        <v>111</v>
      </c>
      <c r="P341" t="s">
        <v>33</v>
      </c>
    </row>
    <row r="342" spans="1:16" x14ac:dyDescent="0.25">
      <c r="A342" t="s">
        <v>399</v>
      </c>
      <c r="B342" s="2">
        <v>45687</v>
      </c>
      <c r="C342" t="s">
        <v>35</v>
      </c>
      <c r="D342" t="s">
        <v>36</v>
      </c>
      <c r="E342" t="s">
        <v>70</v>
      </c>
      <c r="F342">
        <v>89</v>
      </c>
      <c r="G342">
        <v>88.7</v>
      </c>
      <c r="H342">
        <v>58</v>
      </c>
      <c r="I342">
        <v>26.7</v>
      </c>
      <c r="J342">
        <v>1.08</v>
      </c>
      <c r="K342">
        <v>25.3</v>
      </c>
      <c r="L342">
        <v>25.7</v>
      </c>
      <c r="M342">
        <v>63.6</v>
      </c>
      <c r="N342">
        <v>1.7</v>
      </c>
      <c r="O342">
        <v>304</v>
      </c>
      <c r="P342" t="s">
        <v>20</v>
      </c>
    </row>
    <row r="343" spans="1:16" x14ac:dyDescent="0.25">
      <c r="A343" t="s">
        <v>400</v>
      </c>
      <c r="B343" s="2">
        <v>45791</v>
      </c>
      <c r="C343" t="s">
        <v>93</v>
      </c>
      <c r="D343" t="s">
        <v>36</v>
      </c>
      <c r="E343" t="s">
        <v>19</v>
      </c>
      <c r="F343">
        <v>46.3</v>
      </c>
      <c r="G343">
        <v>199.6</v>
      </c>
      <c r="H343">
        <v>62.5</v>
      </c>
      <c r="I343">
        <v>12.9</v>
      </c>
      <c r="J343">
        <v>0.19</v>
      </c>
      <c r="K343">
        <v>42.7</v>
      </c>
      <c r="L343">
        <v>24.7</v>
      </c>
      <c r="M343">
        <v>62.9</v>
      </c>
      <c r="N343">
        <v>1.1000000000000001</v>
      </c>
      <c r="O343">
        <v>287</v>
      </c>
      <c r="P343" t="s">
        <v>28</v>
      </c>
    </row>
    <row r="344" spans="1:16" x14ac:dyDescent="0.25">
      <c r="A344" t="s">
        <v>401</v>
      </c>
      <c r="B344" s="2">
        <v>45926</v>
      </c>
      <c r="C344" t="s">
        <v>22</v>
      </c>
      <c r="D344" t="s">
        <v>23</v>
      </c>
      <c r="E344" t="s">
        <v>40</v>
      </c>
      <c r="F344">
        <v>52.7</v>
      </c>
      <c r="G344">
        <v>52.7</v>
      </c>
      <c r="H344">
        <v>70.900000000000006</v>
      </c>
      <c r="I344">
        <v>15</v>
      </c>
      <c r="J344">
        <v>1.8</v>
      </c>
      <c r="K344">
        <v>36.6</v>
      </c>
      <c r="L344">
        <v>26.9</v>
      </c>
      <c r="M344">
        <v>54.5</v>
      </c>
      <c r="N344">
        <v>1.4</v>
      </c>
      <c r="O344">
        <v>247</v>
      </c>
      <c r="P344" t="s">
        <v>28</v>
      </c>
    </row>
    <row r="345" spans="1:16" x14ac:dyDescent="0.25">
      <c r="A345" t="s">
        <v>402</v>
      </c>
      <c r="B345" s="2">
        <v>45835</v>
      </c>
      <c r="C345" t="s">
        <v>35</v>
      </c>
      <c r="D345" t="s">
        <v>36</v>
      </c>
      <c r="E345" t="s">
        <v>61</v>
      </c>
      <c r="F345">
        <v>48</v>
      </c>
      <c r="G345">
        <v>45.6</v>
      </c>
      <c r="H345">
        <v>34.299999999999997</v>
      </c>
      <c r="I345">
        <v>23.7</v>
      </c>
      <c r="J345">
        <v>1.1200000000000001</v>
      </c>
      <c r="K345">
        <v>24.7</v>
      </c>
      <c r="L345">
        <v>28</v>
      </c>
      <c r="M345">
        <v>41.5</v>
      </c>
      <c r="N345">
        <v>2.1</v>
      </c>
      <c r="O345">
        <v>190</v>
      </c>
      <c r="P345" t="s">
        <v>33</v>
      </c>
    </row>
    <row r="346" spans="1:16" x14ac:dyDescent="0.25">
      <c r="A346" t="s">
        <v>403</v>
      </c>
      <c r="B346" s="2">
        <v>45825</v>
      </c>
      <c r="C346" t="s">
        <v>38</v>
      </c>
      <c r="D346" t="s">
        <v>39</v>
      </c>
      <c r="E346" t="s">
        <v>19</v>
      </c>
      <c r="F346">
        <v>12.2</v>
      </c>
      <c r="G346">
        <v>95.6</v>
      </c>
      <c r="H346">
        <v>6.9</v>
      </c>
      <c r="I346">
        <v>3.8</v>
      </c>
      <c r="J346">
        <v>0.76</v>
      </c>
      <c r="K346">
        <v>80.599999999999994</v>
      </c>
      <c r="L346">
        <v>25.5</v>
      </c>
      <c r="M346">
        <v>65.099999999999994</v>
      </c>
      <c r="N346">
        <v>0.7</v>
      </c>
      <c r="O346">
        <v>145</v>
      </c>
      <c r="P346" t="s">
        <v>33</v>
      </c>
    </row>
    <row r="347" spans="1:16" x14ac:dyDescent="0.25">
      <c r="A347" t="s">
        <v>404</v>
      </c>
      <c r="B347" s="2">
        <v>45992</v>
      </c>
      <c r="C347" t="s">
        <v>77</v>
      </c>
      <c r="D347" t="s">
        <v>39</v>
      </c>
      <c r="E347" t="s">
        <v>45</v>
      </c>
      <c r="F347">
        <v>39.4</v>
      </c>
      <c r="G347">
        <v>61.7</v>
      </c>
      <c r="H347">
        <v>82</v>
      </c>
      <c r="I347">
        <v>14.5</v>
      </c>
      <c r="J347">
        <v>0.51</v>
      </c>
      <c r="K347">
        <v>38.200000000000003</v>
      </c>
      <c r="L347">
        <v>25.2</v>
      </c>
      <c r="M347">
        <v>74</v>
      </c>
      <c r="N347">
        <v>2.6</v>
      </c>
      <c r="O347">
        <v>209</v>
      </c>
      <c r="P347" t="s">
        <v>28</v>
      </c>
    </row>
    <row r="348" spans="1:16" x14ac:dyDescent="0.25">
      <c r="A348" t="s">
        <v>405</v>
      </c>
      <c r="B348" s="2">
        <v>46010</v>
      </c>
      <c r="C348" t="s">
        <v>52</v>
      </c>
      <c r="D348" t="s">
        <v>31</v>
      </c>
      <c r="E348" t="s">
        <v>40</v>
      </c>
      <c r="F348">
        <v>6.7</v>
      </c>
      <c r="G348">
        <v>139.5</v>
      </c>
      <c r="H348">
        <v>16.100000000000001</v>
      </c>
      <c r="I348">
        <v>17.5</v>
      </c>
      <c r="J348">
        <v>0.75</v>
      </c>
      <c r="K348">
        <v>43</v>
      </c>
      <c r="L348">
        <v>14.6</v>
      </c>
      <c r="M348">
        <v>68</v>
      </c>
      <c r="N348">
        <v>2.9</v>
      </c>
      <c r="O348">
        <v>165</v>
      </c>
      <c r="P348" t="s">
        <v>33</v>
      </c>
    </row>
    <row r="349" spans="1:16" x14ac:dyDescent="0.25">
      <c r="A349" t="s">
        <v>406</v>
      </c>
      <c r="B349" s="2">
        <v>45988</v>
      </c>
      <c r="C349" t="s">
        <v>67</v>
      </c>
      <c r="D349" t="s">
        <v>18</v>
      </c>
      <c r="E349" t="s">
        <v>58</v>
      </c>
      <c r="F349">
        <v>51.6</v>
      </c>
      <c r="G349">
        <v>127.8</v>
      </c>
      <c r="H349">
        <v>27.1</v>
      </c>
      <c r="I349">
        <v>13.5</v>
      </c>
      <c r="J349">
        <v>1.39</v>
      </c>
      <c r="K349">
        <v>21.8</v>
      </c>
      <c r="L349">
        <v>25.6</v>
      </c>
      <c r="M349">
        <v>61.8</v>
      </c>
      <c r="N349">
        <v>1.2</v>
      </c>
      <c r="O349">
        <v>241</v>
      </c>
      <c r="P349" t="s">
        <v>28</v>
      </c>
    </row>
    <row r="350" spans="1:16" x14ac:dyDescent="0.25">
      <c r="A350" t="s">
        <v>407</v>
      </c>
      <c r="B350" s="2">
        <v>45677</v>
      </c>
      <c r="C350" t="s">
        <v>26</v>
      </c>
      <c r="D350" t="s">
        <v>23</v>
      </c>
      <c r="E350" t="s">
        <v>91</v>
      </c>
      <c r="F350">
        <v>48.2</v>
      </c>
      <c r="G350">
        <v>147.5</v>
      </c>
      <c r="H350">
        <v>38.299999999999997</v>
      </c>
      <c r="I350">
        <v>13.6</v>
      </c>
      <c r="J350">
        <v>1.46</v>
      </c>
      <c r="K350">
        <v>33.5</v>
      </c>
      <c r="L350">
        <v>24.7</v>
      </c>
      <c r="M350">
        <v>63.9</v>
      </c>
      <c r="N350">
        <v>2.1</v>
      </c>
      <c r="O350">
        <v>265</v>
      </c>
      <c r="P350" t="s">
        <v>28</v>
      </c>
    </row>
    <row r="351" spans="1:16" x14ac:dyDescent="0.25">
      <c r="A351" t="s">
        <v>408</v>
      </c>
      <c r="B351" s="2">
        <v>45875</v>
      </c>
      <c r="C351" t="s">
        <v>54</v>
      </c>
      <c r="D351" t="s">
        <v>18</v>
      </c>
      <c r="E351" t="s">
        <v>55</v>
      </c>
      <c r="F351">
        <v>62.2</v>
      </c>
      <c r="G351">
        <v>24.9</v>
      </c>
      <c r="H351">
        <v>54.5</v>
      </c>
      <c r="I351">
        <v>10.6</v>
      </c>
      <c r="J351">
        <v>1.95</v>
      </c>
      <c r="K351">
        <v>51.6</v>
      </c>
      <c r="L351">
        <v>26.5</v>
      </c>
      <c r="M351">
        <v>69.3</v>
      </c>
      <c r="N351">
        <v>2.7</v>
      </c>
      <c r="O351">
        <v>239</v>
      </c>
      <c r="P351" t="s">
        <v>28</v>
      </c>
    </row>
    <row r="352" spans="1:16" x14ac:dyDescent="0.25">
      <c r="A352" t="s">
        <v>409</v>
      </c>
      <c r="B352" s="2">
        <v>45706</v>
      </c>
      <c r="C352" t="s">
        <v>81</v>
      </c>
      <c r="D352" t="s">
        <v>39</v>
      </c>
      <c r="E352" t="s">
        <v>43</v>
      </c>
      <c r="F352">
        <v>51.5</v>
      </c>
      <c r="G352">
        <v>165.2</v>
      </c>
      <c r="H352">
        <v>45.4</v>
      </c>
      <c r="I352">
        <v>9</v>
      </c>
      <c r="J352">
        <v>0.8</v>
      </c>
      <c r="K352">
        <v>51.9</v>
      </c>
      <c r="L352">
        <v>34.4</v>
      </c>
      <c r="M352">
        <v>44.9</v>
      </c>
      <c r="N352">
        <v>1</v>
      </c>
      <c r="O352">
        <v>276</v>
      </c>
      <c r="P352" t="s">
        <v>28</v>
      </c>
    </row>
    <row r="353" spans="1:16" x14ac:dyDescent="0.25">
      <c r="A353" t="s">
        <v>410</v>
      </c>
      <c r="B353" s="2">
        <v>45906</v>
      </c>
      <c r="C353" t="s">
        <v>42</v>
      </c>
      <c r="D353" t="s">
        <v>23</v>
      </c>
      <c r="E353" t="s">
        <v>43</v>
      </c>
      <c r="F353">
        <v>105.5</v>
      </c>
      <c r="G353">
        <v>142</v>
      </c>
      <c r="H353">
        <v>28.9</v>
      </c>
      <c r="I353">
        <v>4.4000000000000004</v>
      </c>
      <c r="J353">
        <v>1.4</v>
      </c>
      <c r="K353">
        <v>11.9</v>
      </c>
      <c r="L353">
        <v>28.9</v>
      </c>
      <c r="M353">
        <v>61.6</v>
      </c>
      <c r="N353">
        <v>4.8</v>
      </c>
      <c r="O353">
        <v>328</v>
      </c>
      <c r="P353" t="s">
        <v>20</v>
      </c>
    </row>
    <row r="354" spans="1:16" x14ac:dyDescent="0.25">
      <c r="A354" t="s">
        <v>411</v>
      </c>
      <c r="B354" s="2">
        <v>45748</v>
      </c>
      <c r="C354" t="s">
        <v>17</v>
      </c>
      <c r="D354" t="s">
        <v>18</v>
      </c>
      <c r="E354" t="s">
        <v>19</v>
      </c>
      <c r="F354">
        <v>40.1</v>
      </c>
      <c r="G354">
        <v>41.6</v>
      </c>
      <c r="H354">
        <v>24.8</v>
      </c>
      <c r="I354">
        <v>26.9</v>
      </c>
      <c r="J354">
        <v>0.75</v>
      </c>
      <c r="K354">
        <v>17.100000000000001</v>
      </c>
      <c r="L354">
        <v>31.5</v>
      </c>
      <c r="M354">
        <v>98</v>
      </c>
      <c r="N354">
        <v>2.7</v>
      </c>
      <c r="O354">
        <v>156</v>
      </c>
      <c r="P354" t="s">
        <v>33</v>
      </c>
    </row>
    <row r="355" spans="1:16" x14ac:dyDescent="0.25">
      <c r="A355" t="s">
        <v>412</v>
      </c>
      <c r="B355" s="2">
        <v>45685</v>
      </c>
      <c r="C355" t="s">
        <v>17</v>
      </c>
      <c r="D355" t="s">
        <v>18</v>
      </c>
      <c r="E355" t="s">
        <v>24</v>
      </c>
      <c r="F355">
        <v>47.6</v>
      </c>
      <c r="G355">
        <v>43.6</v>
      </c>
      <c r="H355">
        <v>52.4</v>
      </c>
      <c r="I355">
        <v>34.4</v>
      </c>
      <c r="J355">
        <v>1.8</v>
      </c>
      <c r="K355">
        <v>53.3</v>
      </c>
      <c r="L355">
        <v>23</v>
      </c>
      <c r="M355">
        <v>37.9</v>
      </c>
      <c r="N355">
        <v>2.8</v>
      </c>
      <c r="O355">
        <v>239</v>
      </c>
      <c r="P355" t="s">
        <v>28</v>
      </c>
    </row>
    <row r="356" spans="1:16" x14ac:dyDescent="0.25">
      <c r="A356" t="s">
        <v>413</v>
      </c>
      <c r="B356" s="2">
        <v>45895</v>
      </c>
      <c r="C356" t="s">
        <v>64</v>
      </c>
      <c r="D356" t="s">
        <v>36</v>
      </c>
      <c r="E356" t="s">
        <v>19</v>
      </c>
      <c r="F356">
        <v>105.9</v>
      </c>
      <c r="G356">
        <v>69.7</v>
      </c>
      <c r="H356">
        <v>53</v>
      </c>
      <c r="I356">
        <v>12.1</v>
      </c>
      <c r="J356">
        <v>0.68</v>
      </c>
      <c r="K356">
        <v>29.2</v>
      </c>
      <c r="L356">
        <v>26.5</v>
      </c>
      <c r="M356">
        <v>80.5</v>
      </c>
      <c r="N356">
        <v>3.8</v>
      </c>
      <c r="O356">
        <v>296</v>
      </c>
      <c r="P356" t="s">
        <v>28</v>
      </c>
    </row>
    <row r="357" spans="1:16" x14ac:dyDescent="0.25">
      <c r="A357" t="s">
        <v>414</v>
      </c>
      <c r="B357" s="2">
        <v>45783</v>
      </c>
      <c r="C357" t="s">
        <v>22</v>
      </c>
      <c r="D357" t="s">
        <v>23</v>
      </c>
      <c r="E357" t="s">
        <v>32</v>
      </c>
      <c r="F357">
        <v>57.2</v>
      </c>
      <c r="G357">
        <v>107.9</v>
      </c>
      <c r="H357">
        <v>30.1</v>
      </c>
      <c r="I357">
        <v>37.5</v>
      </c>
      <c r="J357">
        <v>0.59</v>
      </c>
      <c r="K357">
        <v>71.8</v>
      </c>
      <c r="L357">
        <v>23.6</v>
      </c>
      <c r="M357">
        <v>59</v>
      </c>
      <c r="N357">
        <v>3.3</v>
      </c>
      <c r="O357">
        <v>259</v>
      </c>
      <c r="P357" t="s">
        <v>28</v>
      </c>
    </row>
    <row r="358" spans="1:16" x14ac:dyDescent="0.25">
      <c r="A358" t="s">
        <v>415</v>
      </c>
      <c r="B358" s="2">
        <v>45997</v>
      </c>
      <c r="C358" t="s">
        <v>64</v>
      </c>
      <c r="D358" t="s">
        <v>36</v>
      </c>
      <c r="E358" t="s">
        <v>24</v>
      </c>
      <c r="F358">
        <v>51.1</v>
      </c>
      <c r="G358">
        <v>67.400000000000006</v>
      </c>
      <c r="H358">
        <v>24.9</v>
      </c>
      <c r="I358">
        <v>14.8</v>
      </c>
      <c r="J358">
        <v>0.56000000000000005</v>
      </c>
      <c r="K358">
        <v>55</v>
      </c>
      <c r="L358">
        <v>16.7</v>
      </c>
      <c r="M358">
        <v>82.4</v>
      </c>
      <c r="N358">
        <v>2.9</v>
      </c>
      <c r="O358">
        <v>195</v>
      </c>
      <c r="P358" t="s">
        <v>33</v>
      </c>
    </row>
    <row r="359" spans="1:16" x14ac:dyDescent="0.25">
      <c r="A359" t="s">
        <v>416</v>
      </c>
      <c r="B359" s="2">
        <v>45865</v>
      </c>
      <c r="C359" t="s">
        <v>50</v>
      </c>
      <c r="D359" t="s">
        <v>31</v>
      </c>
      <c r="E359" t="s">
        <v>58</v>
      </c>
      <c r="F359">
        <v>77.2</v>
      </c>
      <c r="G359">
        <v>76.7</v>
      </c>
      <c r="H359">
        <v>11.2</v>
      </c>
      <c r="I359">
        <v>0.6</v>
      </c>
      <c r="J359">
        <v>0.59</v>
      </c>
      <c r="K359">
        <v>16.7</v>
      </c>
      <c r="L359">
        <v>20.7</v>
      </c>
      <c r="M359">
        <v>75.8</v>
      </c>
      <c r="N359">
        <v>3</v>
      </c>
      <c r="O359">
        <v>205</v>
      </c>
      <c r="P359" t="s">
        <v>28</v>
      </c>
    </row>
    <row r="360" spans="1:16" x14ac:dyDescent="0.25">
      <c r="A360" t="s">
        <v>417</v>
      </c>
      <c r="B360" s="2">
        <v>45694</v>
      </c>
      <c r="C360" t="s">
        <v>54</v>
      </c>
      <c r="D360" t="s">
        <v>18</v>
      </c>
      <c r="E360" t="s">
        <v>43</v>
      </c>
      <c r="F360">
        <v>25.9</v>
      </c>
      <c r="G360">
        <v>39.299999999999997</v>
      </c>
      <c r="H360">
        <v>16.600000000000001</v>
      </c>
      <c r="I360">
        <v>5.9</v>
      </c>
      <c r="J360">
        <v>0.77</v>
      </c>
      <c r="K360">
        <v>27.2</v>
      </c>
      <c r="L360">
        <v>23.5</v>
      </c>
      <c r="M360">
        <v>83.1</v>
      </c>
      <c r="N360">
        <v>3.1</v>
      </c>
      <c r="O360">
        <v>116</v>
      </c>
      <c r="P360" t="s">
        <v>33</v>
      </c>
    </row>
    <row r="361" spans="1:16" x14ac:dyDescent="0.25">
      <c r="A361" t="s">
        <v>418</v>
      </c>
      <c r="B361" s="2">
        <v>45819</v>
      </c>
      <c r="C361" t="s">
        <v>64</v>
      </c>
      <c r="D361" t="s">
        <v>36</v>
      </c>
      <c r="E361" t="s">
        <v>74</v>
      </c>
      <c r="F361">
        <v>31.4</v>
      </c>
      <c r="G361">
        <v>42.1</v>
      </c>
      <c r="H361">
        <v>29.6</v>
      </c>
      <c r="I361">
        <v>33.5</v>
      </c>
      <c r="J361">
        <v>0.79</v>
      </c>
      <c r="K361">
        <v>43.1</v>
      </c>
      <c r="L361">
        <v>27.4</v>
      </c>
      <c r="M361">
        <v>54.9</v>
      </c>
      <c r="N361">
        <v>1.7</v>
      </c>
      <c r="O361">
        <v>164</v>
      </c>
      <c r="P361" t="s">
        <v>33</v>
      </c>
    </row>
    <row r="362" spans="1:16" x14ac:dyDescent="0.25">
      <c r="A362" t="s">
        <v>419</v>
      </c>
      <c r="B362" s="2">
        <v>45962</v>
      </c>
      <c r="C362" t="s">
        <v>38</v>
      </c>
      <c r="D362" t="s">
        <v>39</v>
      </c>
      <c r="E362" t="s">
        <v>45</v>
      </c>
      <c r="F362">
        <v>39</v>
      </c>
      <c r="G362">
        <v>25.5</v>
      </c>
      <c r="H362">
        <v>19.2</v>
      </c>
      <c r="I362">
        <v>8.4</v>
      </c>
      <c r="J362">
        <v>0.49</v>
      </c>
      <c r="K362">
        <v>21.6</v>
      </c>
      <c r="L362">
        <v>34.1</v>
      </c>
      <c r="M362">
        <v>43</v>
      </c>
      <c r="N362">
        <v>2.2999999999999998</v>
      </c>
      <c r="O362">
        <v>122</v>
      </c>
      <c r="P362" t="s">
        <v>33</v>
      </c>
    </row>
    <row r="363" spans="1:16" x14ac:dyDescent="0.25">
      <c r="A363" t="s">
        <v>420</v>
      </c>
      <c r="B363" s="2">
        <v>45770</v>
      </c>
      <c r="C363" t="s">
        <v>52</v>
      </c>
      <c r="D363" t="s">
        <v>31</v>
      </c>
      <c r="E363" t="s">
        <v>45</v>
      </c>
      <c r="F363">
        <v>54.6</v>
      </c>
      <c r="G363">
        <v>75.3</v>
      </c>
      <c r="H363">
        <v>77.8</v>
      </c>
      <c r="I363">
        <v>7.6</v>
      </c>
      <c r="J363">
        <v>0.09</v>
      </c>
      <c r="K363">
        <v>33.299999999999997</v>
      </c>
      <c r="L363">
        <v>21.1</v>
      </c>
      <c r="M363">
        <v>49.8</v>
      </c>
      <c r="N363">
        <v>1.7</v>
      </c>
      <c r="O363">
        <v>221</v>
      </c>
      <c r="P363" t="s">
        <v>28</v>
      </c>
    </row>
    <row r="364" spans="1:16" x14ac:dyDescent="0.25">
      <c r="A364" t="s">
        <v>421</v>
      </c>
      <c r="B364" s="2">
        <v>45902</v>
      </c>
      <c r="C364" t="s">
        <v>22</v>
      </c>
      <c r="D364" t="s">
        <v>23</v>
      </c>
      <c r="E364" t="s">
        <v>55</v>
      </c>
      <c r="F364">
        <v>61.4</v>
      </c>
      <c r="G364">
        <v>63.1</v>
      </c>
      <c r="H364">
        <v>27.6</v>
      </c>
      <c r="I364">
        <v>5.0999999999999996</v>
      </c>
      <c r="J364">
        <v>0.4</v>
      </c>
      <c r="K364">
        <v>25.4</v>
      </c>
      <c r="L364">
        <v>28.5</v>
      </c>
      <c r="M364">
        <v>63.1</v>
      </c>
      <c r="N364">
        <v>1.9</v>
      </c>
      <c r="O364">
        <v>186</v>
      </c>
      <c r="P364" t="s">
        <v>33</v>
      </c>
    </row>
    <row r="365" spans="1:16" x14ac:dyDescent="0.25">
      <c r="A365" t="s">
        <v>422</v>
      </c>
      <c r="B365" s="2">
        <v>45914</v>
      </c>
      <c r="C365" t="s">
        <v>52</v>
      </c>
      <c r="D365" t="s">
        <v>31</v>
      </c>
      <c r="E365" t="s">
        <v>40</v>
      </c>
      <c r="F365">
        <v>37.200000000000003</v>
      </c>
      <c r="G365">
        <v>63.1</v>
      </c>
      <c r="H365">
        <v>48.3</v>
      </c>
      <c r="I365">
        <v>7.3</v>
      </c>
      <c r="J365">
        <v>0.28000000000000003</v>
      </c>
      <c r="K365">
        <v>22.3</v>
      </c>
      <c r="L365">
        <v>27.8</v>
      </c>
      <c r="M365">
        <v>56.8</v>
      </c>
      <c r="N365">
        <v>2.6</v>
      </c>
      <c r="O365">
        <v>161</v>
      </c>
      <c r="P365" t="s">
        <v>33</v>
      </c>
    </row>
    <row r="366" spans="1:16" x14ac:dyDescent="0.25">
      <c r="A366" t="s">
        <v>423</v>
      </c>
      <c r="B366" s="2">
        <v>45765</v>
      </c>
      <c r="C366" t="s">
        <v>93</v>
      </c>
      <c r="D366" t="s">
        <v>36</v>
      </c>
      <c r="E366" t="s">
        <v>27</v>
      </c>
      <c r="F366">
        <v>97.3</v>
      </c>
      <c r="G366">
        <v>101.3</v>
      </c>
      <c r="H366">
        <v>21.1</v>
      </c>
      <c r="I366">
        <v>17.5</v>
      </c>
      <c r="J366">
        <v>0.66</v>
      </c>
      <c r="K366">
        <v>23</v>
      </c>
      <c r="L366">
        <v>17.7</v>
      </c>
      <c r="M366">
        <v>75.7</v>
      </c>
      <c r="N366">
        <v>0.6</v>
      </c>
      <c r="O366">
        <v>278</v>
      </c>
      <c r="P366" t="s">
        <v>28</v>
      </c>
    </row>
    <row r="367" spans="1:16" x14ac:dyDescent="0.25">
      <c r="A367" t="s">
        <v>424</v>
      </c>
      <c r="B367" s="2">
        <v>45744</v>
      </c>
      <c r="C367" t="s">
        <v>17</v>
      </c>
      <c r="D367" t="s">
        <v>18</v>
      </c>
      <c r="E367" t="s">
        <v>70</v>
      </c>
      <c r="F367">
        <v>19.8</v>
      </c>
      <c r="G367">
        <v>47</v>
      </c>
      <c r="H367">
        <v>30.9</v>
      </c>
      <c r="I367">
        <v>25.9</v>
      </c>
      <c r="J367">
        <v>0.39</v>
      </c>
      <c r="K367">
        <v>45</v>
      </c>
      <c r="L367">
        <v>32.5</v>
      </c>
      <c r="M367">
        <v>71.3</v>
      </c>
      <c r="N367">
        <v>2.4</v>
      </c>
      <c r="O367">
        <v>135</v>
      </c>
      <c r="P367" t="s">
        <v>33</v>
      </c>
    </row>
    <row r="368" spans="1:16" x14ac:dyDescent="0.25">
      <c r="A368" t="s">
        <v>425</v>
      </c>
      <c r="B368" s="2">
        <v>45929</v>
      </c>
      <c r="C368" t="s">
        <v>22</v>
      </c>
      <c r="D368" t="s">
        <v>23</v>
      </c>
      <c r="E368" t="s">
        <v>43</v>
      </c>
      <c r="F368">
        <v>42.8</v>
      </c>
      <c r="G368">
        <v>62</v>
      </c>
      <c r="H368">
        <v>4.4000000000000004</v>
      </c>
      <c r="I368">
        <v>34</v>
      </c>
      <c r="J368">
        <v>0.84</v>
      </c>
      <c r="K368">
        <v>44.7</v>
      </c>
      <c r="L368">
        <v>38</v>
      </c>
      <c r="M368">
        <v>51.1</v>
      </c>
      <c r="N368">
        <v>2.7</v>
      </c>
      <c r="O368">
        <v>177</v>
      </c>
      <c r="P368" t="s">
        <v>33</v>
      </c>
    </row>
    <row r="369" spans="1:16" x14ac:dyDescent="0.25">
      <c r="A369" t="s">
        <v>426</v>
      </c>
      <c r="B369" s="2">
        <v>45990</v>
      </c>
      <c r="C369" t="s">
        <v>67</v>
      </c>
      <c r="D369" t="s">
        <v>18</v>
      </c>
      <c r="E369" t="s">
        <v>74</v>
      </c>
      <c r="F369">
        <v>13.5</v>
      </c>
      <c r="G369">
        <v>111.7</v>
      </c>
      <c r="H369">
        <v>29.5</v>
      </c>
      <c r="I369">
        <v>9</v>
      </c>
      <c r="J369">
        <v>1.25</v>
      </c>
      <c r="K369">
        <v>17.899999999999999</v>
      </c>
      <c r="L369">
        <v>24.6</v>
      </c>
      <c r="M369">
        <v>57.5</v>
      </c>
      <c r="N369">
        <v>2.4</v>
      </c>
      <c r="O369">
        <v>163</v>
      </c>
      <c r="P369" t="s">
        <v>33</v>
      </c>
    </row>
    <row r="370" spans="1:16" x14ac:dyDescent="0.25">
      <c r="A370" t="s">
        <v>427</v>
      </c>
      <c r="B370" s="2">
        <v>45804</v>
      </c>
      <c r="C370" t="s">
        <v>52</v>
      </c>
      <c r="D370" t="s">
        <v>31</v>
      </c>
      <c r="E370" t="s">
        <v>24</v>
      </c>
      <c r="F370">
        <v>21.1</v>
      </c>
      <c r="G370">
        <v>230.5</v>
      </c>
      <c r="H370">
        <v>16.5</v>
      </c>
      <c r="I370">
        <v>8</v>
      </c>
      <c r="J370">
        <v>0.48</v>
      </c>
      <c r="K370">
        <v>32.700000000000003</v>
      </c>
      <c r="L370">
        <v>32.700000000000003</v>
      </c>
      <c r="M370">
        <v>32.700000000000003</v>
      </c>
      <c r="N370">
        <v>0.8</v>
      </c>
      <c r="O370">
        <v>229</v>
      </c>
      <c r="P370" t="s">
        <v>28</v>
      </c>
    </row>
    <row r="371" spans="1:16" x14ac:dyDescent="0.25">
      <c r="A371" t="s">
        <v>428</v>
      </c>
      <c r="B371" s="2">
        <v>45733</v>
      </c>
      <c r="C371" t="s">
        <v>429</v>
      </c>
      <c r="D371" t="s">
        <v>36</v>
      </c>
      <c r="E371" t="s">
        <v>24</v>
      </c>
      <c r="F371">
        <v>18.3</v>
      </c>
      <c r="G371">
        <v>35.200000000000003</v>
      </c>
      <c r="H371">
        <v>14.4</v>
      </c>
      <c r="I371">
        <v>16.8</v>
      </c>
      <c r="J371">
        <v>2.06</v>
      </c>
      <c r="K371">
        <v>16.7</v>
      </c>
      <c r="L371">
        <v>18</v>
      </c>
      <c r="N371">
        <v>2.2999999999999998</v>
      </c>
      <c r="O371">
        <v>134</v>
      </c>
      <c r="P371" t="s">
        <v>33</v>
      </c>
    </row>
    <row r="372" spans="1:16" x14ac:dyDescent="0.25">
      <c r="A372" t="s">
        <v>430</v>
      </c>
      <c r="B372" s="2">
        <v>45847</v>
      </c>
      <c r="C372" t="s">
        <v>50</v>
      </c>
      <c r="D372" t="s">
        <v>31</v>
      </c>
      <c r="E372" t="s">
        <v>68</v>
      </c>
      <c r="F372">
        <v>48.8</v>
      </c>
      <c r="G372">
        <v>21.9</v>
      </c>
      <c r="H372">
        <v>60</v>
      </c>
      <c r="I372">
        <v>5.5</v>
      </c>
      <c r="J372">
        <v>0.11</v>
      </c>
      <c r="K372">
        <v>19.8</v>
      </c>
      <c r="L372">
        <v>30.2</v>
      </c>
      <c r="M372">
        <v>65.7</v>
      </c>
      <c r="N372">
        <v>3.4</v>
      </c>
      <c r="O372">
        <v>156</v>
      </c>
      <c r="P372" t="s">
        <v>33</v>
      </c>
    </row>
    <row r="373" spans="1:16" x14ac:dyDescent="0.25">
      <c r="A373" t="s">
        <v>431</v>
      </c>
      <c r="B373" s="2">
        <v>45920</v>
      </c>
      <c r="C373" t="s">
        <v>30</v>
      </c>
      <c r="D373" t="s">
        <v>31</v>
      </c>
      <c r="E373" t="s">
        <v>32</v>
      </c>
      <c r="F373">
        <v>65.5</v>
      </c>
      <c r="G373">
        <v>192.5</v>
      </c>
      <c r="H373">
        <v>49.9</v>
      </c>
      <c r="I373">
        <v>20.2</v>
      </c>
      <c r="J373">
        <v>0.93</v>
      </c>
      <c r="K373">
        <v>82.1</v>
      </c>
      <c r="L373">
        <v>19.2</v>
      </c>
      <c r="M373">
        <v>65.900000000000006</v>
      </c>
      <c r="N373">
        <v>3.4</v>
      </c>
      <c r="O373">
        <v>344</v>
      </c>
      <c r="P373" t="s">
        <v>20</v>
      </c>
    </row>
    <row r="374" spans="1:16" x14ac:dyDescent="0.25">
      <c r="A374" t="s">
        <v>432</v>
      </c>
      <c r="B374" s="2">
        <v>45875</v>
      </c>
      <c r="C374" t="s">
        <v>38</v>
      </c>
      <c r="D374" t="s">
        <v>39</v>
      </c>
      <c r="E374" t="s">
        <v>24</v>
      </c>
      <c r="F374">
        <v>59</v>
      </c>
      <c r="G374">
        <v>69</v>
      </c>
      <c r="H374">
        <v>75.7</v>
      </c>
      <c r="I374">
        <v>6.5</v>
      </c>
      <c r="J374">
        <v>0.54</v>
      </c>
      <c r="K374">
        <v>23.9</v>
      </c>
      <c r="L374">
        <v>31.9</v>
      </c>
      <c r="M374">
        <v>41.3</v>
      </c>
      <c r="N374">
        <v>2.2999999999999998</v>
      </c>
      <c r="O374">
        <v>229</v>
      </c>
      <c r="P374" t="s">
        <v>28</v>
      </c>
    </row>
    <row r="375" spans="1:16" x14ac:dyDescent="0.25">
      <c r="A375" t="s">
        <v>433</v>
      </c>
      <c r="B375" s="2">
        <v>45838</v>
      </c>
      <c r="C375" t="s">
        <v>52</v>
      </c>
      <c r="D375" t="s">
        <v>31</v>
      </c>
      <c r="E375" t="s">
        <v>45</v>
      </c>
      <c r="F375">
        <v>67.5</v>
      </c>
      <c r="G375">
        <v>119</v>
      </c>
      <c r="H375">
        <v>10.8</v>
      </c>
      <c r="I375">
        <v>13.1</v>
      </c>
      <c r="J375">
        <v>1.31</v>
      </c>
      <c r="K375">
        <v>11.9</v>
      </c>
      <c r="L375">
        <v>36.4</v>
      </c>
      <c r="M375">
        <v>45.1</v>
      </c>
      <c r="N375">
        <v>0.9</v>
      </c>
      <c r="O375">
        <v>241</v>
      </c>
      <c r="P375" t="s">
        <v>28</v>
      </c>
    </row>
    <row r="376" spans="1:16" x14ac:dyDescent="0.25">
      <c r="A376" t="s">
        <v>434</v>
      </c>
      <c r="B376" s="2">
        <v>45730</v>
      </c>
      <c r="C376" t="s">
        <v>52</v>
      </c>
      <c r="D376" t="s">
        <v>31</v>
      </c>
      <c r="E376" t="s">
        <v>27</v>
      </c>
      <c r="F376">
        <v>63.9</v>
      </c>
      <c r="G376">
        <v>58.1</v>
      </c>
      <c r="H376">
        <v>46.1</v>
      </c>
      <c r="I376">
        <v>22.7</v>
      </c>
      <c r="J376">
        <v>1.05</v>
      </c>
      <c r="K376">
        <v>24.4</v>
      </c>
      <c r="L376">
        <v>20</v>
      </c>
      <c r="M376">
        <v>83.1</v>
      </c>
      <c r="N376">
        <v>2.2000000000000002</v>
      </c>
      <c r="O376">
        <v>230</v>
      </c>
      <c r="P376" t="s">
        <v>28</v>
      </c>
    </row>
    <row r="377" spans="1:16" x14ac:dyDescent="0.25">
      <c r="A377" t="s">
        <v>435</v>
      </c>
      <c r="B377" s="2">
        <v>45925</v>
      </c>
      <c r="C377" t="s">
        <v>42</v>
      </c>
      <c r="D377" t="s">
        <v>23</v>
      </c>
      <c r="E377" t="s">
        <v>55</v>
      </c>
      <c r="F377">
        <v>61.4</v>
      </c>
      <c r="G377">
        <v>138.69999999999999</v>
      </c>
      <c r="H377">
        <v>12.3</v>
      </c>
      <c r="I377">
        <v>25.6</v>
      </c>
      <c r="J377">
        <v>0.68</v>
      </c>
      <c r="K377">
        <v>12.1</v>
      </c>
      <c r="L377">
        <v>19.8</v>
      </c>
      <c r="M377">
        <v>61.4</v>
      </c>
      <c r="N377">
        <v>0.8</v>
      </c>
      <c r="O377">
        <v>239</v>
      </c>
      <c r="P377" t="s">
        <v>28</v>
      </c>
    </row>
    <row r="378" spans="1:16" x14ac:dyDescent="0.25">
      <c r="A378" t="s">
        <v>436</v>
      </c>
      <c r="B378" s="2">
        <v>45863</v>
      </c>
      <c r="C378" t="s">
        <v>93</v>
      </c>
      <c r="D378" t="s">
        <v>36</v>
      </c>
      <c r="E378" t="s">
        <v>74</v>
      </c>
      <c r="F378">
        <v>22.5</v>
      </c>
      <c r="G378">
        <v>159.6</v>
      </c>
      <c r="H378">
        <v>23.5</v>
      </c>
      <c r="I378">
        <v>21.5</v>
      </c>
      <c r="J378">
        <v>0.54</v>
      </c>
      <c r="K378">
        <v>4.4000000000000004</v>
      </c>
      <c r="L378">
        <v>37.1</v>
      </c>
      <c r="N378">
        <v>2.4</v>
      </c>
      <c r="O378">
        <v>189</v>
      </c>
      <c r="P378" t="s">
        <v>33</v>
      </c>
    </row>
    <row r="379" spans="1:16" x14ac:dyDescent="0.25">
      <c r="A379" t="s">
        <v>437</v>
      </c>
      <c r="B379" s="2">
        <v>45806</v>
      </c>
      <c r="C379" t="s">
        <v>30</v>
      </c>
      <c r="D379" t="s">
        <v>31</v>
      </c>
      <c r="E379" t="s">
        <v>24</v>
      </c>
      <c r="F379">
        <v>67.900000000000006</v>
      </c>
      <c r="G379">
        <v>55.1</v>
      </c>
      <c r="H379">
        <v>22.8</v>
      </c>
      <c r="I379">
        <v>7.3</v>
      </c>
      <c r="J379">
        <v>2.06</v>
      </c>
      <c r="K379">
        <v>58.4</v>
      </c>
      <c r="L379">
        <v>35.299999999999997</v>
      </c>
      <c r="M379">
        <v>85.2</v>
      </c>
      <c r="N379">
        <v>1.5</v>
      </c>
      <c r="O379">
        <v>246</v>
      </c>
      <c r="P379" t="s">
        <v>28</v>
      </c>
    </row>
    <row r="380" spans="1:16" x14ac:dyDescent="0.25">
      <c r="A380" t="s">
        <v>438</v>
      </c>
      <c r="B380" s="2">
        <v>45899</v>
      </c>
      <c r="C380" t="s">
        <v>99</v>
      </c>
      <c r="D380" t="s">
        <v>36</v>
      </c>
      <c r="E380" t="s">
        <v>61</v>
      </c>
      <c r="F380">
        <v>11</v>
      </c>
      <c r="G380">
        <v>201.4</v>
      </c>
      <c r="H380">
        <v>51.5</v>
      </c>
      <c r="I380">
        <v>32.200000000000003</v>
      </c>
      <c r="J380">
        <v>0.23</v>
      </c>
      <c r="K380">
        <v>51.1</v>
      </c>
      <c r="L380">
        <v>39.5</v>
      </c>
      <c r="M380">
        <v>69.7</v>
      </c>
      <c r="N380">
        <v>2.4</v>
      </c>
      <c r="O380">
        <v>241</v>
      </c>
      <c r="P380" t="s">
        <v>28</v>
      </c>
    </row>
    <row r="381" spans="1:16" x14ac:dyDescent="0.25">
      <c r="A381" t="s">
        <v>439</v>
      </c>
      <c r="B381" s="2">
        <v>45787</v>
      </c>
      <c r="C381" t="s">
        <v>35</v>
      </c>
      <c r="D381" t="s">
        <v>36</v>
      </c>
      <c r="E381" t="s">
        <v>58</v>
      </c>
      <c r="F381">
        <v>92.4</v>
      </c>
      <c r="G381">
        <v>93.5</v>
      </c>
      <c r="H381">
        <v>48.4</v>
      </c>
      <c r="I381">
        <v>11</v>
      </c>
      <c r="J381">
        <v>0.72</v>
      </c>
      <c r="K381">
        <v>8.1999999999999993</v>
      </c>
      <c r="L381">
        <v>29.2</v>
      </c>
      <c r="M381">
        <v>52.1</v>
      </c>
      <c r="N381">
        <v>1.2</v>
      </c>
      <c r="O381">
        <v>277</v>
      </c>
      <c r="P381" t="s">
        <v>28</v>
      </c>
    </row>
    <row r="382" spans="1:16" x14ac:dyDescent="0.25">
      <c r="A382" t="s">
        <v>440</v>
      </c>
      <c r="B382" s="2">
        <v>45719</v>
      </c>
      <c r="C382" t="s">
        <v>81</v>
      </c>
      <c r="D382" t="s">
        <v>39</v>
      </c>
      <c r="E382" t="s">
        <v>68</v>
      </c>
      <c r="F382">
        <v>162.30000000000001</v>
      </c>
      <c r="G382">
        <v>136.69999999999999</v>
      </c>
      <c r="H382">
        <v>18.399999999999999</v>
      </c>
      <c r="I382">
        <v>16.3</v>
      </c>
      <c r="J382">
        <v>2.11</v>
      </c>
      <c r="K382">
        <v>23.4</v>
      </c>
      <c r="L382">
        <v>34.9</v>
      </c>
      <c r="M382">
        <v>54.1</v>
      </c>
      <c r="N382">
        <v>2.6</v>
      </c>
      <c r="O382">
        <v>438</v>
      </c>
      <c r="P382" t="s">
        <v>20</v>
      </c>
    </row>
    <row r="383" spans="1:16" x14ac:dyDescent="0.25">
      <c r="A383" t="s">
        <v>441</v>
      </c>
      <c r="B383" s="2">
        <v>45893</v>
      </c>
      <c r="C383" t="s">
        <v>22</v>
      </c>
      <c r="D383" t="s">
        <v>23</v>
      </c>
      <c r="E383" t="s">
        <v>74</v>
      </c>
      <c r="F383">
        <v>19.399999999999999</v>
      </c>
      <c r="G383">
        <v>13.8</v>
      </c>
      <c r="H383">
        <v>33.9</v>
      </c>
      <c r="I383">
        <v>3.5</v>
      </c>
      <c r="J383">
        <v>0.88</v>
      </c>
      <c r="K383">
        <v>22.6</v>
      </c>
      <c r="L383">
        <v>22.6</v>
      </c>
      <c r="M383">
        <v>47.4</v>
      </c>
      <c r="N383">
        <v>2.2000000000000002</v>
      </c>
      <c r="O383">
        <v>102</v>
      </c>
      <c r="P383" t="s">
        <v>33</v>
      </c>
    </row>
    <row r="384" spans="1:16" x14ac:dyDescent="0.25">
      <c r="A384" t="s">
        <v>442</v>
      </c>
      <c r="B384" s="2">
        <v>45756</v>
      </c>
      <c r="C384" t="s">
        <v>67</v>
      </c>
      <c r="D384" t="s">
        <v>18</v>
      </c>
      <c r="E384" t="s">
        <v>40</v>
      </c>
      <c r="F384">
        <v>103</v>
      </c>
      <c r="G384">
        <v>36.9</v>
      </c>
      <c r="H384">
        <v>55.8</v>
      </c>
      <c r="I384">
        <v>4.2</v>
      </c>
      <c r="J384">
        <v>1.54</v>
      </c>
      <c r="K384">
        <v>31.8</v>
      </c>
      <c r="L384">
        <v>32.200000000000003</v>
      </c>
      <c r="M384">
        <v>61.6</v>
      </c>
      <c r="N384">
        <v>1.2</v>
      </c>
      <c r="O384">
        <v>289</v>
      </c>
      <c r="P384" t="s">
        <v>28</v>
      </c>
    </row>
    <row r="385" spans="1:16" x14ac:dyDescent="0.25">
      <c r="A385" t="s">
        <v>443</v>
      </c>
      <c r="B385" s="2">
        <v>46009</v>
      </c>
      <c r="C385" t="s">
        <v>81</v>
      </c>
      <c r="D385" t="s">
        <v>39</v>
      </c>
      <c r="E385" t="s">
        <v>40</v>
      </c>
      <c r="F385">
        <v>47.2</v>
      </c>
      <c r="G385">
        <v>93.3</v>
      </c>
      <c r="H385">
        <v>9</v>
      </c>
      <c r="I385">
        <v>44</v>
      </c>
      <c r="J385">
        <v>0.62</v>
      </c>
      <c r="K385">
        <v>40.4</v>
      </c>
      <c r="L385">
        <v>33.799999999999997</v>
      </c>
      <c r="M385">
        <v>66.8</v>
      </c>
      <c r="N385">
        <v>3.4</v>
      </c>
      <c r="O385">
        <v>208</v>
      </c>
      <c r="P385" t="s">
        <v>28</v>
      </c>
    </row>
    <row r="386" spans="1:16" x14ac:dyDescent="0.25">
      <c r="A386" t="s">
        <v>444</v>
      </c>
      <c r="B386" s="2">
        <v>45776</v>
      </c>
      <c r="C386" t="s">
        <v>26</v>
      </c>
      <c r="D386" t="s">
        <v>23</v>
      </c>
      <c r="E386" t="s">
        <v>70</v>
      </c>
      <c r="F386">
        <v>58.8</v>
      </c>
      <c r="G386">
        <v>55.3</v>
      </c>
      <c r="H386">
        <v>38.200000000000003</v>
      </c>
      <c r="I386">
        <v>8.6</v>
      </c>
      <c r="J386">
        <v>0.18</v>
      </c>
      <c r="K386">
        <v>28.8</v>
      </c>
      <c r="L386">
        <v>35.4</v>
      </c>
      <c r="M386">
        <v>98</v>
      </c>
      <c r="N386">
        <v>1.3</v>
      </c>
      <c r="O386">
        <v>184</v>
      </c>
      <c r="P386" t="s">
        <v>33</v>
      </c>
    </row>
    <row r="387" spans="1:16" x14ac:dyDescent="0.25">
      <c r="A387" t="s">
        <v>445</v>
      </c>
      <c r="B387" s="2">
        <v>45909</v>
      </c>
      <c r="C387" t="s">
        <v>38</v>
      </c>
      <c r="D387" t="s">
        <v>39</v>
      </c>
      <c r="E387" t="s">
        <v>58</v>
      </c>
      <c r="F387">
        <v>37.6</v>
      </c>
      <c r="G387">
        <v>74.3</v>
      </c>
      <c r="H387">
        <v>15.5</v>
      </c>
      <c r="I387">
        <v>24.6</v>
      </c>
      <c r="J387">
        <v>0.57999999999999996</v>
      </c>
      <c r="K387">
        <v>19.2</v>
      </c>
      <c r="L387">
        <v>26.8</v>
      </c>
      <c r="M387">
        <v>55.7</v>
      </c>
      <c r="N387">
        <v>3.1</v>
      </c>
      <c r="O387">
        <v>161</v>
      </c>
      <c r="P387" t="s">
        <v>33</v>
      </c>
    </row>
    <row r="388" spans="1:16" x14ac:dyDescent="0.25">
      <c r="A388" t="s">
        <v>446</v>
      </c>
      <c r="B388" s="2">
        <v>45729</v>
      </c>
      <c r="C388" t="s">
        <v>52</v>
      </c>
      <c r="D388" t="s">
        <v>31</v>
      </c>
      <c r="E388" t="s">
        <v>70</v>
      </c>
      <c r="F388">
        <v>71.5</v>
      </c>
      <c r="G388">
        <v>64.400000000000006</v>
      </c>
      <c r="H388">
        <v>39.5</v>
      </c>
      <c r="I388">
        <v>9.9</v>
      </c>
      <c r="J388">
        <v>1.08</v>
      </c>
      <c r="K388">
        <v>26.3</v>
      </c>
      <c r="L388">
        <v>28.9</v>
      </c>
      <c r="M388">
        <v>53.8</v>
      </c>
      <c r="N388">
        <v>1</v>
      </c>
      <c r="O388">
        <v>234</v>
      </c>
      <c r="P388" t="s">
        <v>28</v>
      </c>
    </row>
    <row r="389" spans="1:16" x14ac:dyDescent="0.25">
      <c r="A389" t="s">
        <v>447</v>
      </c>
      <c r="B389" s="2">
        <v>45663</v>
      </c>
      <c r="C389" t="s">
        <v>77</v>
      </c>
      <c r="D389" t="s">
        <v>39</v>
      </c>
      <c r="E389" t="s">
        <v>58</v>
      </c>
      <c r="F389">
        <v>49.5</v>
      </c>
      <c r="G389">
        <v>110</v>
      </c>
      <c r="H389">
        <v>52.1</v>
      </c>
      <c r="I389">
        <v>12.2</v>
      </c>
      <c r="J389">
        <v>0.5</v>
      </c>
      <c r="K389">
        <v>49.6</v>
      </c>
      <c r="L389">
        <v>34.1</v>
      </c>
      <c r="M389">
        <v>42.2</v>
      </c>
      <c r="N389">
        <v>0.6</v>
      </c>
      <c r="O389">
        <v>236</v>
      </c>
      <c r="P389" t="s">
        <v>28</v>
      </c>
    </row>
    <row r="390" spans="1:16" x14ac:dyDescent="0.25">
      <c r="A390" t="s">
        <v>448</v>
      </c>
      <c r="B390" s="2">
        <v>46017</v>
      </c>
      <c r="C390" t="s">
        <v>81</v>
      </c>
      <c r="D390" t="s">
        <v>39</v>
      </c>
      <c r="E390" t="s">
        <v>45</v>
      </c>
      <c r="F390">
        <v>94.6</v>
      </c>
      <c r="G390">
        <v>119.9</v>
      </c>
      <c r="H390">
        <v>21.1</v>
      </c>
      <c r="I390">
        <v>15.1</v>
      </c>
      <c r="J390">
        <v>0.21</v>
      </c>
      <c r="K390">
        <v>39.299999999999997</v>
      </c>
      <c r="L390">
        <v>34.6</v>
      </c>
      <c r="M390">
        <v>58.1</v>
      </c>
      <c r="N390">
        <v>1.8</v>
      </c>
      <c r="O390">
        <v>280</v>
      </c>
      <c r="P390" t="s">
        <v>28</v>
      </c>
    </row>
    <row r="391" spans="1:16" x14ac:dyDescent="0.25">
      <c r="A391" t="s">
        <v>449</v>
      </c>
      <c r="B391" s="2">
        <v>45669</v>
      </c>
      <c r="C391" t="s">
        <v>30</v>
      </c>
      <c r="D391" t="s">
        <v>31</v>
      </c>
      <c r="E391" t="s">
        <v>55</v>
      </c>
      <c r="F391">
        <v>33.5</v>
      </c>
      <c r="G391">
        <v>127.8</v>
      </c>
      <c r="H391">
        <v>16.3</v>
      </c>
      <c r="I391">
        <v>15</v>
      </c>
      <c r="J391">
        <v>1.36</v>
      </c>
      <c r="K391">
        <v>31.6</v>
      </c>
      <c r="L391">
        <v>22.7</v>
      </c>
      <c r="M391">
        <v>50.8</v>
      </c>
      <c r="N391">
        <v>3</v>
      </c>
      <c r="O391">
        <v>208</v>
      </c>
      <c r="P391" t="s">
        <v>28</v>
      </c>
    </row>
    <row r="392" spans="1:16" x14ac:dyDescent="0.25">
      <c r="A392" t="s">
        <v>450</v>
      </c>
      <c r="B392" s="2">
        <v>45660</v>
      </c>
      <c r="C392" t="s">
        <v>26</v>
      </c>
      <c r="D392" t="s">
        <v>23</v>
      </c>
      <c r="E392" t="s">
        <v>91</v>
      </c>
      <c r="F392">
        <v>79.5</v>
      </c>
      <c r="G392">
        <v>31.6</v>
      </c>
      <c r="H392">
        <v>11.5</v>
      </c>
      <c r="I392">
        <v>7.9</v>
      </c>
      <c r="J392">
        <v>1</v>
      </c>
      <c r="K392">
        <v>49.7</v>
      </c>
      <c r="L392">
        <v>25.2</v>
      </c>
      <c r="M392">
        <v>70.400000000000006</v>
      </c>
      <c r="N392">
        <v>1.6</v>
      </c>
      <c r="O392">
        <v>210</v>
      </c>
      <c r="P392" t="s">
        <v>28</v>
      </c>
    </row>
    <row r="393" spans="1:16" x14ac:dyDescent="0.25">
      <c r="A393" t="s">
        <v>451</v>
      </c>
      <c r="B393" s="2">
        <v>45735</v>
      </c>
      <c r="C393" t="s">
        <v>38</v>
      </c>
      <c r="D393" t="s">
        <v>39</v>
      </c>
      <c r="E393" t="s">
        <v>74</v>
      </c>
      <c r="F393">
        <v>47.5</v>
      </c>
      <c r="G393">
        <v>14.8</v>
      </c>
      <c r="H393">
        <v>30.5</v>
      </c>
      <c r="I393">
        <v>5.9</v>
      </c>
      <c r="J393">
        <v>0.96</v>
      </c>
      <c r="K393">
        <v>22</v>
      </c>
      <c r="L393">
        <v>31.5</v>
      </c>
      <c r="M393">
        <v>69.2</v>
      </c>
      <c r="N393">
        <v>2.7</v>
      </c>
      <c r="O393">
        <v>148</v>
      </c>
      <c r="P393" t="s">
        <v>33</v>
      </c>
    </row>
    <row r="394" spans="1:16" x14ac:dyDescent="0.25">
      <c r="A394" t="s">
        <v>452</v>
      </c>
      <c r="B394" s="2">
        <v>45686</v>
      </c>
      <c r="C394" t="s">
        <v>99</v>
      </c>
      <c r="D394" t="s">
        <v>36</v>
      </c>
      <c r="E394" t="s">
        <v>61</v>
      </c>
      <c r="F394">
        <v>92.9</v>
      </c>
      <c r="G394">
        <v>41.3</v>
      </c>
      <c r="H394">
        <v>19.8</v>
      </c>
      <c r="I394">
        <v>7</v>
      </c>
      <c r="J394">
        <v>0.54</v>
      </c>
      <c r="K394">
        <v>7.8</v>
      </c>
      <c r="L394">
        <v>25.4</v>
      </c>
      <c r="M394">
        <v>46.2</v>
      </c>
      <c r="N394">
        <v>1.4</v>
      </c>
      <c r="O394">
        <v>213</v>
      </c>
      <c r="P394" t="s">
        <v>28</v>
      </c>
    </row>
    <row r="395" spans="1:16" x14ac:dyDescent="0.25">
      <c r="A395" t="s">
        <v>453</v>
      </c>
      <c r="B395" s="2">
        <v>45786</v>
      </c>
      <c r="C395" t="s">
        <v>54</v>
      </c>
      <c r="D395" t="s">
        <v>18</v>
      </c>
      <c r="E395" t="s">
        <v>91</v>
      </c>
      <c r="F395">
        <v>16.5</v>
      </c>
      <c r="G395">
        <v>104.3</v>
      </c>
      <c r="H395">
        <v>39.1</v>
      </c>
      <c r="I395">
        <v>17.399999999999999</v>
      </c>
      <c r="J395">
        <v>0.61</v>
      </c>
      <c r="K395">
        <v>55.7</v>
      </c>
      <c r="L395">
        <v>27.4</v>
      </c>
      <c r="M395">
        <v>49.4</v>
      </c>
      <c r="N395">
        <v>2.8</v>
      </c>
      <c r="O395">
        <v>178</v>
      </c>
      <c r="P395" t="s">
        <v>33</v>
      </c>
    </row>
    <row r="396" spans="1:16" x14ac:dyDescent="0.25">
      <c r="A396" t="s">
        <v>454</v>
      </c>
      <c r="B396" s="2">
        <v>45934</v>
      </c>
      <c r="C396" t="s">
        <v>77</v>
      </c>
      <c r="D396" t="s">
        <v>39</v>
      </c>
      <c r="E396" t="s">
        <v>43</v>
      </c>
      <c r="F396">
        <v>56.7</v>
      </c>
      <c r="G396">
        <v>115.3</v>
      </c>
      <c r="H396">
        <v>12.8</v>
      </c>
      <c r="I396">
        <v>14.9</v>
      </c>
      <c r="J396">
        <v>2.2200000000000002</v>
      </c>
      <c r="K396">
        <v>41.4</v>
      </c>
      <c r="L396">
        <v>20.2</v>
      </c>
      <c r="M396">
        <v>62.2</v>
      </c>
      <c r="N396">
        <v>3.4</v>
      </c>
      <c r="O396">
        <v>260</v>
      </c>
      <c r="P396" t="s">
        <v>28</v>
      </c>
    </row>
    <row r="397" spans="1:16" x14ac:dyDescent="0.25">
      <c r="A397" t="s">
        <v>455</v>
      </c>
      <c r="B397" s="2">
        <v>45716</v>
      </c>
      <c r="C397" t="s">
        <v>22</v>
      </c>
      <c r="D397" t="s">
        <v>23</v>
      </c>
      <c r="E397" t="s">
        <v>32</v>
      </c>
      <c r="F397">
        <v>54</v>
      </c>
      <c r="G397">
        <v>87.8</v>
      </c>
      <c r="H397">
        <v>19.399999999999999</v>
      </c>
      <c r="I397">
        <v>11.7</v>
      </c>
      <c r="J397">
        <v>0.9</v>
      </c>
      <c r="K397">
        <v>43.4</v>
      </c>
      <c r="L397">
        <v>27.6</v>
      </c>
      <c r="M397">
        <v>78.400000000000006</v>
      </c>
      <c r="N397">
        <v>2.7</v>
      </c>
      <c r="O397">
        <v>209</v>
      </c>
      <c r="P397" t="s">
        <v>28</v>
      </c>
    </row>
    <row r="398" spans="1:16" x14ac:dyDescent="0.25">
      <c r="A398" t="s">
        <v>456</v>
      </c>
      <c r="B398" s="2">
        <v>46022</v>
      </c>
      <c r="C398" t="s">
        <v>17</v>
      </c>
      <c r="D398" t="s">
        <v>18</v>
      </c>
      <c r="E398" t="s">
        <v>91</v>
      </c>
      <c r="F398">
        <v>104.3</v>
      </c>
      <c r="G398">
        <v>68.2</v>
      </c>
      <c r="H398">
        <v>38.9</v>
      </c>
      <c r="I398">
        <v>13</v>
      </c>
      <c r="J398">
        <v>1.96</v>
      </c>
      <c r="K398">
        <v>16.399999999999999</v>
      </c>
      <c r="L398">
        <v>32.1</v>
      </c>
      <c r="M398">
        <v>30.6</v>
      </c>
      <c r="N398">
        <v>1.1000000000000001</v>
      </c>
      <c r="O398">
        <v>308</v>
      </c>
      <c r="P398" t="s">
        <v>20</v>
      </c>
    </row>
    <row r="399" spans="1:16" x14ac:dyDescent="0.25">
      <c r="A399" t="s">
        <v>457</v>
      </c>
      <c r="B399" s="2">
        <v>46006</v>
      </c>
      <c r="C399" t="s">
        <v>64</v>
      </c>
      <c r="D399" t="s">
        <v>36</v>
      </c>
      <c r="E399" t="s">
        <v>19</v>
      </c>
      <c r="F399">
        <v>51.1</v>
      </c>
      <c r="G399">
        <v>31.9</v>
      </c>
      <c r="H399">
        <v>13.7</v>
      </c>
      <c r="I399">
        <v>10.4</v>
      </c>
      <c r="J399">
        <v>0.16</v>
      </c>
      <c r="K399">
        <v>42.6</v>
      </c>
      <c r="L399">
        <v>30.9</v>
      </c>
      <c r="M399">
        <v>73.400000000000006</v>
      </c>
      <c r="N399">
        <v>1.9</v>
      </c>
      <c r="O399">
        <v>144</v>
      </c>
      <c r="P399" t="s">
        <v>33</v>
      </c>
    </row>
    <row r="400" spans="1:16" x14ac:dyDescent="0.25">
      <c r="A400" t="s">
        <v>458</v>
      </c>
      <c r="B400" s="2">
        <v>45802</v>
      </c>
      <c r="C400" t="s">
        <v>67</v>
      </c>
      <c r="D400" t="s">
        <v>18</v>
      </c>
      <c r="E400" t="s">
        <v>61</v>
      </c>
      <c r="F400">
        <v>74.900000000000006</v>
      </c>
      <c r="G400">
        <v>105.7</v>
      </c>
      <c r="H400">
        <v>24.3</v>
      </c>
      <c r="I400">
        <v>27.6</v>
      </c>
      <c r="J400">
        <v>0.53</v>
      </c>
      <c r="K400">
        <v>46.5</v>
      </c>
      <c r="L400">
        <v>26.8</v>
      </c>
      <c r="M400">
        <v>42.5</v>
      </c>
      <c r="N400">
        <v>2.2000000000000002</v>
      </c>
      <c r="O400">
        <v>261</v>
      </c>
      <c r="P400" t="s">
        <v>28</v>
      </c>
    </row>
    <row r="401" spans="1:16" x14ac:dyDescent="0.25">
      <c r="A401" t="s">
        <v>459</v>
      </c>
      <c r="B401" s="2">
        <v>45755</v>
      </c>
      <c r="C401" t="s">
        <v>35</v>
      </c>
      <c r="D401" t="s">
        <v>36</v>
      </c>
      <c r="E401" t="s">
        <v>27</v>
      </c>
      <c r="F401">
        <v>18.2</v>
      </c>
      <c r="G401">
        <v>153.30000000000001</v>
      </c>
      <c r="H401">
        <v>11.3</v>
      </c>
      <c r="I401">
        <v>16</v>
      </c>
      <c r="J401">
        <v>0.56999999999999995</v>
      </c>
      <c r="K401">
        <v>12.4</v>
      </c>
      <c r="L401">
        <v>25.4</v>
      </c>
      <c r="M401">
        <v>54.9</v>
      </c>
      <c r="N401">
        <v>1.1000000000000001</v>
      </c>
      <c r="O401">
        <v>169</v>
      </c>
      <c r="P401" t="s">
        <v>33</v>
      </c>
    </row>
    <row r="402" spans="1:16" x14ac:dyDescent="0.25">
      <c r="A402" t="s">
        <v>460</v>
      </c>
      <c r="B402" s="2">
        <v>45694</v>
      </c>
      <c r="C402" t="s">
        <v>17</v>
      </c>
      <c r="D402" t="s">
        <v>18</v>
      </c>
      <c r="E402" t="s">
        <v>19</v>
      </c>
      <c r="F402">
        <v>45.4</v>
      </c>
      <c r="G402">
        <v>56.3</v>
      </c>
      <c r="H402">
        <v>9.5</v>
      </c>
      <c r="I402">
        <v>15.1</v>
      </c>
      <c r="J402">
        <v>0.61</v>
      </c>
      <c r="K402">
        <v>22.8</v>
      </c>
      <c r="L402">
        <v>27</v>
      </c>
      <c r="M402">
        <v>37.200000000000003</v>
      </c>
      <c r="N402">
        <v>0.3</v>
      </c>
      <c r="O402">
        <v>153</v>
      </c>
      <c r="P402" t="s">
        <v>33</v>
      </c>
    </row>
    <row r="403" spans="1:16" x14ac:dyDescent="0.25">
      <c r="A403" t="s">
        <v>461</v>
      </c>
      <c r="B403" s="2">
        <v>45825</v>
      </c>
      <c r="C403" t="s">
        <v>50</v>
      </c>
      <c r="D403" t="s">
        <v>31</v>
      </c>
      <c r="E403" t="s">
        <v>58</v>
      </c>
      <c r="F403">
        <v>29.2</v>
      </c>
      <c r="G403">
        <v>89.4</v>
      </c>
      <c r="H403">
        <v>30</v>
      </c>
      <c r="I403">
        <v>16.399999999999999</v>
      </c>
      <c r="J403">
        <v>0.79</v>
      </c>
      <c r="K403">
        <v>50.9</v>
      </c>
      <c r="L403">
        <v>34.700000000000003</v>
      </c>
      <c r="M403">
        <v>78.8</v>
      </c>
      <c r="N403">
        <v>2</v>
      </c>
      <c r="O403">
        <v>183</v>
      </c>
      <c r="P403" t="s">
        <v>33</v>
      </c>
    </row>
    <row r="404" spans="1:16" x14ac:dyDescent="0.25">
      <c r="A404" t="s">
        <v>462</v>
      </c>
      <c r="B404" s="2">
        <v>45863</v>
      </c>
      <c r="C404" t="s">
        <v>52</v>
      </c>
      <c r="D404" t="s">
        <v>31</v>
      </c>
      <c r="E404" t="s">
        <v>91</v>
      </c>
      <c r="F404">
        <v>44.1</v>
      </c>
      <c r="G404">
        <v>93.3</v>
      </c>
      <c r="H404">
        <v>25.4</v>
      </c>
      <c r="I404">
        <v>11.9</v>
      </c>
      <c r="J404">
        <v>0.21</v>
      </c>
      <c r="K404">
        <v>77.599999999999994</v>
      </c>
      <c r="L404">
        <v>20.9</v>
      </c>
      <c r="M404">
        <v>83.1</v>
      </c>
      <c r="N404">
        <v>1.9</v>
      </c>
      <c r="O404">
        <v>200</v>
      </c>
      <c r="P404" t="s">
        <v>33</v>
      </c>
    </row>
    <row r="405" spans="1:16" x14ac:dyDescent="0.25">
      <c r="A405" t="s">
        <v>463</v>
      </c>
      <c r="B405" s="2">
        <v>45709</v>
      </c>
      <c r="C405" t="s">
        <v>30</v>
      </c>
      <c r="D405" t="s">
        <v>31</v>
      </c>
      <c r="E405" t="s">
        <v>40</v>
      </c>
      <c r="F405">
        <v>20.100000000000001</v>
      </c>
      <c r="G405">
        <v>171.5</v>
      </c>
      <c r="H405">
        <v>29.3</v>
      </c>
      <c r="I405">
        <v>10.7</v>
      </c>
      <c r="J405">
        <v>0.49</v>
      </c>
      <c r="K405">
        <v>127.4</v>
      </c>
      <c r="L405">
        <v>20.3</v>
      </c>
      <c r="M405">
        <v>60.5</v>
      </c>
      <c r="N405">
        <v>1.9</v>
      </c>
      <c r="O405">
        <v>244</v>
      </c>
      <c r="P405" t="s">
        <v>28</v>
      </c>
    </row>
    <row r="406" spans="1:16" x14ac:dyDescent="0.25">
      <c r="A406" t="s">
        <v>464</v>
      </c>
      <c r="B406" s="2">
        <v>46011</v>
      </c>
      <c r="C406" t="s">
        <v>26</v>
      </c>
      <c r="D406" t="s">
        <v>23</v>
      </c>
      <c r="E406" t="s">
        <v>97</v>
      </c>
      <c r="F406">
        <v>59.7</v>
      </c>
      <c r="G406">
        <v>25.1</v>
      </c>
      <c r="H406">
        <v>56.7</v>
      </c>
      <c r="I406">
        <v>22.2</v>
      </c>
      <c r="J406">
        <v>0.65</v>
      </c>
      <c r="K406">
        <v>7.6</v>
      </c>
      <c r="L406">
        <v>23.7</v>
      </c>
      <c r="M406">
        <v>91.2</v>
      </c>
      <c r="N406">
        <v>3.4</v>
      </c>
      <c r="O406">
        <v>192</v>
      </c>
      <c r="P406" t="s">
        <v>33</v>
      </c>
    </row>
    <row r="407" spans="1:16" x14ac:dyDescent="0.25">
      <c r="A407" t="s">
        <v>465</v>
      </c>
      <c r="B407" s="2">
        <v>45769</v>
      </c>
      <c r="C407" t="s">
        <v>93</v>
      </c>
      <c r="D407" t="s">
        <v>36</v>
      </c>
      <c r="E407" t="s">
        <v>40</v>
      </c>
      <c r="F407">
        <v>67.3</v>
      </c>
      <c r="G407">
        <v>72.400000000000006</v>
      </c>
      <c r="H407">
        <v>57.6</v>
      </c>
      <c r="I407">
        <v>7.1</v>
      </c>
      <c r="J407">
        <v>0.98</v>
      </c>
      <c r="K407">
        <v>14</v>
      </c>
      <c r="L407">
        <v>29.4</v>
      </c>
      <c r="M407">
        <v>67.3</v>
      </c>
      <c r="N407">
        <v>3.2</v>
      </c>
      <c r="O407">
        <v>237</v>
      </c>
      <c r="P407" t="s">
        <v>28</v>
      </c>
    </row>
    <row r="408" spans="1:16" x14ac:dyDescent="0.25">
      <c r="A408" t="s">
        <v>466</v>
      </c>
      <c r="B408" s="2">
        <v>45878</v>
      </c>
      <c r="C408" t="s">
        <v>17</v>
      </c>
      <c r="D408" t="s">
        <v>18</v>
      </c>
      <c r="E408" t="s">
        <v>24</v>
      </c>
      <c r="F408">
        <v>44.4</v>
      </c>
      <c r="G408">
        <v>35</v>
      </c>
      <c r="H408">
        <v>22.4</v>
      </c>
      <c r="I408">
        <v>14.6</v>
      </c>
      <c r="J408">
        <v>1.47</v>
      </c>
      <c r="K408">
        <v>25.8</v>
      </c>
      <c r="L408">
        <v>19.899999999999999</v>
      </c>
      <c r="M408">
        <v>66.5</v>
      </c>
      <c r="N408">
        <v>3.6</v>
      </c>
      <c r="O408">
        <v>170</v>
      </c>
      <c r="P408" t="s">
        <v>33</v>
      </c>
    </row>
    <row r="409" spans="1:16" x14ac:dyDescent="0.25">
      <c r="A409" t="s">
        <v>467</v>
      </c>
      <c r="B409" s="2">
        <v>45857</v>
      </c>
      <c r="C409" t="s">
        <v>52</v>
      </c>
      <c r="D409" t="s">
        <v>31</v>
      </c>
      <c r="E409" t="s">
        <v>19</v>
      </c>
      <c r="F409">
        <v>37</v>
      </c>
      <c r="G409">
        <v>52.4</v>
      </c>
      <c r="H409">
        <v>22</v>
      </c>
      <c r="I409">
        <v>3.3</v>
      </c>
      <c r="J409">
        <v>0.68</v>
      </c>
      <c r="K409">
        <v>6.8</v>
      </c>
      <c r="L409">
        <v>30.8</v>
      </c>
      <c r="M409">
        <v>51.3</v>
      </c>
      <c r="N409">
        <v>3</v>
      </c>
      <c r="O409">
        <v>133</v>
      </c>
      <c r="P409" t="s">
        <v>33</v>
      </c>
    </row>
    <row r="410" spans="1:16" x14ac:dyDescent="0.25">
      <c r="A410" t="s">
        <v>468</v>
      </c>
      <c r="B410" s="2">
        <v>45909</v>
      </c>
      <c r="C410" t="s">
        <v>38</v>
      </c>
      <c r="D410" t="s">
        <v>39</v>
      </c>
      <c r="E410" t="s">
        <v>43</v>
      </c>
      <c r="F410">
        <v>46.2</v>
      </c>
      <c r="G410">
        <v>42.7</v>
      </c>
      <c r="H410">
        <v>16</v>
      </c>
      <c r="I410">
        <v>5.2</v>
      </c>
      <c r="J410">
        <v>0.79</v>
      </c>
      <c r="K410">
        <v>22.8</v>
      </c>
      <c r="L410">
        <v>20.2</v>
      </c>
      <c r="M410">
        <v>54.9</v>
      </c>
      <c r="N410">
        <v>1</v>
      </c>
      <c r="O410">
        <v>148</v>
      </c>
      <c r="P410" t="s">
        <v>33</v>
      </c>
    </row>
    <row r="411" spans="1:16" x14ac:dyDescent="0.25">
      <c r="A411" t="s">
        <v>469</v>
      </c>
      <c r="B411" s="2">
        <v>45810</v>
      </c>
      <c r="C411" t="s">
        <v>50</v>
      </c>
      <c r="D411" t="s">
        <v>31</v>
      </c>
      <c r="E411" t="s">
        <v>91</v>
      </c>
      <c r="F411">
        <v>68.8</v>
      </c>
      <c r="G411">
        <v>103.1</v>
      </c>
      <c r="H411">
        <v>24.7</v>
      </c>
      <c r="I411">
        <v>1.7</v>
      </c>
      <c r="J411">
        <v>0.38</v>
      </c>
      <c r="K411">
        <v>3.9</v>
      </c>
      <c r="L411">
        <v>21.5</v>
      </c>
      <c r="M411">
        <v>53.6</v>
      </c>
      <c r="N411">
        <v>0.1</v>
      </c>
      <c r="O411">
        <v>209</v>
      </c>
      <c r="P411" t="s">
        <v>28</v>
      </c>
    </row>
    <row r="412" spans="1:16" x14ac:dyDescent="0.25">
      <c r="A412" t="s">
        <v>470</v>
      </c>
      <c r="B412" s="2">
        <v>45971</v>
      </c>
      <c r="C412" t="s">
        <v>30</v>
      </c>
      <c r="D412" t="s">
        <v>31</v>
      </c>
      <c r="E412" t="s">
        <v>55</v>
      </c>
      <c r="F412">
        <v>56.4</v>
      </c>
      <c r="G412">
        <v>87</v>
      </c>
      <c r="H412">
        <v>30.7</v>
      </c>
      <c r="I412">
        <v>23.6</v>
      </c>
      <c r="J412">
        <v>0.61</v>
      </c>
      <c r="K412">
        <v>2</v>
      </c>
      <c r="L412">
        <v>23.8</v>
      </c>
      <c r="M412">
        <v>63.9</v>
      </c>
      <c r="N412">
        <v>2.1</v>
      </c>
      <c r="O412">
        <v>204</v>
      </c>
      <c r="P412" t="s">
        <v>28</v>
      </c>
    </row>
    <row r="413" spans="1:16" x14ac:dyDescent="0.25">
      <c r="A413" t="s">
        <v>471</v>
      </c>
      <c r="B413" s="2">
        <v>45690</v>
      </c>
      <c r="C413" t="s">
        <v>50</v>
      </c>
      <c r="D413" t="s">
        <v>31</v>
      </c>
      <c r="E413" t="s">
        <v>74</v>
      </c>
      <c r="F413">
        <v>48.1</v>
      </c>
      <c r="G413">
        <v>50.2</v>
      </c>
      <c r="H413">
        <v>22.8</v>
      </c>
      <c r="I413">
        <v>2</v>
      </c>
      <c r="J413">
        <v>0.38</v>
      </c>
      <c r="K413">
        <v>26.2</v>
      </c>
      <c r="L413">
        <v>30</v>
      </c>
      <c r="M413">
        <v>77.900000000000006</v>
      </c>
      <c r="N413">
        <v>3.3</v>
      </c>
      <c r="O413">
        <v>151</v>
      </c>
      <c r="P413" t="s">
        <v>33</v>
      </c>
    </row>
    <row r="414" spans="1:16" x14ac:dyDescent="0.25">
      <c r="A414" t="s">
        <v>472</v>
      </c>
      <c r="B414" s="2">
        <v>45894</v>
      </c>
      <c r="C414" t="s">
        <v>81</v>
      </c>
      <c r="D414" t="s">
        <v>39</v>
      </c>
      <c r="E414" t="s">
        <v>68</v>
      </c>
      <c r="F414">
        <v>21</v>
      </c>
      <c r="G414">
        <v>119.3</v>
      </c>
      <c r="H414">
        <v>32</v>
      </c>
      <c r="I414">
        <v>13.7</v>
      </c>
      <c r="J414">
        <v>0.06</v>
      </c>
      <c r="K414">
        <v>41.1</v>
      </c>
      <c r="L414">
        <v>30.3</v>
      </c>
      <c r="M414">
        <v>64</v>
      </c>
      <c r="N414">
        <v>2.9</v>
      </c>
      <c r="O414">
        <v>166</v>
      </c>
      <c r="P414" t="s">
        <v>33</v>
      </c>
    </row>
    <row r="415" spans="1:16" x14ac:dyDescent="0.25">
      <c r="A415" t="s">
        <v>473</v>
      </c>
      <c r="B415" s="2">
        <v>45930</v>
      </c>
      <c r="C415" t="s">
        <v>42</v>
      </c>
      <c r="D415" t="s">
        <v>23</v>
      </c>
      <c r="E415" t="s">
        <v>61</v>
      </c>
      <c r="F415">
        <v>75.900000000000006</v>
      </c>
      <c r="G415">
        <v>220.1</v>
      </c>
      <c r="H415">
        <v>39</v>
      </c>
      <c r="I415">
        <v>19.8</v>
      </c>
      <c r="J415">
        <v>0.51</v>
      </c>
      <c r="K415">
        <v>45.6</v>
      </c>
      <c r="L415">
        <v>23</v>
      </c>
      <c r="M415">
        <v>50.4</v>
      </c>
      <c r="N415">
        <v>2</v>
      </c>
      <c r="O415">
        <v>343</v>
      </c>
      <c r="P415" t="s">
        <v>20</v>
      </c>
    </row>
    <row r="416" spans="1:16" x14ac:dyDescent="0.25">
      <c r="A416" t="s">
        <v>474</v>
      </c>
      <c r="B416" s="2">
        <v>45942</v>
      </c>
      <c r="C416" t="s">
        <v>99</v>
      </c>
      <c r="D416" t="s">
        <v>36</v>
      </c>
      <c r="E416" t="s">
        <v>27</v>
      </c>
      <c r="F416">
        <v>64.7</v>
      </c>
      <c r="G416">
        <v>57.4</v>
      </c>
      <c r="H416">
        <v>8.6</v>
      </c>
      <c r="I416">
        <v>9.1999999999999993</v>
      </c>
      <c r="J416">
        <v>0.66</v>
      </c>
      <c r="K416">
        <v>24.4</v>
      </c>
      <c r="L416">
        <v>44.8</v>
      </c>
      <c r="M416">
        <v>80.2</v>
      </c>
      <c r="N416">
        <v>2.7</v>
      </c>
      <c r="O416">
        <v>182</v>
      </c>
      <c r="P416" t="s">
        <v>33</v>
      </c>
    </row>
    <row r="417" spans="1:16" x14ac:dyDescent="0.25">
      <c r="A417" t="s">
        <v>475</v>
      </c>
      <c r="B417" s="2">
        <v>46011</v>
      </c>
      <c r="C417" t="s">
        <v>93</v>
      </c>
      <c r="D417" t="s">
        <v>36</v>
      </c>
      <c r="E417" t="s">
        <v>24</v>
      </c>
      <c r="F417">
        <v>38.1</v>
      </c>
      <c r="G417">
        <v>65</v>
      </c>
      <c r="H417">
        <v>30.9</v>
      </c>
      <c r="I417">
        <v>12.7</v>
      </c>
      <c r="J417">
        <v>0.09</v>
      </c>
      <c r="K417">
        <v>42.5</v>
      </c>
      <c r="L417">
        <v>31.4</v>
      </c>
      <c r="M417">
        <v>71.599999999999994</v>
      </c>
      <c r="N417">
        <v>1.4</v>
      </c>
      <c r="O417">
        <v>158</v>
      </c>
      <c r="P417" t="s">
        <v>33</v>
      </c>
    </row>
    <row r="418" spans="1:16" x14ac:dyDescent="0.25">
      <c r="A418" t="s">
        <v>476</v>
      </c>
      <c r="B418" s="2">
        <v>45993</v>
      </c>
      <c r="C418" t="s">
        <v>17</v>
      </c>
      <c r="D418" t="s">
        <v>18</v>
      </c>
      <c r="E418" t="s">
        <v>32</v>
      </c>
      <c r="F418">
        <v>66.7</v>
      </c>
      <c r="G418">
        <v>44.8</v>
      </c>
      <c r="H418">
        <v>40.1</v>
      </c>
      <c r="I418">
        <v>8.8000000000000007</v>
      </c>
      <c r="J418">
        <v>1.27</v>
      </c>
      <c r="K418">
        <v>59.9</v>
      </c>
      <c r="L418">
        <v>30.8</v>
      </c>
      <c r="M418">
        <v>94.1</v>
      </c>
      <c r="N418">
        <v>2.7</v>
      </c>
      <c r="O418">
        <v>233</v>
      </c>
      <c r="P418" t="s">
        <v>28</v>
      </c>
    </row>
    <row r="419" spans="1:16" x14ac:dyDescent="0.25">
      <c r="A419" t="s">
        <v>477</v>
      </c>
      <c r="B419" s="2">
        <v>45743</v>
      </c>
      <c r="C419" t="s">
        <v>54</v>
      </c>
      <c r="D419" t="s">
        <v>18</v>
      </c>
      <c r="E419" t="s">
        <v>32</v>
      </c>
      <c r="F419">
        <v>19.2</v>
      </c>
      <c r="G419">
        <v>115.6</v>
      </c>
      <c r="H419">
        <v>15.9</v>
      </c>
      <c r="I419">
        <v>24.8</v>
      </c>
      <c r="J419">
        <v>0.89</v>
      </c>
      <c r="K419">
        <v>40.799999999999997</v>
      </c>
      <c r="L419">
        <v>32.6</v>
      </c>
      <c r="M419">
        <v>54.4</v>
      </c>
      <c r="N419">
        <v>3.5</v>
      </c>
      <c r="O419">
        <v>177</v>
      </c>
      <c r="P419" t="s">
        <v>33</v>
      </c>
    </row>
    <row r="420" spans="1:16" x14ac:dyDescent="0.25">
      <c r="A420" t="s">
        <v>478</v>
      </c>
      <c r="B420" s="2">
        <v>45794</v>
      </c>
      <c r="C420" t="s">
        <v>93</v>
      </c>
      <c r="D420" t="s">
        <v>36</v>
      </c>
      <c r="E420" t="s">
        <v>43</v>
      </c>
      <c r="F420">
        <v>26.3</v>
      </c>
      <c r="G420">
        <v>75</v>
      </c>
      <c r="H420">
        <v>28.5</v>
      </c>
      <c r="I420">
        <v>7.5</v>
      </c>
      <c r="J420">
        <v>0.99</v>
      </c>
      <c r="K420">
        <v>20.8</v>
      </c>
      <c r="L420">
        <v>21.8</v>
      </c>
      <c r="M420">
        <v>76.599999999999994</v>
      </c>
      <c r="N420">
        <v>2.8</v>
      </c>
      <c r="O420">
        <v>153</v>
      </c>
      <c r="P420" t="s">
        <v>33</v>
      </c>
    </row>
    <row r="421" spans="1:16" x14ac:dyDescent="0.25">
      <c r="A421" t="s">
        <v>479</v>
      </c>
      <c r="B421" s="2">
        <v>45738</v>
      </c>
      <c r="C421" t="s">
        <v>54</v>
      </c>
      <c r="D421" t="s">
        <v>18</v>
      </c>
      <c r="E421" t="s">
        <v>45</v>
      </c>
      <c r="F421">
        <v>108.1</v>
      </c>
      <c r="G421">
        <v>151.30000000000001</v>
      </c>
      <c r="H421">
        <v>17.7</v>
      </c>
      <c r="I421">
        <v>17.3</v>
      </c>
      <c r="J421">
        <v>0.65</v>
      </c>
      <c r="K421">
        <v>75.7</v>
      </c>
      <c r="L421">
        <v>25.5</v>
      </c>
      <c r="M421">
        <v>85.4</v>
      </c>
      <c r="N421">
        <v>2.9</v>
      </c>
      <c r="O421">
        <v>348</v>
      </c>
      <c r="P421" t="s">
        <v>20</v>
      </c>
    </row>
    <row r="422" spans="1:16" x14ac:dyDescent="0.25">
      <c r="A422" t="s">
        <v>480</v>
      </c>
      <c r="B422" s="2">
        <v>45695</v>
      </c>
      <c r="C422" t="s">
        <v>35</v>
      </c>
      <c r="D422" t="s">
        <v>36</v>
      </c>
      <c r="E422" t="s">
        <v>45</v>
      </c>
      <c r="F422">
        <v>78.7</v>
      </c>
      <c r="G422">
        <v>153.6</v>
      </c>
      <c r="H422">
        <v>20.9</v>
      </c>
      <c r="I422">
        <v>17.899999999999999</v>
      </c>
      <c r="J422">
        <v>0.3</v>
      </c>
      <c r="K422">
        <v>59.1</v>
      </c>
      <c r="L422">
        <v>30.1</v>
      </c>
      <c r="M422">
        <v>61</v>
      </c>
      <c r="N422">
        <v>1.6</v>
      </c>
      <c r="O422">
        <v>289</v>
      </c>
      <c r="P422" t="s">
        <v>28</v>
      </c>
    </row>
    <row r="423" spans="1:16" x14ac:dyDescent="0.25">
      <c r="A423" t="s">
        <v>481</v>
      </c>
      <c r="B423" s="2">
        <v>45933</v>
      </c>
      <c r="C423" t="s">
        <v>93</v>
      </c>
      <c r="D423" t="s">
        <v>36</v>
      </c>
      <c r="E423" t="s">
        <v>58</v>
      </c>
      <c r="F423">
        <v>28.5</v>
      </c>
      <c r="G423">
        <v>27.3</v>
      </c>
      <c r="H423">
        <v>57.8</v>
      </c>
      <c r="I423">
        <v>14.3</v>
      </c>
      <c r="J423">
        <v>0.28999999999999998</v>
      </c>
      <c r="K423">
        <v>8.5</v>
      </c>
      <c r="L423">
        <v>24.3</v>
      </c>
      <c r="M423">
        <v>60</v>
      </c>
      <c r="N423">
        <v>2.5</v>
      </c>
      <c r="O423">
        <v>131</v>
      </c>
      <c r="P423" t="s">
        <v>33</v>
      </c>
    </row>
    <row r="424" spans="1:16" x14ac:dyDescent="0.25">
      <c r="A424" t="s">
        <v>482</v>
      </c>
      <c r="B424" s="2">
        <v>45994</v>
      </c>
      <c r="C424" t="s">
        <v>64</v>
      </c>
      <c r="D424" t="s">
        <v>36</v>
      </c>
      <c r="E424" t="s">
        <v>68</v>
      </c>
      <c r="F424">
        <v>85.6</v>
      </c>
      <c r="G424">
        <v>327.3</v>
      </c>
      <c r="H424">
        <v>54.4</v>
      </c>
      <c r="I424">
        <v>2.2000000000000002</v>
      </c>
      <c r="J424">
        <v>0.76</v>
      </c>
      <c r="K424">
        <v>13.4</v>
      </c>
      <c r="L424">
        <v>28.3</v>
      </c>
      <c r="M424">
        <v>68.099999999999994</v>
      </c>
      <c r="N424">
        <v>2</v>
      </c>
      <c r="O424">
        <v>420</v>
      </c>
      <c r="P424" t="s">
        <v>20</v>
      </c>
    </row>
    <row r="425" spans="1:16" x14ac:dyDescent="0.25">
      <c r="A425" t="s">
        <v>483</v>
      </c>
      <c r="B425" s="2">
        <v>45823</v>
      </c>
      <c r="C425" t="s">
        <v>81</v>
      </c>
      <c r="D425" t="s">
        <v>39</v>
      </c>
      <c r="E425" t="s">
        <v>40</v>
      </c>
      <c r="F425">
        <v>43.7</v>
      </c>
      <c r="G425">
        <v>134.9</v>
      </c>
      <c r="H425">
        <v>24.5</v>
      </c>
      <c r="I425">
        <v>18.899999999999999</v>
      </c>
      <c r="J425">
        <v>1.3</v>
      </c>
      <c r="K425">
        <v>66</v>
      </c>
      <c r="L425">
        <v>30</v>
      </c>
      <c r="M425">
        <v>60.7</v>
      </c>
      <c r="N425">
        <v>2.1</v>
      </c>
      <c r="O425">
        <v>253</v>
      </c>
      <c r="P425" t="s">
        <v>28</v>
      </c>
    </row>
    <row r="426" spans="1:16" x14ac:dyDescent="0.25">
      <c r="A426" t="s">
        <v>484</v>
      </c>
      <c r="B426" s="2">
        <v>45986</v>
      </c>
      <c r="C426" t="s">
        <v>93</v>
      </c>
      <c r="D426" t="s">
        <v>36</v>
      </c>
      <c r="E426" t="s">
        <v>32</v>
      </c>
      <c r="F426">
        <v>30.9</v>
      </c>
      <c r="G426">
        <v>63.5</v>
      </c>
      <c r="H426">
        <v>51.9</v>
      </c>
      <c r="I426">
        <v>16.3</v>
      </c>
      <c r="J426">
        <v>0.47</v>
      </c>
      <c r="K426">
        <v>51.5</v>
      </c>
      <c r="L426">
        <v>29.2</v>
      </c>
      <c r="M426">
        <v>77</v>
      </c>
      <c r="N426">
        <v>2</v>
      </c>
      <c r="O426">
        <v>179</v>
      </c>
      <c r="P426" t="s">
        <v>33</v>
      </c>
    </row>
    <row r="427" spans="1:16" x14ac:dyDescent="0.25">
      <c r="A427" t="s">
        <v>485</v>
      </c>
      <c r="B427" s="2">
        <v>45672</v>
      </c>
      <c r="C427" t="s">
        <v>64</v>
      </c>
      <c r="D427" t="s">
        <v>36</v>
      </c>
      <c r="E427" t="s">
        <v>97</v>
      </c>
      <c r="F427">
        <v>134.69999999999999</v>
      </c>
      <c r="G427">
        <v>149.9</v>
      </c>
      <c r="H427">
        <v>63.3</v>
      </c>
      <c r="I427">
        <v>12.8</v>
      </c>
      <c r="J427">
        <v>0.34</v>
      </c>
      <c r="K427">
        <v>53.8</v>
      </c>
      <c r="L427">
        <v>20.6</v>
      </c>
      <c r="M427">
        <v>77.5</v>
      </c>
      <c r="N427">
        <v>2.2999999999999998</v>
      </c>
      <c r="O427">
        <v>405</v>
      </c>
      <c r="P427" t="s">
        <v>20</v>
      </c>
    </row>
    <row r="428" spans="1:16" x14ac:dyDescent="0.25">
      <c r="A428" t="s">
        <v>486</v>
      </c>
      <c r="B428" s="2">
        <v>45935</v>
      </c>
      <c r="C428" t="s">
        <v>52</v>
      </c>
      <c r="D428" t="s">
        <v>31</v>
      </c>
      <c r="E428" t="s">
        <v>40</v>
      </c>
      <c r="F428">
        <v>22.9</v>
      </c>
      <c r="G428">
        <v>43.1</v>
      </c>
      <c r="H428">
        <v>5.9</v>
      </c>
      <c r="I428">
        <v>7.4</v>
      </c>
      <c r="J428">
        <v>0.71</v>
      </c>
      <c r="K428">
        <v>27.3</v>
      </c>
      <c r="L428">
        <v>21.1</v>
      </c>
      <c r="M428">
        <v>74.5</v>
      </c>
      <c r="N428">
        <v>2.2000000000000002</v>
      </c>
      <c r="O428">
        <v>105</v>
      </c>
      <c r="P428" t="s">
        <v>33</v>
      </c>
    </row>
    <row r="429" spans="1:16" x14ac:dyDescent="0.25">
      <c r="A429" t="s">
        <v>487</v>
      </c>
      <c r="B429" s="2">
        <v>45675</v>
      </c>
      <c r="C429" t="s">
        <v>99</v>
      </c>
      <c r="D429" t="s">
        <v>36</v>
      </c>
      <c r="E429" t="s">
        <v>68</v>
      </c>
      <c r="F429">
        <v>62.5</v>
      </c>
      <c r="G429">
        <v>31.7</v>
      </c>
      <c r="H429">
        <v>3.5</v>
      </c>
      <c r="I429">
        <v>15.3</v>
      </c>
      <c r="J429">
        <v>0.46</v>
      </c>
      <c r="K429">
        <v>24</v>
      </c>
      <c r="L429">
        <v>18.5</v>
      </c>
      <c r="M429">
        <v>59.9</v>
      </c>
      <c r="N429">
        <v>1.5</v>
      </c>
      <c r="O429">
        <v>156</v>
      </c>
      <c r="P429" t="s">
        <v>33</v>
      </c>
    </row>
    <row r="430" spans="1:16" x14ac:dyDescent="0.25">
      <c r="A430" t="s">
        <v>488</v>
      </c>
      <c r="B430" s="2">
        <v>45889</v>
      </c>
      <c r="C430" t="s">
        <v>52</v>
      </c>
      <c r="D430" t="s">
        <v>31</v>
      </c>
      <c r="E430" t="s">
        <v>40</v>
      </c>
      <c r="F430">
        <v>20</v>
      </c>
      <c r="G430">
        <v>63.4</v>
      </c>
      <c r="H430">
        <v>59.2</v>
      </c>
      <c r="I430">
        <v>20.5</v>
      </c>
      <c r="J430">
        <v>0.47</v>
      </c>
      <c r="K430">
        <v>36.200000000000003</v>
      </c>
      <c r="L430">
        <v>36.299999999999997</v>
      </c>
      <c r="M430">
        <v>65.8</v>
      </c>
      <c r="N430">
        <v>1.6</v>
      </c>
      <c r="O430">
        <v>163</v>
      </c>
      <c r="P430" t="s">
        <v>33</v>
      </c>
    </row>
    <row r="431" spans="1:16" x14ac:dyDescent="0.25">
      <c r="A431" t="s">
        <v>489</v>
      </c>
      <c r="B431" s="2">
        <v>46016</v>
      </c>
      <c r="C431" t="s">
        <v>26</v>
      </c>
      <c r="D431" t="s">
        <v>23</v>
      </c>
      <c r="E431" t="s">
        <v>32</v>
      </c>
      <c r="F431">
        <v>26.3</v>
      </c>
      <c r="G431">
        <v>23.7</v>
      </c>
      <c r="H431">
        <v>9.6</v>
      </c>
      <c r="I431">
        <v>5.9</v>
      </c>
      <c r="J431">
        <v>0.93</v>
      </c>
      <c r="K431">
        <v>36.1</v>
      </c>
      <c r="L431">
        <v>28.1</v>
      </c>
      <c r="M431">
        <v>68.599999999999994</v>
      </c>
      <c r="N431">
        <v>2.5</v>
      </c>
      <c r="O431">
        <v>109</v>
      </c>
      <c r="P431" t="s">
        <v>33</v>
      </c>
    </row>
    <row r="432" spans="1:16" x14ac:dyDescent="0.25">
      <c r="A432" t="s">
        <v>490</v>
      </c>
      <c r="B432" s="2">
        <v>45801</v>
      </c>
      <c r="C432" t="s">
        <v>42</v>
      </c>
      <c r="D432" t="s">
        <v>23</v>
      </c>
      <c r="E432" t="s">
        <v>45</v>
      </c>
      <c r="F432">
        <v>70.400000000000006</v>
      </c>
      <c r="G432">
        <v>89.2</v>
      </c>
      <c r="H432">
        <v>45.2</v>
      </c>
      <c r="I432">
        <v>16.100000000000001</v>
      </c>
      <c r="J432">
        <v>1.3</v>
      </c>
      <c r="K432">
        <v>51.4</v>
      </c>
      <c r="L432">
        <v>33.5</v>
      </c>
      <c r="M432">
        <v>65.900000000000006</v>
      </c>
      <c r="N432">
        <v>3</v>
      </c>
      <c r="O432">
        <v>274</v>
      </c>
      <c r="P432" t="s">
        <v>28</v>
      </c>
    </row>
    <row r="433" spans="1:16" x14ac:dyDescent="0.25">
      <c r="A433" t="s">
        <v>491</v>
      </c>
      <c r="B433" s="2">
        <v>45922</v>
      </c>
      <c r="C433" t="s">
        <v>64</v>
      </c>
      <c r="D433" t="s">
        <v>36</v>
      </c>
      <c r="E433" t="s">
        <v>70</v>
      </c>
      <c r="F433">
        <v>19.899999999999999</v>
      </c>
      <c r="G433">
        <v>63.4</v>
      </c>
      <c r="H433">
        <v>10.3</v>
      </c>
      <c r="I433">
        <v>33</v>
      </c>
      <c r="J433">
        <v>0.22</v>
      </c>
      <c r="K433">
        <v>59.6</v>
      </c>
      <c r="L433">
        <v>25.2</v>
      </c>
      <c r="M433">
        <v>71.599999999999994</v>
      </c>
      <c r="N433">
        <v>3.1</v>
      </c>
      <c r="O433">
        <v>137</v>
      </c>
      <c r="P433" t="s">
        <v>33</v>
      </c>
    </row>
    <row r="434" spans="1:16" x14ac:dyDescent="0.25">
      <c r="A434" t="s">
        <v>492</v>
      </c>
      <c r="B434" s="2">
        <v>45942</v>
      </c>
      <c r="C434" t="s">
        <v>35</v>
      </c>
      <c r="D434" t="s">
        <v>36</v>
      </c>
      <c r="E434" t="s">
        <v>74</v>
      </c>
      <c r="F434">
        <v>42.1</v>
      </c>
      <c r="G434">
        <v>42.2</v>
      </c>
      <c r="H434">
        <v>40.700000000000003</v>
      </c>
      <c r="I434">
        <v>12.6</v>
      </c>
      <c r="J434">
        <v>0.67</v>
      </c>
      <c r="K434">
        <v>18.2</v>
      </c>
      <c r="L434">
        <v>28.3</v>
      </c>
      <c r="M434">
        <v>56.6</v>
      </c>
      <c r="N434">
        <v>3.9</v>
      </c>
      <c r="O434">
        <v>161</v>
      </c>
      <c r="P434" t="s">
        <v>33</v>
      </c>
    </row>
    <row r="435" spans="1:16" x14ac:dyDescent="0.25">
      <c r="A435" t="s">
        <v>493</v>
      </c>
      <c r="B435" s="2">
        <v>45846</v>
      </c>
      <c r="C435" t="s">
        <v>64</v>
      </c>
      <c r="D435" t="s">
        <v>36</v>
      </c>
      <c r="E435" t="s">
        <v>45</v>
      </c>
      <c r="F435">
        <v>10.7</v>
      </c>
      <c r="G435">
        <v>83.5</v>
      </c>
      <c r="H435">
        <v>47.7</v>
      </c>
      <c r="I435">
        <v>30.8</v>
      </c>
      <c r="J435">
        <v>0.18</v>
      </c>
      <c r="K435">
        <v>23.5</v>
      </c>
      <c r="L435">
        <v>28.5</v>
      </c>
      <c r="M435">
        <v>64.5</v>
      </c>
      <c r="N435">
        <v>0.8</v>
      </c>
      <c r="O435">
        <v>146</v>
      </c>
      <c r="P435" t="s">
        <v>33</v>
      </c>
    </row>
    <row r="436" spans="1:16" x14ac:dyDescent="0.25">
      <c r="A436" t="s">
        <v>494</v>
      </c>
      <c r="B436" s="2">
        <v>45811</v>
      </c>
      <c r="C436" t="s">
        <v>99</v>
      </c>
      <c r="D436" t="s">
        <v>36</v>
      </c>
      <c r="E436" t="s">
        <v>19</v>
      </c>
      <c r="F436">
        <v>71.2</v>
      </c>
      <c r="G436">
        <v>48.5</v>
      </c>
      <c r="H436">
        <v>39.5</v>
      </c>
      <c r="I436">
        <v>10.9</v>
      </c>
      <c r="J436">
        <v>0.86</v>
      </c>
      <c r="K436">
        <v>34.1</v>
      </c>
      <c r="L436">
        <v>34.799999999999997</v>
      </c>
      <c r="M436">
        <v>62.5</v>
      </c>
      <c r="N436">
        <v>2.9</v>
      </c>
      <c r="O436">
        <v>222</v>
      </c>
      <c r="P436" t="s">
        <v>28</v>
      </c>
    </row>
    <row r="437" spans="1:16" x14ac:dyDescent="0.25">
      <c r="A437" t="s">
        <v>495</v>
      </c>
      <c r="B437" s="2">
        <v>45715</v>
      </c>
      <c r="C437" t="s">
        <v>54</v>
      </c>
      <c r="D437" t="s">
        <v>18</v>
      </c>
      <c r="E437" t="s">
        <v>97</v>
      </c>
      <c r="F437">
        <v>54.1</v>
      </c>
      <c r="G437">
        <v>35.299999999999997</v>
      </c>
      <c r="H437">
        <v>39.299999999999997</v>
      </c>
      <c r="I437">
        <v>26</v>
      </c>
      <c r="J437">
        <v>0.85</v>
      </c>
      <c r="K437">
        <v>95.7</v>
      </c>
      <c r="L437">
        <v>29.8</v>
      </c>
      <c r="M437">
        <v>59.1</v>
      </c>
      <c r="N437">
        <v>2.1</v>
      </c>
      <c r="O437">
        <v>223</v>
      </c>
      <c r="P437" t="s">
        <v>28</v>
      </c>
    </row>
    <row r="438" spans="1:16" x14ac:dyDescent="0.25">
      <c r="A438" t="s">
        <v>496</v>
      </c>
      <c r="B438" s="2">
        <v>45914</v>
      </c>
      <c r="C438" t="s">
        <v>38</v>
      </c>
      <c r="D438" t="s">
        <v>39</v>
      </c>
      <c r="E438" t="s">
        <v>43</v>
      </c>
      <c r="F438">
        <v>16.100000000000001</v>
      </c>
      <c r="G438">
        <v>47.2</v>
      </c>
      <c r="H438">
        <v>13.4</v>
      </c>
      <c r="I438">
        <v>10.199999999999999</v>
      </c>
      <c r="J438">
        <v>0.6</v>
      </c>
      <c r="K438">
        <v>37.799999999999997</v>
      </c>
      <c r="L438">
        <v>28.5</v>
      </c>
      <c r="M438">
        <v>81.099999999999994</v>
      </c>
      <c r="N438">
        <v>1.7</v>
      </c>
      <c r="O438">
        <v>106</v>
      </c>
      <c r="P438" t="s">
        <v>33</v>
      </c>
    </row>
    <row r="439" spans="1:16" x14ac:dyDescent="0.25">
      <c r="A439" t="s">
        <v>497</v>
      </c>
      <c r="B439" s="2">
        <v>45990</v>
      </c>
      <c r="C439" t="s">
        <v>77</v>
      </c>
      <c r="D439" t="s">
        <v>39</v>
      </c>
      <c r="E439" t="s">
        <v>24</v>
      </c>
      <c r="F439">
        <v>37</v>
      </c>
      <c r="G439">
        <v>71.900000000000006</v>
      </c>
      <c r="H439">
        <v>58</v>
      </c>
      <c r="I439">
        <v>24.6</v>
      </c>
      <c r="J439">
        <v>0.54</v>
      </c>
      <c r="K439">
        <v>36.6</v>
      </c>
      <c r="L439">
        <v>23.5</v>
      </c>
      <c r="M439">
        <v>89.4</v>
      </c>
      <c r="N439">
        <v>3.7</v>
      </c>
      <c r="O439">
        <v>200</v>
      </c>
      <c r="P439" t="s">
        <v>33</v>
      </c>
    </row>
    <row r="440" spans="1:16" x14ac:dyDescent="0.25">
      <c r="A440" t="s">
        <v>498</v>
      </c>
      <c r="B440" s="2">
        <v>45795</v>
      </c>
      <c r="C440" t="s">
        <v>50</v>
      </c>
      <c r="D440" t="s">
        <v>31</v>
      </c>
      <c r="E440" t="s">
        <v>43</v>
      </c>
      <c r="F440">
        <v>30.8</v>
      </c>
      <c r="G440">
        <v>100</v>
      </c>
      <c r="H440">
        <v>20.8</v>
      </c>
      <c r="I440">
        <v>17.100000000000001</v>
      </c>
      <c r="J440">
        <v>0.75</v>
      </c>
      <c r="K440">
        <v>51.5</v>
      </c>
      <c r="L440">
        <v>24.7</v>
      </c>
      <c r="M440">
        <v>88.7</v>
      </c>
      <c r="N440">
        <v>1.6</v>
      </c>
      <c r="O440">
        <v>185</v>
      </c>
      <c r="P440" t="s">
        <v>33</v>
      </c>
    </row>
    <row r="441" spans="1:16" x14ac:dyDescent="0.25">
      <c r="A441" t="s">
        <v>499</v>
      </c>
      <c r="B441" s="2">
        <v>45794</v>
      </c>
      <c r="C441" t="s">
        <v>22</v>
      </c>
      <c r="D441" t="s">
        <v>23</v>
      </c>
      <c r="E441" t="s">
        <v>68</v>
      </c>
      <c r="F441">
        <v>27.8</v>
      </c>
      <c r="G441">
        <v>43</v>
      </c>
      <c r="H441">
        <v>13.4</v>
      </c>
      <c r="I441">
        <v>29.1</v>
      </c>
      <c r="J441">
        <v>0.34</v>
      </c>
      <c r="K441">
        <v>35.5</v>
      </c>
      <c r="L441">
        <v>29.4</v>
      </c>
      <c r="M441">
        <v>65.900000000000006</v>
      </c>
      <c r="N441">
        <v>2.1</v>
      </c>
      <c r="O441">
        <v>128</v>
      </c>
      <c r="P441" t="s">
        <v>33</v>
      </c>
    </row>
    <row r="442" spans="1:16" x14ac:dyDescent="0.25">
      <c r="A442" t="s">
        <v>500</v>
      </c>
      <c r="B442" s="2">
        <v>45723</v>
      </c>
      <c r="C442" t="s">
        <v>22</v>
      </c>
      <c r="D442" t="s">
        <v>23</v>
      </c>
      <c r="E442" t="s">
        <v>40</v>
      </c>
      <c r="F442">
        <v>48.1</v>
      </c>
      <c r="G442">
        <v>90.3</v>
      </c>
      <c r="H442">
        <v>31.1</v>
      </c>
      <c r="I442">
        <v>3.1</v>
      </c>
      <c r="J442">
        <v>0.8</v>
      </c>
      <c r="K442">
        <v>87.9</v>
      </c>
      <c r="L442">
        <v>31.6</v>
      </c>
      <c r="M442">
        <v>45.4</v>
      </c>
      <c r="N442">
        <v>2.9</v>
      </c>
      <c r="O442">
        <v>222</v>
      </c>
      <c r="P442" t="s">
        <v>28</v>
      </c>
    </row>
    <row r="443" spans="1:16" x14ac:dyDescent="0.25">
      <c r="A443" t="s">
        <v>501</v>
      </c>
      <c r="B443" s="2">
        <v>45777</v>
      </c>
      <c r="C443" t="s">
        <v>99</v>
      </c>
      <c r="D443" t="s">
        <v>36</v>
      </c>
      <c r="E443" t="s">
        <v>91</v>
      </c>
      <c r="F443">
        <v>31.2</v>
      </c>
      <c r="G443">
        <v>98</v>
      </c>
      <c r="H443">
        <v>33.6</v>
      </c>
      <c r="I443">
        <v>6.7</v>
      </c>
      <c r="J443">
        <v>0.44</v>
      </c>
      <c r="K443">
        <v>37.799999999999997</v>
      </c>
      <c r="L443">
        <v>25.4</v>
      </c>
      <c r="M443">
        <v>48.8</v>
      </c>
      <c r="N443">
        <v>2.2999999999999998</v>
      </c>
      <c r="O443">
        <v>173</v>
      </c>
      <c r="P443" t="s">
        <v>33</v>
      </c>
    </row>
    <row r="444" spans="1:16" x14ac:dyDescent="0.25">
      <c r="A444" t="s">
        <v>502</v>
      </c>
      <c r="B444" s="2">
        <v>45886</v>
      </c>
      <c r="C444" t="s">
        <v>77</v>
      </c>
      <c r="D444" t="s">
        <v>39</v>
      </c>
      <c r="E444" t="s">
        <v>19</v>
      </c>
      <c r="F444">
        <v>87.3</v>
      </c>
      <c r="G444">
        <v>103.6</v>
      </c>
      <c r="H444">
        <v>31.2</v>
      </c>
      <c r="I444">
        <v>3.7</v>
      </c>
      <c r="J444">
        <v>0.8</v>
      </c>
      <c r="K444">
        <v>13.4</v>
      </c>
      <c r="L444">
        <v>32.700000000000003</v>
      </c>
      <c r="M444">
        <v>62.9</v>
      </c>
      <c r="N444">
        <v>1.5</v>
      </c>
      <c r="O444">
        <v>261</v>
      </c>
      <c r="P444" t="s">
        <v>28</v>
      </c>
    </row>
    <row r="445" spans="1:16" x14ac:dyDescent="0.25">
      <c r="A445" t="s">
        <v>503</v>
      </c>
      <c r="B445" s="2">
        <v>45946</v>
      </c>
      <c r="C445" t="s">
        <v>38</v>
      </c>
      <c r="D445" t="s">
        <v>39</v>
      </c>
      <c r="E445" t="s">
        <v>55</v>
      </c>
      <c r="F445">
        <v>45.1</v>
      </c>
      <c r="G445">
        <v>88.8</v>
      </c>
      <c r="H445">
        <v>5.2</v>
      </c>
      <c r="I445">
        <v>8.4</v>
      </c>
      <c r="J445">
        <v>0.94</v>
      </c>
      <c r="K445">
        <v>30.9</v>
      </c>
      <c r="L445">
        <v>22.5</v>
      </c>
      <c r="M445">
        <v>60</v>
      </c>
      <c r="N445">
        <v>1.7</v>
      </c>
      <c r="O445">
        <v>177</v>
      </c>
      <c r="P445" t="s">
        <v>33</v>
      </c>
    </row>
    <row r="446" spans="1:16" x14ac:dyDescent="0.25">
      <c r="A446" t="s">
        <v>504</v>
      </c>
      <c r="B446" s="2">
        <v>45999</v>
      </c>
      <c r="C446" t="s">
        <v>42</v>
      </c>
      <c r="D446" t="s">
        <v>23</v>
      </c>
      <c r="E446" t="s">
        <v>97</v>
      </c>
      <c r="F446">
        <v>16.899999999999999</v>
      </c>
      <c r="G446">
        <v>64.400000000000006</v>
      </c>
      <c r="H446">
        <v>18.899999999999999</v>
      </c>
      <c r="I446">
        <v>13.4</v>
      </c>
      <c r="J446">
        <v>0.28999999999999998</v>
      </c>
      <c r="K446">
        <v>17</v>
      </c>
      <c r="L446">
        <v>32.200000000000003</v>
      </c>
      <c r="M446">
        <v>51.9</v>
      </c>
      <c r="N446">
        <v>3.7</v>
      </c>
      <c r="O446">
        <v>108</v>
      </c>
      <c r="P446" t="s">
        <v>33</v>
      </c>
    </row>
    <row r="447" spans="1:16" x14ac:dyDescent="0.25">
      <c r="A447" t="s">
        <v>505</v>
      </c>
      <c r="B447" s="2">
        <v>45956</v>
      </c>
      <c r="C447" t="s">
        <v>30</v>
      </c>
      <c r="D447" t="s">
        <v>31</v>
      </c>
      <c r="E447" t="s">
        <v>55</v>
      </c>
      <c r="F447">
        <v>11.1</v>
      </c>
      <c r="G447">
        <v>51.6</v>
      </c>
      <c r="H447">
        <v>40.9</v>
      </c>
      <c r="I447">
        <v>7.7</v>
      </c>
      <c r="J447">
        <v>0.7</v>
      </c>
      <c r="K447">
        <v>39.799999999999997</v>
      </c>
      <c r="L447">
        <v>32.799999999999997</v>
      </c>
      <c r="M447">
        <v>88.8</v>
      </c>
      <c r="N447">
        <v>0.9</v>
      </c>
      <c r="O447">
        <v>125</v>
      </c>
      <c r="P447" t="s">
        <v>33</v>
      </c>
    </row>
    <row r="448" spans="1:16" x14ac:dyDescent="0.25">
      <c r="A448" t="s">
        <v>506</v>
      </c>
      <c r="B448" s="2">
        <v>45843</v>
      </c>
      <c r="C448" t="s">
        <v>54</v>
      </c>
      <c r="D448" t="s">
        <v>18</v>
      </c>
      <c r="E448" t="s">
        <v>97</v>
      </c>
      <c r="F448">
        <v>18.5</v>
      </c>
      <c r="G448">
        <v>23.5</v>
      </c>
      <c r="H448">
        <v>25.1</v>
      </c>
      <c r="I448">
        <v>9.6999999999999993</v>
      </c>
      <c r="J448">
        <v>0.22</v>
      </c>
      <c r="K448">
        <v>51</v>
      </c>
      <c r="L448">
        <v>33.9</v>
      </c>
      <c r="M448">
        <v>50.4</v>
      </c>
      <c r="N448">
        <v>4.0999999999999996</v>
      </c>
      <c r="O448">
        <v>100</v>
      </c>
      <c r="P448" t="s">
        <v>71</v>
      </c>
    </row>
    <row r="449" spans="1:16" x14ac:dyDescent="0.25">
      <c r="A449" t="s">
        <v>507</v>
      </c>
      <c r="B449" s="2">
        <v>45665</v>
      </c>
      <c r="C449" t="s">
        <v>81</v>
      </c>
      <c r="D449" t="s">
        <v>39</v>
      </c>
      <c r="E449" t="s">
        <v>97</v>
      </c>
      <c r="F449">
        <v>49.7</v>
      </c>
      <c r="G449">
        <v>132.19999999999999</v>
      </c>
      <c r="H449">
        <v>33.799999999999997</v>
      </c>
      <c r="I449">
        <v>2.2000000000000002</v>
      </c>
      <c r="J449">
        <v>0.57999999999999996</v>
      </c>
      <c r="K449">
        <v>64</v>
      </c>
      <c r="L449">
        <v>21.5</v>
      </c>
      <c r="M449">
        <v>40.4</v>
      </c>
      <c r="N449">
        <v>1.7</v>
      </c>
      <c r="O449">
        <v>237</v>
      </c>
      <c r="P449" t="s">
        <v>28</v>
      </c>
    </row>
    <row r="450" spans="1:16" x14ac:dyDescent="0.25">
      <c r="A450" t="s">
        <v>508</v>
      </c>
      <c r="B450" s="2">
        <v>45728</v>
      </c>
      <c r="C450" t="s">
        <v>54</v>
      </c>
      <c r="D450" t="s">
        <v>18</v>
      </c>
      <c r="E450" t="s">
        <v>74</v>
      </c>
      <c r="F450">
        <v>89.5</v>
      </c>
      <c r="G450">
        <v>165.5</v>
      </c>
      <c r="H450">
        <v>1.7</v>
      </c>
      <c r="I450">
        <v>27.6</v>
      </c>
      <c r="J450">
        <v>1.61</v>
      </c>
      <c r="K450">
        <v>102.9</v>
      </c>
      <c r="L450">
        <v>34</v>
      </c>
      <c r="M450">
        <v>83.2</v>
      </c>
      <c r="N450">
        <v>3.9</v>
      </c>
      <c r="O450">
        <v>358</v>
      </c>
      <c r="P450" t="s">
        <v>20</v>
      </c>
    </row>
    <row r="451" spans="1:16" x14ac:dyDescent="0.25">
      <c r="A451" t="s">
        <v>509</v>
      </c>
      <c r="B451" s="2">
        <v>45858</v>
      </c>
      <c r="C451" t="s">
        <v>99</v>
      </c>
      <c r="D451" t="s">
        <v>36</v>
      </c>
      <c r="E451" t="s">
        <v>19</v>
      </c>
      <c r="F451">
        <v>33.1</v>
      </c>
      <c r="G451">
        <v>110.1</v>
      </c>
      <c r="H451">
        <v>37.799999999999997</v>
      </c>
      <c r="I451">
        <v>14</v>
      </c>
      <c r="J451">
        <v>0.08</v>
      </c>
      <c r="K451">
        <v>12.8</v>
      </c>
      <c r="L451">
        <v>26.3</v>
      </c>
      <c r="M451">
        <v>58.2</v>
      </c>
      <c r="N451">
        <v>2.8</v>
      </c>
      <c r="O451">
        <v>172</v>
      </c>
      <c r="P451" t="s">
        <v>33</v>
      </c>
    </row>
    <row r="452" spans="1:16" x14ac:dyDescent="0.25">
      <c r="A452" t="s">
        <v>510</v>
      </c>
      <c r="B452" s="2">
        <v>45886</v>
      </c>
      <c r="C452" t="s">
        <v>99</v>
      </c>
      <c r="D452" t="s">
        <v>36</v>
      </c>
      <c r="E452" t="s">
        <v>61</v>
      </c>
      <c r="F452">
        <v>13.6</v>
      </c>
      <c r="G452">
        <v>70.099999999999994</v>
      </c>
      <c r="H452">
        <v>61</v>
      </c>
      <c r="I452">
        <v>6.1</v>
      </c>
      <c r="J452">
        <v>0.87</v>
      </c>
      <c r="K452">
        <v>56</v>
      </c>
      <c r="L452">
        <v>29.9</v>
      </c>
      <c r="M452">
        <v>73.099999999999994</v>
      </c>
      <c r="N452">
        <v>3.7</v>
      </c>
      <c r="O452">
        <v>167</v>
      </c>
      <c r="P452" t="s">
        <v>33</v>
      </c>
    </row>
    <row r="453" spans="1:16" x14ac:dyDescent="0.25">
      <c r="A453" t="s">
        <v>511</v>
      </c>
      <c r="B453" s="2">
        <v>45786</v>
      </c>
      <c r="C453" t="s">
        <v>64</v>
      </c>
      <c r="D453" t="s">
        <v>36</v>
      </c>
      <c r="E453" t="s">
        <v>32</v>
      </c>
      <c r="F453">
        <v>8.6</v>
      </c>
      <c r="G453">
        <v>64.3</v>
      </c>
      <c r="H453">
        <v>39.1</v>
      </c>
      <c r="I453">
        <v>15.2</v>
      </c>
      <c r="J453">
        <v>0.48</v>
      </c>
      <c r="K453">
        <v>25.6</v>
      </c>
      <c r="L453">
        <v>30.4</v>
      </c>
      <c r="M453">
        <v>60.9</v>
      </c>
      <c r="N453">
        <v>4.4000000000000004</v>
      </c>
      <c r="O453">
        <v>121</v>
      </c>
      <c r="P453" t="s">
        <v>33</v>
      </c>
    </row>
    <row r="454" spans="1:16" x14ac:dyDescent="0.25">
      <c r="A454" t="s">
        <v>512</v>
      </c>
      <c r="B454" s="2">
        <v>45871</v>
      </c>
      <c r="C454" t="s">
        <v>81</v>
      </c>
      <c r="D454" t="s">
        <v>39</v>
      </c>
      <c r="E454" t="s">
        <v>97</v>
      </c>
      <c r="F454">
        <v>62</v>
      </c>
      <c r="G454">
        <v>147.6</v>
      </c>
      <c r="H454">
        <v>9</v>
      </c>
      <c r="I454">
        <v>29.7</v>
      </c>
      <c r="J454">
        <v>1.26</v>
      </c>
      <c r="K454">
        <v>32.299999999999997</v>
      </c>
      <c r="L454">
        <v>27</v>
      </c>
      <c r="M454">
        <v>72.900000000000006</v>
      </c>
      <c r="N454">
        <v>1.2</v>
      </c>
      <c r="O454">
        <v>269</v>
      </c>
      <c r="P454" t="s">
        <v>28</v>
      </c>
    </row>
    <row r="455" spans="1:16" x14ac:dyDescent="0.25">
      <c r="A455" t="s">
        <v>513</v>
      </c>
      <c r="B455" s="2">
        <v>46012</v>
      </c>
      <c r="C455" t="s">
        <v>77</v>
      </c>
      <c r="D455" t="s">
        <v>39</v>
      </c>
      <c r="E455" t="s">
        <v>97</v>
      </c>
      <c r="F455">
        <v>34.5</v>
      </c>
      <c r="G455">
        <v>122.7</v>
      </c>
      <c r="H455">
        <v>21.4</v>
      </c>
      <c r="I455">
        <v>6.6</v>
      </c>
      <c r="J455">
        <v>1.04</v>
      </c>
      <c r="K455">
        <v>18.5</v>
      </c>
      <c r="L455">
        <v>29.6</v>
      </c>
      <c r="M455">
        <v>37</v>
      </c>
      <c r="N455">
        <v>1.3</v>
      </c>
      <c r="O455">
        <v>191</v>
      </c>
      <c r="P455" t="s">
        <v>33</v>
      </c>
    </row>
    <row r="456" spans="1:16" x14ac:dyDescent="0.25">
      <c r="A456" t="s">
        <v>514</v>
      </c>
      <c r="B456" s="2">
        <v>45928</v>
      </c>
      <c r="C456" t="s">
        <v>42</v>
      </c>
      <c r="D456" t="s">
        <v>23</v>
      </c>
      <c r="E456" t="s">
        <v>68</v>
      </c>
      <c r="F456">
        <v>48.5</v>
      </c>
      <c r="G456">
        <v>121.9</v>
      </c>
      <c r="H456">
        <v>25.1</v>
      </c>
      <c r="I456">
        <v>3.9</v>
      </c>
      <c r="J456">
        <v>0.75</v>
      </c>
      <c r="K456">
        <v>10.8</v>
      </c>
      <c r="L456">
        <v>26.2</v>
      </c>
      <c r="M456">
        <v>60.2</v>
      </c>
      <c r="N456">
        <v>1.9</v>
      </c>
      <c r="O456">
        <v>203</v>
      </c>
      <c r="P456" t="s">
        <v>28</v>
      </c>
    </row>
    <row r="457" spans="1:16" x14ac:dyDescent="0.25">
      <c r="A457" t="s">
        <v>515</v>
      </c>
      <c r="B457" s="2">
        <v>45772</v>
      </c>
      <c r="C457" t="s">
        <v>67</v>
      </c>
      <c r="D457" t="s">
        <v>18</v>
      </c>
      <c r="E457" t="s">
        <v>19</v>
      </c>
      <c r="F457">
        <v>32.299999999999997</v>
      </c>
      <c r="G457">
        <v>116.1</v>
      </c>
      <c r="H457">
        <v>13.7</v>
      </c>
      <c r="I457">
        <v>11.3</v>
      </c>
      <c r="J457">
        <v>0.6</v>
      </c>
      <c r="K457">
        <v>4.7</v>
      </c>
      <c r="L457">
        <v>21.5</v>
      </c>
      <c r="M457">
        <v>65</v>
      </c>
      <c r="N457">
        <v>1.6</v>
      </c>
      <c r="O457">
        <v>163</v>
      </c>
      <c r="P457" t="s">
        <v>33</v>
      </c>
    </row>
    <row r="458" spans="1:16" x14ac:dyDescent="0.25">
      <c r="A458" t="s">
        <v>516</v>
      </c>
      <c r="B458" s="2">
        <v>46016</v>
      </c>
      <c r="C458" t="s">
        <v>22</v>
      </c>
      <c r="D458" t="s">
        <v>23</v>
      </c>
      <c r="E458" t="s">
        <v>45</v>
      </c>
      <c r="F458">
        <v>66.7</v>
      </c>
      <c r="G458">
        <v>48.9</v>
      </c>
      <c r="H458">
        <v>5.0999999999999996</v>
      </c>
      <c r="I458">
        <v>16.5</v>
      </c>
      <c r="J458">
        <v>0.32</v>
      </c>
      <c r="K458">
        <v>26.4</v>
      </c>
      <c r="L458">
        <v>29.4</v>
      </c>
      <c r="M458">
        <v>70.599999999999994</v>
      </c>
      <c r="N458">
        <v>2.5</v>
      </c>
      <c r="O458">
        <v>174</v>
      </c>
      <c r="P458" t="s">
        <v>33</v>
      </c>
    </row>
    <row r="459" spans="1:16" x14ac:dyDescent="0.25">
      <c r="A459" t="s">
        <v>517</v>
      </c>
      <c r="B459" s="2">
        <v>45767</v>
      </c>
      <c r="C459" t="s">
        <v>81</v>
      </c>
      <c r="D459" t="s">
        <v>39</v>
      </c>
      <c r="E459" t="s">
        <v>43</v>
      </c>
      <c r="F459">
        <v>72.7</v>
      </c>
      <c r="G459">
        <v>112.2</v>
      </c>
      <c r="H459">
        <v>27.1</v>
      </c>
      <c r="I459">
        <v>9</v>
      </c>
      <c r="J459">
        <v>0.36</v>
      </c>
      <c r="K459">
        <v>30.6</v>
      </c>
      <c r="L459">
        <v>32.200000000000003</v>
      </c>
      <c r="M459">
        <v>54.9</v>
      </c>
      <c r="N459">
        <v>1.5</v>
      </c>
      <c r="O459">
        <v>240</v>
      </c>
      <c r="P459" t="s">
        <v>28</v>
      </c>
    </row>
    <row r="460" spans="1:16" x14ac:dyDescent="0.25">
      <c r="A460" t="s">
        <v>518</v>
      </c>
      <c r="B460" s="2">
        <v>45709</v>
      </c>
      <c r="C460" t="s">
        <v>64</v>
      </c>
      <c r="D460" t="s">
        <v>36</v>
      </c>
      <c r="E460" t="s">
        <v>43</v>
      </c>
      <c r="F460">
        <v>47.5</v>
      </c>
      <c r="G460">
        <v>120.3</v>
      </c>
      <c r="H460">
        <v>39.5</v>
      </c>
      <c r="I460">
        <v>5.8</v>
      </c>
      <c r="J460">
        <v>0.17</v>
      </c>
      <c r="K460">
        <v>36.4</v>
      </c>
      <c r="L460">
        <v>29.1</v>
      </c>
      <c r="M460">
        <v>73.599999999999994</v>
      </c>
      <c r="N460">
        <v>4.4000000000000004</v>
      </c>
      <c r="O460">
        <v>210</v>
      </c>
      <c r="P460" t="s">
        <v>28</v>
      </c>
    </row>
    <row r="461" spans="1:16" x14ac:dyDescent="0.25">
      <c r="A461" t="s">
        <v>519</v>
      </c>
      <c r="B461" s="2">
        <v>45898</v>
      </c>
      <c r="C461" t="s">
        <v>54</v>
      </c>
      <c r="D461" t="s">
        <v>18</v>
      </c>
      <c r="E461" t="s">
        <v>61</v>
      </c>
      <c r="F461">
        <v>54.5</v>
      </c>
      <c r="G461">
        <v>46.3</v>
      </c>
      <c r="H461">
        <v>5.3</v>
      </c>
      <c r="I461">
        <v>12.3</v>
      </c>
      <c r="J461">
        <v>0.56000000000000005</v>
      </c>
      <c r="K461">
        <v>13.3</v>
      </c>
      <c r="L461">
        <v>26.2</v>
      </c>
      <c r="M461">
        <v>80.099999999999994</v>
      </c>
      <c r="N461">
        <v>2.5</v>
      </c>
      <c r="O461">
        <v>150</v>
      </c>
      <c r="P461" t="s">
        <v>33</v>
      </c>
    </row>
    <row r="462" spans="1:16" x14ac:dyDescent="0.25">
      <c r="A462" t="s">
        <v>520</v>
      </c>
      <c r="B462" s="2">
        <v>45925</v>
      </c>
      <c r="C462" t="s">
        <v>30</v>
      </c>
      <c r="D462" t="s">
        <v>31</v>
      </c>
      <c r="E462" t="s">
        <v>61</v>
      </c>
      <c r="F462">
        <v>30.2</v>
      </c>
      <c r="G462">
        <v>104.5</v>
      </c>
      <c r="H462">
        <v>82</v>
      </c>
      <c r="I462">
        <v>7.5</v>
      </c>
      <c r="J462">
        <v>0.19</v>
      </c>
      <c r="K462">
        <v>64.7</v>
      </c>
      <c r="L462">
        <v>36</v>
      </c>
      <c r="M462">
        <v>71.2</v>
      </c>
      <c r="N462">
        <v>2.9</v>
      </c>
      <c r="O462">
        <v>221</v>
      </c>
      <c r="P462" t="s">
        <v>28</v>
      </c>
    </row>
    <row r="463" spans="1:16" x14ac:dyDescent="0.25">
      <c r="A463" t="s">
        <v>521</v>
      </c>
      <c r="B463" s="2">
        <v>45987</v>
      </c>
      <c r="C463" t="s">
        <v>26</v>
      </c>
      <c r="D463" t="s">
        <v>23</v>
      </c>
      <c r="E463" t="s">
        <v>58</v>
      </c>
      <c r="F463">
        <v>82.4</v>
      </c>
      <c r="G463">
        <v>28.3</v>
      </c>
      <c r="H463">
        <v>30.9</v>
      </c>
      <c r="I463">
        <v>4.8</v>
      </c>
      <c r="J463">
        <v>1.06</v>
      </c>
      <c r="K463">
        <v>20</v>
      </c>
      <c r="L463">
        <v>22.8</v>
      </c>
      <c r="M463">
        <v>77</v>
      </c>
      <c r="N463">
        <v>4.7</v>
      </c>
      <c r="O463">
        <v>214</v>
      </c>
      <c r="P463" t="s">
        <v>28</v>
      </c>
    </row>
    <row r="464" spans="1:16" x14ac:dyDescent="0.25">
      <c r="A464" t="s">
        <v>522</v>
      </c>
      <c r="B464" s="2">
        <v>45690</v>
      </c>
      <c r="C464" t="s">
        <v>26</v>
      </c>
      <c r="D464" t="s">
        <v>23</v>
      </c>
      <c r="E464" t="s">
        <v>97</v>
      </c>
      <c r="F464">
        <v>35.700000000000003</v>
      </c>
      <c r="G464">
        <v>124.9</v>
      </c>
      <c r="H464">
        <v>21.6</v>
      </c>
      <c r="I464">
        <v>2.7</v>
      </c>
      <c r="J464">
        <v>1.26</v>
      </c>
      <c r="K464">
        <v>3.7</v>
      </c>
      <c r="L464">
        <v>25.8</v>
      </c>
      <c r="M464">
        <v>46.6</v>
      </c>
      <c r="N464">
        <v>2.8</v>
      </c>
      <c r="O464">
        <v>191</v>
      </c>
      <c r="P464" t="s">
        <v>33</v>
      </c>
    </row>
    <row r="465" spans="1:16" x14ac:dyDescent="0.25">
      <c r="A465" t="s">
        <v>523</v>
      </c>
      <c r="B465" s="2">
        <v>45892</v>
      </c>
      <c r="C465" t="s">
        <v>93</v>
      </c>
      <c r="D465" t="s">
        <v>36</v>
      </c>
      <c r="E465" t="s">
        <v>74</v>
      </c>
      <c r="F465">
        <v>20.6</v>
      </c>
      <c r="G465">
        <v>79.5</v>
      </c>
      <c r="H465">
        <v>28.5</v>
      </c>
      <c r="I465">
        <v>5.5</v>
      </c>
      <c r="J465">
        <v>0.4</v>
      </c>
      <c r="K465">
        <v>41</v>
      </c>
      <c r="L465">
        <v>12.4</v>
      </c>
      <c r="M465">
        <v>56.5</v>
      </c>
      <c r="N465">
        <v>1.7</v>
      </c>
      <c r="O465">
        <v>140</v>
      </c>
      <c r="P465" t="s">
        <v>33</v>
      </c>
    </row>
    <row r="466" spans="1:16" x14ac:dyDescent="0.25">
      <c r="A466" t="s">
        <v>524</v>
      </c>
      <c r="B466" s="2">
        <v>46009</v>
      </c>
      <c r="C466" t="s">
        <v>17</v>
      </c>
      <c r="D466" t="s">
        <v>18</v>
      </c>
      <c r="E466" t="s">
        <v>97</v>
      </c>
      <c r="F466">
        <v>95.2</v>
      </c>
      <c r="G466">
        <v>31.1</v>
      </c>
      <c r="H466">
        <v>14</v>
      </c>
      <c r="I466">
        <v>6.3</v>
      </c>
      <c r="J466">
        <v>1.3</v>
      </c>
      <c r="K466">
        <v>62.8</v>
      </c>
      <c r="L466">
        <v>28.5</v>
      </c>
      <c r="M466">
        <v>83.6</v>
      </c>
      <c r="N466">
        <v>0.8</v>
      </c>
      <c r="O466">
        <v>249</v>
      </c>
      <c r="P466" t="s">
        <v>28</v>
      </c>
    </row>
    <row r="467" spans="1:16" x14ac:dyDescent="0.25">
      <c r="A467" t="s">
        <v>525</v>
      </c>
      <c r="B467" s="2">
        <v>45862</v>
      </c>
      <c r="C467" t="s">
        <v>17</v>
      </c>
      <c r="D467" t="s">
        <v>18</v>
      </c>
      <c r="E467" t="s">
        <v>24</v>
      </c>
      <c r="F467">
        <v>73.7</v>
      </c>
      <c r="G467">
        <v>130.5</v>
      </c>
      <c r="H467">
        <v>4.9000000000000004</v>
      </c>
      <c r="I467">
        <v>32.1</v>
      </c>
      <c r="J467">
        <v>0.6</v>
      </c>
      <c r="K467">
        <v>27.8</v>
      </c>
      <c r="L467">
        <v>27.2</v>
      </c>
      <c r="M467">
        <v>75.5</v>
      </c>
      <c r="N467">
        <v>2.6</v>
      </c>
      <c r="O467">
        <v>257</v>
      </c>
      <c r="P467" t="s">
        <v>28</v>
      </c>
    </row>
    <row r="468" spans="1:16" x14ac:dyDescent="0.25">
      <c r="A468" t="s">
        <v>526</v>
      </c>
      <c r="B468" s="2">
        <v>45973</v>
      </c>
      <c r="C468" t="s">
        <v>81</v>
      </c>
      <c r="D468" t="s">
        <v>39</v>
      </c>
      <c r="E468" t="s">
        <v>27</v>
      </c>
      <c r="F468">
        <v>41.9</v>
      </c>
      <c r="G468">
        <v>120.2</v>
      </c>
      <c r="H468">
        <v>47</v>
      </c>
      <c r="I468">
        <v>1.3</v>
      </c>
      <c r="J468">
        <v>1.38</v>
      </c>
      <c r="K468">
        <v>22.4</v>
      </c>
      <c r="L468">
        <v>22.1</v>
      </c>
      <c r="M468">
        <v>38.9</v>
      </c>
      <c r="N468">
        <v>0.8</v>
      </c>
      <c r="O468">
        <v>228</v>
      </c>
      <c r="P468" t="s">
        <v>28</v>
      </c>
    </row>
    <row r="469" spans="1:16" x14ac:dyDescent="0.25">
      <c r="A469" t="s">
        <v>527</v>
      </c>
      <c r="B469" s="2">
        <v>45702</v>
      </c>
      <c r="C469" t="s">
        <v>77</v>
      </c>
      <c r="D469" t="s">
        <v>39</v>
      </c>
      <c r="E469" t="s">
        <v>55</v>
      </c>
      <c r="F469">
        <v>57.8</v>
      </c>
      <c r="G469">
        <v>85.4</v>
      </c>
      <c r="H469">
        <v>21.5</v>
      </c>
      <c r="I469">
        <v>32.799999999999997</v>
      </c>
      <c r="J469">
        <v>0.39</v>
      </c>
      <c r="K469">
        <v>79.900000000000006</v>
      </c>
      <c r="L469">
        <v>19.8</v>
      </c>
      <c r="M469">
        <v>53.4</v>
      </c>
      <c r="N469">
        <v>1.7</v>
      </c>
      <c r="O469">
        <v>234</v>
      </c>
      <c r="P469" t="s">
        <v>28</v>
      </c>
    </row>
    <row r="470" spans="1:16" x14ac:dyDescent="0.25">
      <c r="A470" t="s">
        <v>528</v>
      </c>
      <c r="B470" s="2">
        <v>45662</v>
      </c>
      <c r="C470" t="s">
        <v>30</v>
      </c>
      <c r="D470" t="s">
        <v>31</v>
      </c>
      <c r="E470" t="s">
        <v>43</v>
      </c>
      <c r="F470">
        <v>6.2</v>
      </c>
      <c r="G470">
        <v>85</v>
      </c>
      <c r="H470">
        <v>4</v>
      </c>
      <c r="I470">
        <v>18.7</v>
      </c>
      <c r="J470">
        <v>1.1100000000000001</v>
      </c>
      <c r="K470">
        <v>31</v>
      </c>
      <c r="L470">
        <v>30.8</v>
      </c>
      <c r="M470">
        <v>85.9</v>
      </c>
      <c r="N470">
        <v>2.2000000000000002</v>
      </c>
      <c r="O470">
        <v>123</v>
      </c>
      <c r="P470" t="s">
        <v>33</v>
      </c>
    </row>
    <row r="471" spans="1:16" x14ac:dyDescent="0.25">
      <c r="A471" t="s">
        <v>529</v>
      </c>
      <c r="B471" s="2">
        <v>45751</v>
      </c>
      <c r="C471" t="s">
        <v>38</v>
      </c>
      <c r="D471" t="s">
        <v>39</v>
      </c>
      <c r="E471" t="s">
        <v>43</v>
      </c>
      <c r="F471">
        <v>52.2</v>
      </c>
      <c r="G471">
        <v>119.3</v>
      </c>
      <c r="H471">
        <v>19.399999999999999</v>
      </c>
      <c r="I471">
        <v>14.1</v>
      </c>
      <c r="J471">
        <v>0.68</v>
      </c>
      <c r="K471">
        <v>27.3</v>
      </c>
      <c r="L471">
        <v>31.8</v>
      </c>
      <c r="M471">
        <v>47.8</v>
      </c>
      <c r="N471">
        <v>1.8</v>
      </c>
      <c r="O471">
        <v>216</v>
      </c>
      <c r="P471" t="s">
        <v>28</v>
      </c>
    </row>
    <row r="472" spans="1:16" x14ac:dyDescent="0.25">
      <c r="A472" t="s">
        <v>530</v>
      </c>
      <c r="B472" s="2">
        <v>45990</v>
      </c>
      <c r="C472" t="s">
        <v>81</v>
      </c>
      <c r="D472" t="s">
        <v>39</v>
      </c>
      <c r="E472" t="s">
        <v>40</v>
      </c>
      <c r="F472">
        <v>65.400000000000006</v>
      </c>
      <c r="G472">
        <v>102.1</v>
      </c>
      <c r="H472">
        <v>24.2</v>
      </c>
      <c r="I472">
        <v>5.5</v>
      </c>
      <c r="J472">
        <v>1.05</v>
      </c>
      <c r="K472">
        <v>60.9</v>
      </c>
      <c r="L472">
        <v>22.1</v>
      </c>
      <c r="M472">
        <v>61.8</v>
      </c>
      <c r="N472">
        <v>3.1</v>
      </c>
      <c r="O472">
        <v>248</v>
      </c>
      <c r="P472" t="s">
        <v>28</v>
      </c>
    </row>
    <row r="473" spans="1:16" x14ac:dyDescent="0.25">
      <c r="A473" t="s">
        <v>531</v>
      </c>
      <c r="B473" s="2">
        <v>45949</v>
      </c>
      <c r="C473" t="s">
        <v>35</v>
      </c>
      <c r="D473" t="s">
        <v>36</v>
      </c>
      <c r="E473" t="s">
        <v>61</v>
      </c>
      <c r="F473">
        <v>75.3</v>
      </c>
      <c r="G473">
        <v>142</v>
      </c>
      <c r="H473">
        <v>17.600000000000001</v>
      </c>
      <c r="I473">
        <v>6.9</v>
      </c>
      <c r="J473">
        <v>0.72</v>
      </c>
      <c r="K473">
        <v>15.5</v>
      </c>
      <c r="L473">
        <v>23.7</v>
      </c>
      <c r="M473">
        <v>41.3</v>
      </c>
      <c r="N473">
        <v>2.2000000000000002</v>
      </c>
      <c r="O473">
        <v>257</v>
      </c>
      <c r="P473" t="s">
        <v>28</v>
      </c>
    </row>
    <row r="474" spans="1:16" x14ac:dyDescent="0.25">
      <c r="A474" t="s">
        <v>532</v>
      </c>
      <c r="B474" s="2">
        <v>45925</v>
      </c>
      <c r="C474" t="s">
        <v>38</v>
      </c>
      <c r="D474" t="s">
        <v>39</v>
      </c>
      <c r="E474" t="s">
        <v>24</v>
      </c>
      <c r="F474">
        <v>40</v>
      </c>
      <c r="G474">
        <v>138.30000000000001</v>
      </c>
      <c r="H474">
        <v>15.1</v>
      </c>
      <c r="I474">
        <v>42</v>
      </c>
      <c r="J474">
        <v>0.67</v>
      </c>
      <c r="K474">
        <v>34.1</v>
      </c>
      <c r="L474">
        <v>19.8</v>
      </c>
      <c r="M474">
        <v>71.3</v>
      </c>
      <c r="N474">
        <v>2</v>
      </c>
      <c r="O474">
        <v>227</v>
      </c>
      <c r="P474" t="s">
        <v>28</v>
      </c>
    </row>
    <row r="475" spans="1:16" x14ac:dyDescent="0.25">
      <c r="A475" t="s">
        <v>533</v>
      </c>
      <c r="B475" s="2">
        <v>45707</v>
      </c>
      <c r="C475" t="s">
        <v>64</v>
      </c>
      <c r="D475" t="s">
        <v>36</v>
      </c>
      <c r="E475" t="s">
        <v>43</v>
      </c>
      <c r="F475">
        <v>34.6</v>
      </c>
      <c r="G475">
        <v>131.9</v>
      </c>
      <c r="H475">
        <v>54.9</v>
      </c>
      <c r="I475">
        <v>33.1</v>
      </c>
      <c r="J475">
        <v>2.12</v>
      </c>
      <c r="K475">
        <v>18.2</v>
      </c>
      <c r="L475">
        <v>30</v>
      </c>
      <c r="M475">
        <v>72.599999999999994</v>
      </c>
      <c r="N475">
        <v>0.1</v>
      </c>
      <c r="O475">
        <v>269</v>
      </c>
      <c r="P475" t="s">
        <v>28</v>
      </c>
    </row>
    <row r="476" spans="1:16" x14ac:dyDescent="0.25">
      <c r="A476" t="s">
        <v>534</v>
      </c>
      <c r="B476" s="2">
        <v>46000</v>
      </c>
      <c r="C476" t="s">
        <v>52</v>
      </c>
      <c r="D476" t="s">
        <v>31</v>
      </c>
      <c r="E476" t="s">
        <v>27</v>
      </c>
      <c r="F476">
        <v>62.7</v>
      </c>
      <c r="G476">
        <v>148</v>
      </c>
      <c r="H476">
        <v>22.3</v>
      </c>
      <c r="I476">
        <v>21.3</v>
      </c>
      <c r="J476">
        <v>0.82</v>
      </c>
      <c r="K476">
        <v>7.4</v>
      </c>
      <c r="L476">
        <v>26.1</v>
      </c>
      <c r="M476">
        <v>82.1</v>
      </c>
      <c r="N476">
        <v>2.2999999999999998</v>
      </c>
      <c r="O476">
        <v>253</v>
      </c>
      <c r="P476" t="s">
        <v>28</v>
      </c>
    </row>
    <row r="477" spans="1:16" x14ac:dyDescent="0.25">
      <c r="A477" t="s">
        <v>535</v>
      </c>
      <c r="B477" s="2">
        <v>46001</v>
      </c>
      <c r="C477" t="s">
        <v>30</v>
      </c>
      <c r="D477" t="s">
        <v>31</v>
      </c>
      <c r="E477" t="s">
        <v>40</v>
      </c>
      <c r="F477">
        <v>36.6</v>
      </c>
      <c r="G477">
        <v>41.3</v>
      </c>
      <c r="H477">
        <v>45.8</v>
      </c>
      <c r="I477">
        <v>3.9</v>
      </c>
      <c r="J477">
        <v>0.57999999999999996</v>
      </c>
      <c r="K477">
        <v>31.3</v>
      </c>
      <c r="L477">
        <v>35.200000000000003</v>
      </c>
      <c r="M477">
        <v>75.099999999999994</v>
      </c>
      <c r="N477">
        <v>1</v>
      </c>
      <c r="O477">
        <v>153</v>
      </c>
      <c r="P477" t="s">
        <v>33</v>
      </c>
    </row>
    <row r="478" spans="1:16" x14ac:dyDescent="0.25">
      <c r="A478" t="s">
        <v>536</v>
      </c>
      <c r="B478" s="2">
        <v>45795</v>
      </c>
      <c r="C478" t="s">
        <v>52</v>
      </c>
      <c r="D478" t="s">
        <v>31</v>
      </c>
      <c r="E478" t="s">
        <v>32</v>
      </c>
      <c r="F478">
        <v>44.3</v>
      </c>
      <c r="G478">
        <v>97.6</v>
      </c>
      <c r="H478">
        <v>14</v>
      </c>
      <c r="I478">
        <v>31.2</v>
      </c>
      <c r="J478">
        <v>0.78</v>
      </c>
      <c r="K478">
        <v>29.2</v>
      </c>
      <c r="L478">
        <v>28.9</v>
      </c>
      <c r="M478">
        <v>41.6</v>
      </c>
      <c r="N478">
        <v>3.1</v>
      </c>
      <c r="O478">
        <v>200</v>
      </c>
      <c r="P478" t="s">
        <v>33</v>
      </c>
    </row>
    <row r="479" spans="1:16" x14ac:dyDescent="0.25">
      <c r="A479" t="s">
        <v>537</v>
      </c>
      <c r="B479" s="2">
        <v>46003</v>
      </c>
      <c r="C479" t="s">
        <v>538</v>
      </c>
      <c r="D479" t="s">
        <v>36</v>
      </c>
      <c r="E479" t="s">
        <v>68</v>
      </c>
      <c r="F479">
        <v>12.6</v>
      </c>
      <c r="G479">
        <v>80.099999999999994</v>
      </c>
      <c r="H479">
        <v>34.299999999999997</v>
      </c>
      <c r="I479">
        <v>1.2</v>
      </c>
      <c r="J479">
        <v>1.65</v>
      </c>
      <c r="K479">
        <v>62.3</v>
      </c>
      <c r="L479">
        <v>25.4</v>
      </c>
      <c r="M479">
        <v>48</v>
      </c>
      <c r="N479">
        <v>2.8</v>
      </c>
      <c r="O479">
        <v>170</v>
      </c>
      <c r="P479" t="s">
        <v>33</v>
      </c>
    </row>
    <row r="480" spans="1:16" x14ac:dyDescent="0.25">
      <c r="A480" t="s">
        <v>539</v>
      </c>
      <c r="B480" s="2">
        <v>45748</v>
      </c>
      <c r="C480" t="s">
        <v>99</v>
      </c>
      <c r="D480" t="s">
        <v>36</v>
      </c>
      <c r="E480" t="s">
        <v>55</v>
      </c>
      <c r="F480">
        <v>85</v>
      </c>
      <c r="G480">
        <v>52.7</v>
      </c>
      <c r="H480">
        <v>12.4</v>
      </c>
      <c r="I480">
        <v>54.8</v>
      </c>
      <c r="J480">
        <v>0.38</v>
      </c>
      <c r="K480">
        <v>30.2</v>
      </c>
      <c r="L480">
        <v>34.799999999999997</v>
      </c>
      <c r="M480">
        <v>63.8</v>
      </c>
      <c r="N480">
        <v>2.1</v>
      </c>
      <c r="O480">
        <v>242</v>
      </c>
      <c r="P480" t="s">
        <v>28</v>
      </c>
    </row>
    <row r="481" spans="1:16" x14ac:dyDescent="0.25">
      <c r="A481" t="s">
        <v>540</v>
      </c>
      <c r="B481" s="2">
        <v>45891</v>
      </c>
      <c r="C481" t="s">
        <v>99</v>
      </c>
      <c r="D481" t="s">
        <v>36</v>
      </c>
      <c r="E481" t="s">
        <v>40</v>
      </c>
      <c r="F481">
        <v>49.7</v>
      </c>
      <c r="G481">
        <v>65.900000000000006</v>
      </c>
      <c r="H481">
        <v>16.5</v>
      </c>
      <c r="I481">
        <v>3.4</v>
      </c>
      <c r="J481">
        <v>1.1499999999999999</v>
      </c>
      <c r="K481">
        <v>29.4</v>
      </c>
      <c r="L481">
        <v>32.4</v>
      </c>
      <c r="M481">
        <v>60.4</v>
      </c>
      <c r="N481">
        <v>3.4</v>
      </c>
      <c r="O481">
        <v>180</v>
      </c>
      <c r="P481" t="s">
        <v>33</v>
      </c>
    </row>
    <row r="482" spans="1:16" x14ac:dyDescent="0.25">
      <c r="A482" t="s">
        <v>541</v>
      </c>
      <c r="B482" s="2">
        <v>45843</v>
      </c>
      <c r="C482" t="s">
        <v>77</v>
      </c>
      <c r="D482" t="s">
        <v>39</v>
      </c>
      <c r="E482" t="s">
        <v>68</v>
      </c>
      <c r="F482">
        <v>50.7</v>
      </c>
      <c r="G482">
        <v>92.2</v>
      </c>
      <c r="H482">
        <v>9.1999999999999993</v>
      </c>
      <c r="I482">
        <v>6.7</v>
      </c>
      <c r="J482">
        <v>0.44</v>
      </c>
      <c r="K482">
        <v>25.8</v>
      </c>
      <c r="L482">
        <v>24.4</v>
      </c>
      <c r="M482">
        <v>60.2</v>
      </c>
      <c r="N482">
        <v>3</v>
      </c>
      <c r="O482">
        <v>176</v>
      </c>
      <c r="P482" t="s">
        <v>33</v>
      </c>
    </row>
    <row r="483" spans="1:16" x14ac:dyDescent="0.25">
      <c r="A483" t="s">
        <v>542</v>
      </c>
      <c r="B483" s="2">
        <v>45768</v>
      </c>
      <c r="C483" t="s">
        <v>50</v>
      </c>
      <c r="D483" t="s">
        <v>31</v>
      </c>
      <c r="E483" t="s">
        <v>70</v>
      </c>
      <c r="F483">
        <v>81.099999999999994</v>
      </c>
      <c r="G483">
        <v>44.8</v>
      </c>
      <c r="H483">
        <v>20.399999999999999</v>
      </c>
      <c r="I483">
        <v>1</v>
      </c>
      <c r="J483">
        <v>1.81</v>
      </c>
      <c r="K483">
        <v>38.700000000000003</v>
      </c>
      <c r="L483">
        <v>39.799999999999997</v>
      </c>
      <c r="M483">
        <v>50.1</v>
      </c>
      <c r="N483">
        <v>2.9</v>
      </c>
      <c r="O483">
        <v>239</v>
      </c>
      <c r="P483" t="s">
        <v>28</v>
      </c>
    </row>
    <row r="484" spans="1:16" x14ac:dyDescent="0.25">
      <c r="A484" t="s">
        <v>543</v>
      </c>
      <c r="B484" s="2">
        <v>45732</v>
      </c>
      <c r="C484" t="s">
        <v>26</v>
      </c>
      <c r="D484" t="s">
        <v>23</v>
      </c>
      <c r="E484" t="s">
        <v>43</v>
      </c>
      <c r="F484">
        <v>64.599999999999994</v>
      </c>
      <c r="G484">
        <v>114.1</v>
      </c>
      <c r="H484">
        <v>24.5</v>
      </c>
      <c r="I484">
        <v>4.5</v>
      </c>
      <c r="J484">
        <v>0.12</v>
      </c>
      <c r="K484">
        <v>44.9</v>
      </c>
      <c r="L484">
        <v>30.2</v>
      </c>
      <c r="M484">
        <v>74.2</v>
      </c>
      <c r="N484">
        <v>1.7</v>
      </c>
      <c r="O484">
        <v>223</v>
      </c>
      <c r="P484" t="s">
        <v>28</v>
      </c>
    </row>
    <row r="485" spans="1:16" x14ac:dyDescent="0.25">
      <c r="A485" t="s">
        <v>544</v>
      </c>
      <c r="B485" s="2">
        <v>45995</v>
      </c>
      <c r="C485" t="s">
        <v>67</v>
      </c>
      <c r="D485" t="s">
        <v>18</v>
      </c>
      <c r="E485" t="s">
        <v>55</v>
      </c>
      <c r="F485">
        <v>32.299999999999997</v>
      </c>
      <c r="G485">
        <v>62.9</v>
      </c>
      <c r="H485">
        <v>37.4</v>
      </c>
      <c r="I485">
        <v>11.8</v>
      </c>
      <c r="J485">
        <v>1.05</v>
      </c>
      <c r="K485">
        <v>11.8</v>
      </c>
      <c r="L485">
        <v>41</v>
      </c>
      <c r="M485">
        <v>83.3</v>
      </c>
      <c r="N485">
        <v>3.6</v>
      </c>
      <c r="O485">
        <v>162</v>
      </c>
      <c r="P485" t="s">
        <v>33</v>
      </c>
    </row>
    <row r="486" spans="1:16" x14ac:dyDescent="0.25">
      <c r="A486" t="s">
        <v>545</v>
      </c>
      <c r="B486" s="2">
        <v>45966</v>
      </c>
      <c r="C486" t="s">
        <v>17</v>
      </c>
      <c r="D486" t="s">
        <v>18</v>
      </c>
      <c r="E486" t="s">
        <v>32</v>
      </c>
      <c r="F486">
        <v>14.2</v>
      </c>
      <c r="G486">
        <v>20.5</v>
      </c>
      <c r="H486">
        <v>11.3</v>
      </c>
      <c r="I486">
        <v>18.3</v>
      </c>
      <c r="J486">
        <v>0.59</v>
      </c>
      <c r="K486">
        <v>8.1</v>
      </c>
      <c r="L486">
        <v>27.1</v>
      </c>
      <c r="M486">
        <v>44.3</v>
      </c>
      <c r="N486">
        <v>2.4</v>
      </c>
      <c r="O486">
        <v>76</v>
      </c>
      <c r="P486" t="s">
        <v>71</v>
      </c>
    </row>
    <row r="487" spans="1:16" x14ac:dyDescent="0.25">
      <c r="A487" t="s">
        <v>546</v>
      </c>
      <c r="B487" s="2">
        <v>45949</v>
      </c>
      <c r="C487" t="s">
        <v>67</v>
      </c>
      <c r="D487" t="s">
        <v>18</v>
      </c>
      <c r="E487" t="s">
        <v>27</v>
      </c>
      <c r="F487">
        <v>71.099999999999994</v>
      </c>
      <c r="G487">
        <v>81.599999999999994</v>
      </c>
      <c r="H487">
        <v>44</v>
      </c>
      <c r="I487">
        <v>11.2</v>
      </c>
      <c r="J487">
        <v>0.6</v>
      </c>
      <c r="K487">
        <v>31.1</v>
      </c>
      <c r="L487">
        <v>28</v>
      </c>
      <c r="M487">
        <v>55.4</v>
      </c>
      <c r="N487">
        <v>1.8</v>
      </c>
      <c r="O487">
        <v>239</v>
      </c>
      <c r="P487" t="s">
        <v>28</v>
      </c>
    </row>
    <row r="488" spans="1:16" x14ac:dyDescent="0.25">
      <c r="A488" t="s">
        <v>547</v>
      </c>
      <c r="B488" s="2">
        <v>45786</v>
      </c>
      <c r="C488" t="s">
        <v>64</v>
      </c>
      <c r="D488" t="s">
        <v>36</v>
      </c>
      <c r="E488" t="s">
        <v>43</v>
      </c>
      <c r="F488">
        <v>18</v>
      </c>
      <c r="G488">
        <v>155.19999999999999</v>
      </c>
      <c r="H488">
        <v>59.2</v>
      </c>
      <c r="I488">
        <v>19.2</v>
      </c>
      <c r="J488">
        <v>0.98</v>
      </c>
      <c r="K488">
        <v>29.1</v>
      </c>
      <c r="L488">
        <v>19.3</v>
      </c>
      <c r="M488">
        <v>64.400000000000006</v>
      </c>
      <c r="N488">
        <v>1</v>
      </c>
      <c r="O488">
        <v>228</v>
      </c>
      <c r="P488" t="s">
        <v>28</v>
      </c>
    </row>
    <row r="489" spans="1:16" x14ac:dyDescent="0.25">
      <c r="A489" t="s">
        <v>548</v>
      </c>
      <c r="B489" s="2">
        <v>45927</v>
      </c>
      <c r="C489" t="s">
        <v>38</v>
      </c>
      <c r="D489" t="s">
        <v>39</v>
      </c>
      <c r="E489" t="s">
        <v>45</v>
      </c>
      <c r="F489">
        <v>47.3</v>
      </c>
      <c r="G489">
        <v>101.5</v>
      </c>
      <c r="H489">
        <v>64.7</v>
      </c>
      <c r="I489">
        <v>12.9</v>
      </c>
      <c r="J489">
        <v>0.65</v>
      </c>
      <c r="K489">
        <v>31.3</v>
      </c>
      <c r="L489">
        <v>23.2</v>
      </c>
      <c r="M489">
        <v>73.7</v>
      </c>
      <c r="N489">
        <v>0.1</v>
      </c>
      <c r="O489">
        <v>233</v>
      </c>
      <c r="P489" t="s">
        <v>28</v>
      </c>
    </row>
    <row r="490" spans="1:16" x14ac:dyDescent="0.25">
      <c r="A490" t="s">
        <v>549</v>
      </c>
      <c r="B490" s="2">
        <v>46005</v>
      </c>
      <c r="C490" t="s">
        <v>81</v>
      </c>
      <c r="D490" t="s">
        <v>39</v>
      </c>
      <c r="E490" t="s">
        <v>70</v>
      </c>
      <c r="F490">
        <v>46.4</v>
      </c>
      <c r="G490">
        <v>66.400000000000006</v>
      </c>
      <c r="H490">
        <v>40.6</v>
      </c>
      <c r="I490">
        <v>20.2</v>
      </c>
      <c r="J490">
        <v>1.65</v>
      </c>
      <c r="K490">
        <v>27.8</v>
      </c>
      <c r="L490">
        <v>23.7</v>
      </c>
      <c r="M490">
        <v>66.599999999999994</v>
      </c>
      <c r="N490">
        <v>1.3</v>
      </c>
      <c r="O490">
        <v>218</v>
      </c>
      <c r="P490" t="s">
        <v>28</v>
      </c>
    </row>
    <row r="491" spans="1:16" x14ac:dyDescent="0.25">
      <c r="A491" t="s">
        <v>550</v>
      </c>
      <c r="B491" s="2">
        <v>45709</v>
      </c>
      <c r="C491" t="s">
        <v>22</v>
      </c>
      <c r="D491" t="s">
        <v>23</v>
      </c>
      <c r="E491" t="s">
        <v>19</v>
      </c>
      <c r="F491">
        <v>26.9</v>
      </c>
      <c r="G491">
        <v>24.7</v>
      </c>
      <c r="H491">
        <v>19</v>
      </c>
      <c r="I491">
        <v>0.5</v>
      </c>
      <c r="J491">
        <v>0.97</v>
      </c>
      <c r="K491">
        <v>35.299999999999997</v>
      </c>
      <c r="L491">
        <v>28.3</v>
      </c>
      <c r="M491">
        <v>69.3</v>
      </c>
      <c r="N491">
        <v>1.8</v>
      </c>
      <c r="O491">
        <v>115</v>
      </c>
      <c r="P491" t="s">
        <v>33</v>
      </c>
    </row>
    <row r="492" spans="1:16" x14ac:dyDescent="0.25">
      <c r="A492" t="s">
        <v>551</v>
      </c>
      <c r="B492" s="2">
        <v>45941</v>
      </c>
      <c r="C492" t="s">
        <v>35</v>
      </c>
      <c r="D492" t="s">
        <v>36</v>
      </c>
      <c r="E492" t="s">
        <v>70</v>
      </c>
      <c r="F492">
        <v>67.900000000000006</v>
      </c>
      <c r="G492">
        <v>70.2</v>
      </c>
      <c r="H492">
        <v>35.5</v>
      </c>
      <c r="I492">
        <v>6.2</v>
      </c>
      <c r="J492">
        <v>0.68</v>
      </c>
      <c r="K492">
        <v>52.1</v>
      </c>
      <c r="L492">
        <v>27.4</v>
      </c>
      <c r="M492">
        <v>51.7</v>
      </c>
      <c r="N492">
        <v>2.5</v>
      </c>
      <c r="O492">
        <v>227</v>
      </c>
      <c r="P492" t="s">
        <v>28</v>
      </c>
    </row>
    <row r="493" spans="1:16" x14ac:dyDescent="0.25">
      <c r="A493" t="s">
        <v>552</v>
      </c>
      <c r="B493" s="2">
        <v>45880</v>
      </c>
      <c r="C493" t="s">
        <v>26</v>
      </c>
      <c r="D493" t="s">
        <v>23</v>
      </c>
      <c r="E493" t="s">
        <v>55</v>
      </c>
      <c r="F493">
        <v>64.599999999999994</v>
      </c>
      <c r="G493">
        <v>44.5</v>
      </c>
      <c r="H493">
        <v>21.6</v>
      </c>
      <c r="I493">
        <v>18.100000000000001</v>
      </c>
      <c r="J493">
        <v>0.56000000000000005</v>
      </c>
      <c r="K493">
        <v>28.3</v>
      </c>
      <c r="L493">
        <v>28.9</v>
      </c>
      <c r="M493">
        <v>53.8</v>
      </c>
      <c r="N493">
        <v>2.4</v>
      </c>
      <c r="O493">
        <v>189</v>
      </c>
      <c r="P493" t="s">
        <v>33</v>
      </c>
    </row>
    <row r="494" spans="1:16" x14ac:dyDescent="0.25">
      <c r="A494" t="s">
        <v>553</v>
      </c>
      <c r="B494" s="2">
        <v>45832</v>
      </c>
      <c r="C494" t="s">
        <v>42</v>
      </c>
      <c r="D494" t="s">
        <v>23</v>
      </c>
      <c r="E494" t="s">
        <v>68</v>
      </c>
      <c r="F494">
        <v>70.900000000000006</v>
      </c>
      <c r="G494">
        <v>57.1</v>
      </c>
      <c r="H494">
        <v>31.9</v>
      </c>
      <c r="I494">
        <v>5.7</v>
      </c>
      <c r="J494">
        <v>1.08</v>
      </c>
      <c r="K494">
        <v>38.1</v>
      </c>
      <c r="L494">
        <v>29</v>
      </c>
      <c r="M494">
        <v>74</v>
      </c>
      <c r="N494">
        <v>1.3</v>
      </c>
      <c r="O494">
        <v>224</v>
      </c>
      <c r="P494" t="s">
        <v>28</v>
      </c>
    </row>
    <row r="495" spans="1:16" x14ac:dyDescent="0.25">
      <c r="A495" t="s">
        <v>554</v>
      </c>
      <c r="B495" s="2">
        <v>45956</v>
      </c>
      <c r="C495" t="s">
        <v>38</v>
      </c>
      <c r="D495" t="s">
        <v>39</v>
      </c>
      <c r="E495" t="s">
        <v>55</v>
      </c>
      <c r="F495">
        <v>26.6</v>
      </c>
      <c r="G495">
        <v>50.2</v>
      </c>
      <c r="H495">
        <v>20</v>
      </c>
      <c r="I495">
        <v>11.9</v>
      </c>
      <c r="J495">
        <v>0.88</v>
      </c>
      <c r="K495">
        <v>76.599999999999994</v>
      </c>
      <c r="L495">
        <v>24.7</v>
      </c>
      <c r="M495">
        <v>82.2</v>
      </c>
      <c r="N495">
        <v>2.7</v>
      </c>
      <c r="O495">
        <v>156</v>
      </c>
      <c r="P495" t="s">
        <v>33</v>
      </c>
    </row>
    <row r="496" spans="1:16" x14ac:dyDescent="0.25">
      <c r="A496" t="s">
        <v>555</v>
      </c>
      <c r="B496" s="2">
        <v>45877</v>
      </c>
      <c r="C496" t="s">
        <v>35</v>
      </c>
      <c r="D496" t="s">
        <v>36</v>
      </c>
      <c r="E496" t="s">
        <v>68</v>
      </c>
      <c r="F496">
        <v>56.7</v>
      </c>
      <c r="G496">
        <v>199.8</v>
      </c>
      <c r="H496">
        <v>23.3</v>
      </c>
      <c r="I496">
        <v>18.5</v>
      </c>
      <c r="J496">
        <v>0.47</v>
      </c>
      <c r="K496">
        <v>30.4</v>
      </c>
      <c r="L496">
        <v>28.3</v>
      </c>
      <c r="M496">
        <v>98</v>
      </c>
      <c r="N496">
        <v>3</v>
      </c>
      <c r="O496">
        <v>278</v>
      </c>
      <c r="P496" t="s">
        <v>28</v>
      </c>
    </row>
    <row r="497" spans="1:16" x14ac:dyDescent="0.25">
      <c r="A497" t="s">
        <v>556</v>
      </c>
      <c r="B497" s="2">
        <v>45742</v>
      </c>
      <c r="C497" t="s">
        <v>42</v>
      </c>
      <c r="D497" t="s">
        <v>23</v>
      </c>
      <c r="E497" t="s">
        <v>61</v>
      </c>
      <c r="F497">
        <v>48</v>
      </c>
      <c r="G497">
        <v>46.9</v>
      </c>
      <c r="H497">
        <v>10.199999999999999</v>
      </c>
      <c r="I497">
        <v>4.3</v>
      </c>
      <c r="J497">
        <v>0.08</v>
      </c>
      <c r="K497">
        <v>17.7</v>
      </c>
      <c r="L497">
        <v>18.100000000000001</v>
      </c>
      <c r="M497">
        <v>82</v>
      </c>
      <c r="N497">
        <v>1</v>
      </c>
      <c r="O497">
        <v>128</v>
      </c>
      <c r="P497" t="s">
        <v>33</v>
      </c>
    </row>
    <row r="498" spans="1:16" x14ac:dyDescent="0.25">
      <c r="A498" t="s">
        <v>557</v>
      </c>
      <c r="B498" s="2">
        <v>45905</v>
      </c>
      <c r="C498" t="s">
        <v>17</v>
      </c>
      <c r="D498" t="s">
        <v>18</v>
      </c>
      <c r="E498" t="s">
        <v>24</v>
      </c>
      <c r="F498">
        <v>48.7</v>
      </c>
      <c r="G498">
        <v>76.2</v>
      </c>
      <c r="H498">
        <v>32</v>
      </c>
      <c r="I498">
        <v>9.3000000000000007</v>
      </c>
      <c r="J498">
        <v>1.06</v>
      </c>
      <c r="K498">
        <v>26.4</v>
      </c>
      <c r="L498">
        <v>18.100000000000001</v>
      </c>
      <c r="M498">
        <v>68.400000000000006</v>
      </c>
      <c r="N498">
        <v>2.4</v>
      </c>
      <c r="O498">
        <v>198</v>
      </c>
      <c r="P498" t="s">
        <v>33</v>
      </c>
    </row>
    <row r="499" spans="1:16" x14ac:dyDescent="0.25">
      <c r="A499" t="s">
        <v>558</v>
      </c>
      <c r="B499" s="2">
        <v>45752</v>
      </c>
      <c r="C499" t="s">
        <v>42</v>
      </c>
      <c r="D499" t="s">
        <v>23</v>
      </c>
      <c r="E499" t="s">
        <v>91</v>
      </c>
      <c r="F499">
        <v>51.9</v>
      </c>
      <c r="G499">
        <v>45.9</v>
      </c>
      <c r="H499">
        <v>24.2</v>
      </c>
      <c r="I499">
        <v>27.1</v>
      </c>
      <c r="J499">
        <v>0.69</v>
      </c>
      <c r="K499">
        <v>54.9</v>
      </c>
      <c r="L499">
        <v>31.4</v>
      </c>
      <c r="M499">
        <v>57.4</v>
      </c>
      <c r="N499">
        <v>1.5</v>
      </c>
      <c r="O499">
        <v>193</v>
      </c>
      <c r="P499" t="s">
        <v>33</v>
      </c>
    </row>
    <row r="500" spans="1:16" x14ac:dyDescent="0.25">
      <c r="A500" t="s">
        <v>559</v>
      </c>
      <c r="B500" s="2">
        <v>45791</v>
      </c>
      <c r="C500" t="s">
        <v>93</v>
      </c>
      <c r="D500" t="s">
        <v>36</v>
      </c>
      <c r="E500" t="s">
        <v>43</v>
      </c>
      <c r="F500">
        <v>22</v>
      </c>
      <c r="G500">
        <v>115.9</v>
      </c>
      <c r="H500">
        <v>32.299999999999997</v>
      </c>
      <c r="I500">
        <v>8.1999999999999993</v>
      </c>
      <c r="J500">
        <v>1.1100000000000001</v>
      </c>
      <c r="K500">
        <v>120.8</v>
      </c>
      <c r="L500">
        <v>31.9</v>
      </c>
      <c r="M500">
        <v>65.400000000000006</v>
      </c>
      <c r="N500">
        <v>1.8</v>
      </c>
      <c r="O500">
        <v>224</v>
      </c>
      <c r="P500" t="s">
        <v>28</v>
      </c>
    </row>
    <row r="501" spans="1:16" x14ac:dyDescent="0.25">
      <c r="A501" t="s">
        <v>560</v>
      </c>
      <c r="B501" s="2">
        <v>45821</v>
      </c>
      <c r="C501" t="s">
        <v>93</v>
      </c>
      <c r="D501" t="s">
        <v>36</v>
      </c>
      <c r="E501" t="s">
        <v>19</v>
      </c>
      <c r="F501">
        <v>47.2</v>
      </c>
      <c r="G501">
        <v>115.6</v>
      </c>
      <c r="H501">
        <v>10.7</v>
      </c>
      <c r="I501">
        <v>13.9</v>
      </c>
      <c r="J501">
        <v>0.18</v>
      </c>
      <c r="K501">
        <v>32.299999999999997</v>
      </c>
      <c r="L501">
        <v>24.8</v>
      </c>
      <c r="M501">
        <v>50.4</v>
      </c>
      <c r="N501">
        <v>1</v>
      </c>
      <c r="O501">
        <v>188</v>
      </c>
      <c r="P501" t="s">
        <v>33</v>
      </c>
    </row>
    <row r="502" spans="1:16" x14ac:dyDescent="0.25">
      <c r="A502" t="s">
        <v>561</v>
      </c>
      <c r="B502" s="2">
        <v>45843</v>
      </c>
      <c r="C502" t="s">
        <v>81</v>
      </c>
      <c r="D502" t="s">
        <v>39</v>
      </c>
      <c r="E502" t="s">
        <v>70</v>
      </c>
      <c r="F502">
        <v>8.8000000000000007</v>
      </c>
      <c r="G502">
        <v>67.599999999999994</v>
      </c>
      <c r="H502">
        <v>11.7</v>
      </c>
      <c r="I502">
        <v>15.5</v>
      </c>
      <c r="J502">
        <v>0.96</v>
      </c>
      <c r="K502">
        <v>17.2</v>
      </c>
      <c r="L502">
        <v>15</v>
      </c>
      <c r="M502">
        <v>59.3</v>
      </c>
      <c r="N502">
        <v>0.4</v>
      </c>
      <c r="O502">
        <v>110</v>
      </c>
      <c r="P502" t="s">
        <v>33</v>
      </c>
    </row>
    <row r="503" spans="1:16" x14ac:dyDescent="0.25">
      <c r="A503" t="s">
        <v>562</v>
      </c>
      <c r="B503" s="2">
        <v>45951</v>
      </c>
      <c r="C503" t="s">
        <v>67</v>
      </c>
      <c r="D503" t="s">
        <v>18</v>
      </c>
      <c r="E503" t="s">
        <v>68</v>
      </c>
      <c r="F503">
        <v>20.5</v>
      </c>
      <c r="G503">
        <v>109.6</v>
      </c>
      <c r="H503">
        <v>16.5</v>
      </c>
      <c r="I503">
        <v>16.399999999999999</v>
      </c>
      <c r="J503">
        <v>1.07</v>
      </c>
      <c r="K503">
        <v>18</v>
      </c>
      <c r="L503">
        <v>21.1</v>
      </c>
      <c r="M503">
        <v>80.599999999999994</v>
      </c>
      <c r="N503">
        <v>0.6</v>
      </c>
      <c r="O503">
        <v>164</v>
      </c>
      <c r="P503" t="s">
        <v>33</v>
      </c>
    </row>
    <row r="504" spans="1:16" x14ac:dyDescent="0.25">
      <c r="A504" t="s">
        <v>563</v>
      </c>
      <c r="B504" s="2">
        <v>45749</v>
      </c>
      <c r="C504" t="s">
        <v>26</v>
      </c>
      <c r="D504" t="s">
        <v>23</v>
      </c>
      <c r="E504" t="s">
        <v>70</v>
      </c>
      <c r="F504">
        <v>37.9</v>
      </c>
      <c r="G504">
        <v>130</v>
      </c>
      <c r="H504">
        <v>55.9</v>
      </c>
      <c r="I504">
        <v>8.9</v>
      </c>
      <c r="J504">
        <v>0.12</v>
      </c>
      <c r="K504">
        <v>52</v>
      </c>
      <c r="L504">
        <v>26.3</v>
      </c>
      <c r="M504">
        <v>67.400000000000006</v>
      </c>
      <c r="N504">
        <v>3.1</v>
      </c>
      <c r="O504">
        <v>222</v>
      </c>
      <c r="P504" t="s">
        <v>28</v>
      </c>
    </row>
    <row r="505" spans="1:16" x14ac:dyDescent="0.25">
      <c r="A505" t="s">
        <v>564</v>
      </c>
      <c r="B505" s="2">
        <v>45693</v>
      </c>
      <c r="C505" t="s">
        <v>22</v>
      </c>
      <c r="D505" t="s">
        <v>23</v>
      </c>
      <c r="E505" t="s">
        <v>91</v>
      </c>
      <c r="F505">
        <v>25.5</v>
      </c>
      <c r="G505">
        <v>53.5</v>
      </c>
      <c r="H505">
        <v>36.4</v>
      </c>
      <c r="I505">
        <v>3.3</v>
      </c>
      <c r="J505">
        <v>0.88</v>
      </c>
      <c r="K505">
        <v>27.1</v>
      </c>
      <c r="L505">
        <v>27.3</v>
      </c>
      <c r="M505">
        <v>73.5</v>
      </c>
      <c r="N505">
        <v>0.5</v>
      </c>
      <c r="O505">
        <v>141</v>
      </c>
      <c r="P505" t="s">
        <v>33</v>
      </c>
    </row>
    <row r="506" spans="1:16" x14ac:dyDescent="0.25">
      <c r="A506" t="s">
        <v>565</v>
      </c>
      <c r="B506" s="2">
        <v>45905</v>
      </c>
      <c r="C506" t="s">
        <v>35</v>
      </c>
      <c r="D506" t="s">
        <v>36</v>
      </c>
      <c r="E506" t="s">
        <v>68</v>
      </c>
      <c r="F506">
        <v>65.2</v>
      </c>
      <c r="G506">
        <v>73.3</v>
      </c>
      <c r="H506">
        <v>63.8</v>
      </c>
      <c r="I506">
        <v>18.2</v>
      </c>
      <c r="J506">
        <v>2.35</v>
      </c>
      <c r="K506">
        <v>31.1</v>
      </c>
      <c r="L506">
        <v>18.399999999999999</v>
      </c>
      <c r="M506">
        <v>38.6</v>
      </c>
      <c r="N506">
        <v>2.4</v>
      </c>
      <c r="O506">
        <v>288</v>
      </c>
      <c r="P506" t="s">
        <v>28</v>
      </c>
    </row>
    <row r="507" spans="1:16" x14ac:dyDescent="0.25">
      <c r="A507" t="s">
        <v>566</v>
      </c>
      <c r="B507" s="2">
        <v>45914</v>
      </c>
      <c r="C507" t="s">
        <v>42</v>
      </c>
      <c r="D507" t="s">
        <v>23</v>
      </c>
      <c r="E507" t="s">
        <v>40</v>
      </c>
      <c r="F507">
        <v>27.9</v>
      </c>
      <c r="G507">
        <v>81.599999999999994</v>
      </c>
      <c r="H507">
        <v>7.2</v>
      </c>
      <c r="I507">
        <v>10.8</v>
      </c>
      <c r="J507">
        <v>0.23</v>
      </c>
      <c r="K507">
        <v>45.6</v>
      </c>
      <c r="L507">
        <v>16.600000000000001</v>
      </c>
      <c r="M507">
        <v>72</v>
      </c>
      <c r="N507">
        <v>3.1</v>
      </c>
      <c r="O507">
        <v>137</v>
      </c>
      <c r="P507" t="s">
        <v>33</v>
      </c>
    </row>
    <row r="508" spans="1:16" x14ac:dyDescent="0.25">
      <c r="A508" t="s">
        <v>567</v>
      </c>
      <c r="B508" s="2">
        <v>45709</v>
      </c>
      <c r="C508" t="s">
        <v>26</v>
      </c>
      <c r="D508" t="s">
        <v>23</v>
      </c>
      <c r="E508" t="s">
        <v>58</v>
      </c>
      <c r="F508">
        <v>120.9</v>
      </c>
      <c r="G508">
        <v>101.4</v>
      </c>
      <c r="H508">
        <v>30.2</v>
      </c>
      <c r="I508">
        <v>21.5</v>
      </c>
      <c r="J508">
        <v>0.43</v>
      </c>
      <c r="K508">
        <v>75.3</v>
      </c>
      <c r="L508">
        <v>24.7</v>
      </c>
      <c r="M508">
        <v>50.4</v>
      </c>
      <c r="N508">
        <v>3.4</v>
      </c>
      <c r="O508">
        <v>343</v>
      </c>
      <c r="P508" t="s">
        <v>20</v>
      </c>
    </row>
    <row r="509" spans="1:16" x14ac:dyDescent="0.25">
      <c r="A509" t="s">
        <v>568</v>
      </c>
      <c r="B509" s="2">
        <v>45868</v>
      </c>
      <c r="C509" t="s">
        <v>54</v>
      </c>
      <c r="D509" t="s">
        <v>18</v>
      </c>
      <c r="E509" t="s">
        <v>70</v>
      </c>
      <c r="F509">
        <v>53.3</v>
      </c>
      <c r="G509">
        <v>26.4</v>
      </c>
      <c r="H509">
        <v>29.9</v>
      </c>
      <c r="I509">
        <v>9.9</v>
      </c>
      <c r="J509">
        <v>0.12</v>
      </c>
      <c r="K509">
        <v>30.4</v>
      </c>
      <c r="L509">
        <v>23.1</v>
      </c>
      <c r="M509">
        <v>72.7</v>
      </c>
      <c r="N509">
        <v>2.2000000000000002</v>
      </c>
      <c r="O509">
        <v>150</v>
      </c>
      <c r="P509" t="s">
        <v>33</v>
      </c>
    </row>
    <row r="510" spans="1:16" x14ac:dyDescent="0.25">
      <c r="A510" t="s">
        <v>569</v>
      </c>
      <c r="B510" s="2">
        <v>45834</v>
      </c>
      <c r="C510" t="s">
        <v>93</v>
      </c>
      <c r="D510" t="s">
        <v>36</v>
      </c>
      <c r="E510" t="s">
        <v>24</v>
      </c>
      <c r="F510">
        <v>38.9</v>
      </c>
      <c r="G510">
        <v>36.200000000000003</v>
      </c>
      <c r="H510">
        <v>35.700000000000003</v>
      </c>
      <c r="I510">
        <v>12.8</v>
      </c>
      <c r="J510">
        <v>0.35</v>
      </c>
      <c r="K510">
        <v>14.7</v>
      </c>
      <c r="L510">
        <v>34.700000000000003</v>
      </c>
      <c r="M510">
        <v>59.6</v>
      </c>
      <c r="N510">
        <v>1.6</v>
      </c>
      <c r="O510">
        <v>139</v>
      </c>
      <c r="P510" t="s">
        <v>33</v>
      </c>
    </row>
    <row r="511" spans="1:16" x14ac:dyDescent="0.25">
      <c r="A511" t="s">
        <v>570</v>
      </c>
      <c r="B511" s="2">
        <v>45916</v>
      </c>
      <c r="C511" t="s">
        <v>77</v>
      </c>
      <c r="D511" t="s">
        <v>39</v>
      </c>
      <c r="E511" t="s">
        <v>97</v>
      </c>
      <c r="F511">
        <v>29.6</v>
      </c>
      <c r="G511">
        <v>70.900000000000006</v>
      </c>
      <c r="H511">
        <v>12.3</v>
      </c>
      <c r="I511">
        <v>9.6999999999999993</v>
      </c>
      <c r="J511">
        <v>0.43</v>
      </c>
      <c r="K511">
        <v>8.1</v>
      </c>
      <c r="L511">
        <v>28</v>
      </c>
      <c r="M511">
        <v>66</v>
      </c>
      <c r="N511">
        <v>6.1</v>
      </c>
      <c r="O511">
        <v>124</v>
      </c>
      <c r="P511" t="s">
        <v>33</v>
      </c>
    </row>
    <row r="512" spans="1:16" x14ac:dyDescent="0.25">
      <c r="A512" t="s">
        <v>571</v>
      </c>
      <c r="B512" s="2">
        <v>45686</v>
      </c>
      <c r="C512" t="s">
        <v>54</v>
      </c>
      <c r="D512" t="s">
        <v>18</v>
      </c>
      <c r="E512" t="s">
        <v>91</v>
      </c>
      <c r="F512">
        <v>50.2</v>
      </c>
      <c r="G512">
        <v>80.900000000000006</v>
      </c>
      <c r="H512">
        <v>23.3</v>
      </c>
      <c r="I512">
        <v>10.8</v>
      </c>
      <c r="J512">
        <v>0.26</v>
      </c>
      <c r="K512">
        <v>10.6</v>
      </c>
      <c r="L512">
        <v>24.3</v>
      </c>
      <c r="M512">
        <v>58.3</v>
      </c>
      <c r="N512">
        <v>2.2999999999999998</v>
      </c>
      <c r="O512">
        <v>170</v>
      </c>
      <c r="P512" t="s">
        <v>33</v>
      </c>
    </row>
    <row r="513" spans="1:16" x14ac:dyDescent="0.25">
      <c r="A513" t="s">
        <v>572</v>
      </c>
      <c r="B513" s="2">
        <v>45714</v>
      </c>
      <c r="C513" t="s">
        <v>52</v>
      </c>
      <c r="D513" t="s">
        <v>31</v>
      </c>
      <c r="E513" t="s">
        <v>40</v>
      </c>
      <c r="F513">
        <v>30.8</v>
      </c>
      <c r="G513">
        <v>73.5</v>
      </c>
      <c r="H513">
        <v>17.3</v>
      </c>
      <c r="I513">
        <v>15.2</v>
      </c>
      <c r="J513">
        <v>0.38</v>
      </c>
      <c r="K513">
        <v>19.399999999999999</v>
      </c>
      <c r="L513">
        <v>23.6</v>
      </c>
      <c r="M513">
        <v>69.3</v>
      </c>
      <c r="N513">
        <v>0.1</v>
      </c>
      <c r="O513">
        <v>140</v>
      </c>
      <c r="P513" t="s">
        <v>33</v>
      </c>
    </row>
    <row r="514" spans="1:16" x14ac:dyDescent="0.25">
      <c r="A514" t="s">
        <v>573</v>
      </c>
      <c r="B514" s="2">
        <v>45695</v>
      </c>
      <c r="C514" t="s">
        <v>26</v>
      </c>
      <c r="D514" t="s">
        <v>23</v>
      </c>
      <c r="E514" t="s">
        <v>45</v>
      </c>
      <c r="F514">
        <v>65.900000000000006</v>
      </c>
      <c r="G514">
        <v>38</v>
      </c>
      <c r="H514">
        <v>6.7</v>
      </c>
      <c r="I514">
        <v>24.5</v>
      </c>
      <c r="J514">
        <v>0.69</v>
      </c>
      <c r="K514">
        <v>17.5</v>
      </c>
      <c r="L514">
        <v>31.8</v>
      </c>
      <c r="M514">
        <v>52.6</v>
      </c>
      <c r="N514">
        <v>3.9</v>
      </c>
      <c r="O514">
        <v>178</v>
      </c>
      <c r="P514" t="s">
        <v>33</v>
      </c>
    </row>
    <row r="515" spans="1:16" x14ac:dyDescent="0.25">
      <c r="A515" t="s">
        <v>574</v>
      </c>
      <c r="B515" s="2">
        <v>46010</v>
      </c>
      <c r="C515" t="s">
        <v>35</v>
      </c>
      <c r="D515" t="s">
        <v>36</v>
      </c>
      <c r="E515" t="s">
        <v>45</v>
      </c>
      <c r="F515">
        <v>41</v>
      </c>
      <c r="G515">
        <v>131.80000000000001</v>
      </c>
      <c r="H515">
        <v>96.2</v>
      </c>
      <c r="I515">
        <v>25</v>
      </c>
      <c r="J515">
        <v>0.15</v>
      </c>
      <c r="K515">
        <v>52.5</v>
      </c>
      <c r="L515">
        <v>31.7</v>
      </c>
      <c r="M515">
        <v>31.5</v>
      </c>
      <c r="N515">
        <v>2.4</v>
      </c>
      <c r="O515">
        <v>273</v>
      </c>
      <c r="P515" t="s">
        <v>28</v>
      </c>
    </row>
    <row r="516" spans="1:16" x14ac:dyDescent="0.25">
      <c r="A516" t="s">
        <v>575</v>
      </c>
      <c r="B516" s="2">
        <v>45907</v>
      </c>
      <c r="C516" t="s">
        <v>26</v>
      </c>
      <c r="D516" t="s">
        <v>23</v>
      </c>
      <c r="E516" t="s">
        <v>40</v>
      </c>
      <c r="F516">
        <v>82.6</v>
      </c>
      <c r="G516">
        <v>51.7</v>
      </c>
      <c r="H516">
        <v>25.3</v>
      </c>
      <c r="I516">
        <v>14.7</v>
      </c>
      <c r="J516">
        <v>0.96</v>
      </c>
      <c r="K516">
        <v>70.599999999999994</v>
      </c>
      <c r="L516">
        <v>23.3</v>
      </c>
      <c r="M516">
        <v>45.9</v>
      </c>
      <c r="N516">
        <v>0.8</v>
      </c>
      <c r="O516">
        <v>252</v>
      </c>
      <c r="P516" t="s">
        <v>28</v>
      </c>
    </row>
    <row r="517" spans="1:16" x14ac:dyDescent="0.25">
      <c r="A517" t="s">
        <v>576</v>
      </c>
      <c r="B517" s="2">
        <v>45714</v>
      </c>
      <c r="C517" t="s">
        <v>54</v>
      </c>
      <c r="D517" t="s">
        <v>18</v>
      </c>
      <c r="E517" t="s">
        <v>40</v>
      </c>
      <c r="F517">
        <v>12.7</v>
      </c>
      <c r="G517">
        <v>179.7</v>
      </c>
      <c r="H517">
        <v>11.1</v>
      </c>
      <c r="I517">
        <v>5.9</v>
      </c>
      <c r="J517">
        <v>1.64</v>
      </c>
      <c r="K517">
        <v>28.7</v>
      </c>
      <c r="L517">
        <v>22.2</v>
      </c>
      <c r="M517">
        <v>89.3</v>
      </c>
      <c r="N517">
        <v>0.8</v>
      </c>
      <c r="O517">
        <v>204</v>
      </c>
      <c r="P517" t="s">
        <v>28</v>
      </c>
    </row>
    <row r="518" spans="1:16" x14ac:dyDescent="0.25">
      <c r="A518" t="s">
        <v>577</v>
      </c>
      <c r="B518" s="2">
        <v>45659</v>
      </c>
      <c r="C518" t="s">
        <v>38</v>
      </c>
      <c r="D518" t="s">
        <v>39</v>
      </c>
      <c r="E518" t="s">
        <v>43</v>
      </c>
      <c r="F518">
        <v>22.1</v>
      </c>
      <c r="G518">
        <v>33.799999999999997</v>
      </c>
      <c r="H518">
        <v>17.399999999999999</v>
      </c>
      <c r="I518">
        <v>11.1</v>
      </c>
      <c r="J518">
        <v>0.38</v>
      </c>
      <c r="K518">
        <v>65.5</v>
      </c>
      <c r="L518">
        <v>29.2</v>
      </c>
      <c r="M518">
        <v>37.6</v>
      </c>
      <c r="N518">
        <v>1.8</v>
      </c>
      <c r="O518">
        <v>118</v>
      </c>
      <c r="P518" t="s">
        <v>33</v>
      </c>
    </row>
    <row r="519" spans="1:16" x14ac:dyDescent="0.25">
      <c r="A519" t="s">
        <v>578</v>
      </c>
      <c r="B519" s="2">
        <v>45958</v>
      </c>
      <c r="C519" t="s">
        <v>67</v>
      </c>
      <c r="D519" t="s">
        <v>18</v>
      </c>
      <c r="E519" t="s">
        <v>58</v>
      </c>
      <c r="F519">
        <v>37.799999999999997</v>
      </c>
      <c r="G519">
        <v>56.8</v>
      </c>
      <c r="H519">
        <v>69.8</v>
      </c>
      <c r="I519">
        <v>9.9</v>
      </c>
      <c r="J519">
        <v>0.94</v>
      </c>
      <c r="K519">
        <v>27.2</v>
      </c>
      <c r="L519">
        <v>22.5</v>
      </c>
      <c r="M519">
        <v>72.2</v>
      </c>
      <c r="N519">
        <v>4.5999999999999996</v>
      </c>
      <c r="O519">
        <v>196</v>
      </c>
      <c r="P519" t="s">
        <v>33</v>
      </c>
    </row>
    <row r="520" spans="1:16" x14ac:dyDescent="0.25">
      <c r="A520" t="s">
        <v>579</v>
      </c>
      <c r="B520" s="2">
        <v>45833</v>
      </c>
      <c r="C520" t="s">
        <v>99</v>
      </c>
      <c r="D520" t="s">
        <v>36</v>
      </c>
      <c r="E520" t="s">
        <v>61</v>
      </c>
      <c r="F520">
        <v>71.7</v>
      </c>
      <c r="G520">
        <v>53.1</v>
      </c>
      <c r="H520">
        <v>31.6</v>
      </c>
      <c r="I520">
        <v>11.6</v>
      </c>
      <c r="J520">
        <v>0.13</v>
      </c>
      <c r="K520">
        <v>22.9</v>
      </c>
      <c r="L520">
        <v>12.6</v>
      </c>
      <c r="M520">
        <v>86.3</v>
      </c>
      <c r="N520">
        <v>2.8</v>
      </c>
      <c r="O520">
        <v>196</v>
      </c>
      <c r="P520" t="s">
        <v>33</v>
      </c>
    </row>
    <row r="521" spans="1:16" x14ac:dyDescent="0.25">
      <c r="A521" t="s">
        <v>580</v>
      </c>
      <c r="B521" s="2">
        <v>45661</v>
      </c>
      <c r="C521" t="s">
        <v>81</v>
      </c>
      <c r="D521" t="s">
        <v>39</v>
      </c>
      <c r="E521" t="s">
        <v>40</v>
      </c>
      <c r="F521">
        <v>28.1</v>
      </c>
      <c r="G521">
        <v>112.6</v>
      </c>
      <c r="H521">
        <v>3.9</v>
      </c>
      <c r="I521">
        <v>8.8000000000000007</v>
      </c>
      <c r="J521">
        <v>1.48</v>
      </c>
      <c r="K521">
        <v>32.299999999999997</v>
      </c>
      <c r="L521">
        <v>29.2</v>
      </c>
      <c r="M521">
        <v>61.6</v>
      </c>
      <c r="N521">
        <v>1</v>
      </c>
      <c r="O521">
        <v>179</v>
      </c>
      <c r="P521" t="s">
        <v>33</v>
      </c>
    </row>
    <row r="522" spans="1:16" x14ac:dyDescent="0.25">
      <c r="A522" t="s">
        <v>581</v>
      </c>
      <c r="B522" s="2">
        <v>45898</v>
      </c>
      <c r="C522" t="s">
        <v>42</v>
      </c>
      <c r="D522" t="s">
        <v>23</v>
      </c>
      <c r="E522" t="s">
        <v>27</v>
      </c>
      <c r="F522">
        <v>123.5</v>
      </c>
      <c r="G522">
        <v>144.69999999999999</v>
      </c>
      <c r="H522">
        <v>22.8</v>
      </c>
      <c r="I522">
        <v>21.7</v>
      </c>
      <c r="J522">
        <v>0.65</v>
      </c>
      <c r="K522">
        <v>48.5</v>
      </c>
      <c r="L522">
        <v>19</v>
      </c>
      <c r="M522">
        <v>66.599999999999994</v>
      </c>
      <c r="N522">
        <v>0.7</v>
      </c>
      <c r="O522">
        <v>363</v>
      </c>
      <c r="P522" t="s">
        <v>20</v>
      </c>
    </row>
    <row r="523" spans="1:16" x14ac:dyDescent="0.25">
      <c r="A523" t="s">
        <v>582</v>
      </c>
      <c r="B523" s="2">
        <v>45920</v>
      </c>
      <c r="C523" t="s">
        <v>67</v>
      </c>
      <c r="D523" t="s">
        <v>18</v>
      </c>
      <c r="E523" t="s">
        <v>24</v>
      </c>
      <c r="F523">
        <v>43.8</v>
      </c>
      <c r="G523">
        <v>80.599999999999994</v>
      </c>
      <c r="H523">
        <v>5.8</v>
      </c>
      <c r="I523">
        <v>5.3</v>
      </c>
      <c r="J523">
        <v>0.34</v>
      </c>
      <c r="K523">
        <v>25.4</v>
      </c>
      <c r="L523">
        <v>31.9</v>
      </c>
      <c r="M523">
        <v>43.1</v>
      </c>
      <c r="N523">
        <v>2.9</v>
      </c>
      <c r="O523">
        <v>151</v>
      </c>
      <c r="P523" t="s">
        <v>33</v>
      </c>
    </row>
    <row r="524" spans="1:16" x14ac:dyDescent="0.25">
      <c r="A524" t="s">
        <v>583</v>
      </c>
      <c r="B524" s="2">
        <v>45806</v>
      </c>
      <c r="C524" t="s">
        <v>17</v>
      </c>
      <c r="D524" t="s">
        <v>18</v>
      </c>
      <c r="E524" t="s">
        <v>40</v>
      </c>
      <c r="F524">
        <v>91.4</v>
      </c>
      <c r="G524">
        <v>100.5</v>
      </c>
      <c r="H524">
        <v>16.5</v>
      </c>
      <c r="I524">
        <v>7.1</v>
      </c>
      <c r="J524">
        <v>1</v>
      </c>
      <c r="K524">
        <v>40.4</v>
      </c>
      <c r="L524">
        <v>33.6</v>
      </c>
      <c r="M524">
        <v>60.1</v>
      </c>
      <c r="N524">
        <v>0.4</v>
      </c>
      <c r="O524">
        <v>273</v>
      </c>
      <c r="P524" t="s">
        <v>28</v>
      </c>
    </row>
    <row r="525" spans="1:16" x14ac:dyDescent="0.25">
      <c r="A525" t="s">
        <v>584</v>
      </c>
      <c r="B525" s="2">
        <v>45769</v>
      </c>
      <c r="C525" t="s">
        <v>81</v>
      </c>
      <c r="D525" t="s">
        <v>39</v>
      </c>
      <c r="E525" t="s">
        <v>91</v>
      </c>
      <c r="F525">
        <v>81.900000000000006</v>
      </c>
      <c r="G525">
        <v>49.3</v>
      </c>
      <c r="H525">
        <v>29.8</v>
      </c>
      <c r="I525">
        <v>28.2</v>
      </c>
      <c r="J525">
        <v>0.66</v>
      </c>
      <c r="K525">
        <v>2.7</v>
      </c>
      <c r="L525">
        <v>38.200000000000003</v>
      </c>
      <c r="M525">
        <v>56.5</v>
      </c>
      <c r="N525">
        <v>2.4</v>
      </c>
      <c r="O525">
        <v>224</v>
      </c>
      <c r="P525" t="s">
        <v>28</v>
      </c>
    </row>
    <row r="526" spans="1:16" x14ac:dyDescent="0.25">
      <c r="A526" t="s">
        <v>585</v>
      </c>
      <c r="B526" s="2">
        <v>45714</v>
      </c>
      <c r="C526" t="s">
        <v>93</v>
      </c>
      <c r="D526" t="s">
        <v>36</v>
      </c>
      <c r="E526" t="s">
        <v>70</v>
      </c>
      <c r="F526">
        <v>73.8</v>
      </c>
      <c r="G526">
        <v>69.900000000000006</v>
      </c>
      <c r="H526">
        <v>48.7</v>
      </c>
      <c r="I526">
        <v>35.799999999999997</v>
      </c>
      <c r="J526">
        <v>0.94</v>
      </c>
      <c r="K526">
        <v>42.6</v>
      </c>
      <c r="L526">
        <v>25.8</v>
      </c>
      <c r="M526">
        <v>75.8</v>
      </c>
      <c r="N526">
        <v>1.8</v>
      </c>
      <c r="O526">
        <v>270</v>
      </c>
      <c r="P526" t="s">
        <v>28</v>
      </c>
    </row>
    <row r="527" spans="1:16" x14ac:dyDescent="0.25">
      <c r="A527" t="s">
        <v>586</v>
      </c>
      <c r="B527" s="2">
        <v>45796</v>
      </c>
      <c r="C527" t="s">
        <v>38</v>
      </c>
      <c r="D527" t="s">
        <v>39</v>
      </c>
      <c r="E527" t="s">
        <v>45</v>
      </c>
      <c r="F527">
        <v>27.6</v>
      </c>
      <c r="G527">
        <v>112.4</v>
      </c>
      <c r="H527">
        <v>10</v>
      </c>
      <c r="I527">
        <v>2.5</v>
      </c>
      <c r="J527">
        <v>0.17</v>
      </c>
      <c r="K527">
        <v>11.6</v>
      </c>
      <c r="L527">
        <v>15.9</v>
      </c>
      <c r="M527">
        <v>57.5</v>
      </c>
      <c r="N527">
        <v>2.2999999999999998</v>
      </c>
      <c r="O527">
        <v>136</v>
      </c>
      <c r="P527" t="s">
        <v>33</v>
      </c>
    </row>
    <row r="528" spans="1:16" x14ac:dyDescent="0.25">
      <c r="A528" t="s">
        <v>587</v>
      </c>
      <c r="B528" s="2">
        <v>45937</v>
      </c>
      <c r="C528" t="s">
        <v>99</v>
      </c>
      <c r="D528" t="s">
        <v>36</v>
      </c>
      <c r="E528" t="s">
        <v>61</v>
      </c>
      <c r="F528">
        <v>155.69999999999999</v>
      </c>
      <c r="G528">
        <v>80.8</v>
      </c>
      <c r="H528">
        <v>38.200000000000003</v>
      </c>
      <c r="I528">
        <v>32.6</v>
      </c>
      <c r="J528">
        <v>1.22</v>
      </c>
      <c r="K528">
        <v>7.6</v>
      </c>
      <c r="L528">
        <v>18.2</v>
      </c>
      <c r="M528">
        <v>47.8</v>
      </c>
      <c r="N528">
        <v>3.3</v>
      </c>
      <c r="O528">
        <v>389</v>
      </c>
      <c r="P528" t="s">
        <v>20</v>
      </c>
    </row>
    <row r="529" spans="1:16" x14ac:dyDescent="0.25">
      <c r="A529" t="s">
        <v>588</v>
      </c>
      <c r="B529" s="2">
        <v>45979</v>
      </c>
      <c r="C529" t="s">
        <v>50</v>
      </c>
      <c r="D529" t="s">
        <v>31</v>
      </c>
      <c r="E529" t="s">
        <v>68</v>
      </c>
      <c r="F529">
        <v>80.599999999999994</v>
      </c>
      <c r="G529">
        <v>34.5</v>
      </c>
      <c r="H529">
        <v>29.6</v>
      </c>
      <c r="I529">
        <v>4.2</v>
      </c>
      <c r="J529">
        <v>1.36</v>
      </c>
      <c r="K529">
        <v>12.8</v>
      </c>
      <c r="L529">
        <v>18.899999999999999</v>
      </c>
      <c r="M529">
        <v>67.3</v>
      </c>
      <c r="N529">
        <v>2.5</v>
      </c>
      <c r="O529">
        <v>218</v>
      </c>
      <c r="P529" t="s">
        <v>28</v>
      </c>
    </row>
    <row r="530" spans="1:16" x14ac:dyDescent="0.25">
      <c r="A530" t="s">
        <v>589</v>
      </c>
      <c r="B530" s="2">
        <v>45735</v>
      </c>
      <c r="C530" t="s">
        <v>64</v>
      </c>
      <c r="D530" t="s">
        <v>36</v>
      </c>
      <c r="E530" t="s">
        <v>97</v>
      </c>
      <c r="F530">
        <v>15.6</v>
      </c>
      <c r="G530">
        <v>209.1</v>
      </c>
      <c r="H530">
        <v>45.3</v>
      </c>
      <c r="I530">
        <v>9.6999999999999993</v>
      </c>
      <c r="J530">
        <v>1.61</v>
      </c>
      <c r="K530">
        <v>24.6</v>
      </c>
      <c r="L530">
        <v>38.9</v>
      </c>
      <c r="M530">
        <v>66.5</v>
      </c>
      <c r="N530">
        <v>1.7</v>
      </c>
      <c r="O530">
        <v>255</v>
      </c>
      <c r="P530" t="s">
        <v>28</v>
      </c>
    </row>
    <row r="531" spans="1:16" x14ac:dyDescent="0.25">
      <c r="A531" t="s">
        <v>590</v>
      </c>
      <c r="B531" s="2">
        <v>45801</v>
      </c>
      <c r="C531" t="s">
        <v>30</v>
      </c>
      <c r="D531" t="s">
        <v>31</v>
      </c>
      <c r="E531" t="s">
        <v>43</v>
      </c>
      <c r="F531">
        <v>24</v>
      </c>
      <c r="G531">
        <v>171.9</v>
      </c>
      <c r="H531">
        <v>19.5</v>
      </c>
      <c r="I531">
        <v>3.2</v>
      </c>
      <c r="J531">
        <v>0.28000000000000003</v>
      </c>
      <c r="K531">
        <v>23.1</v>
      </c>
      <c r="L531">
        <v>33.5</v>
      </c>
      <c r="M531">
        <v>76.2</v>
      </c>
      <c r="N531">
        <v>1.8</v>
      </c>
      <c r="O531">
        <v>185</v>
      </c>
      <c r="P531" t="s">
        <v>33</v>
      </c>
    </row>
    <row r="532" spans="1:16" x14ac:dyDescent="0.25">
      <c r="A532" t="s">
        <v>591</v>
      </c>
      <c r="B532" s="2">
        <v>45824</v>
      </c>
      <c r="C532" t="s">
        <v>50</v>
      </c>
      <c r="D532" t="s">
        <v>31</v>
      </c>
      <c r="E532" t="s">
        <v>24</v>
      </c>
      <c r="F532">
        <v>123.2</v>
      </c>
      <c r="G532">
        <v>143.4</v>
      </c>
      <c r="H532">
        <v>9.3000000000000007</v>
      </c>
      <c r="I532">
        <v>17.5</v>
      </c>
      <c r="J532">
        <v>0.93</v>
      </c>
      <c r="K532">
        <v>16.100000000000001</v>
      </c>
      <c r="L532">
        <v>33</v>
      </c>
      <c r="M532">
        <v>73.099999999999994</v>
      </c>
      <c r="N532">
        <v>0.9</v>
      </c>
      <c r="O532">
        <v>341</v>
      </c>
      <c r="P532" t="s">
        <v>20</v>
      </c>
    </row>
    <row r="533" spans="1:16" x14ac:dyDescent="0.25">
      <c r="A533" t="s">
        <v>592</v>
      </c>
      <c r="B533" s="2">
        <v>45852</v>
      </c>
      <c r="C533" t="s">
        <v>93</v>
      </c>
      <c r="D533" t="s">
        <v>36</v>
      </c>
      <c r="E533" t="s">
        <v>45</v>
      </c>
      <c r="F533">
        <v>56.9</v>
      </c>
      <c r="G533">
        <v>76.900000000000006</v>
      </c>
      <c r="H533">
        <v>32.799999999999997</v>
      </c>
      <c r="I533">
        <v>17</v>
      </c>
      <c r="J533">
        <v>0.89</v>
      </c>
      <c r="K533">
        <v>7.2</v>
      </c>
      <c r="L533">
        <v>24.1</v>
      </c>
      <c r="M533">
        <v>70</v>
      </c>
      <c r="N533">
        <v>3.4</v>
      </c>
      <c r="O533">
        <v>205</v>
      </c>
      <c r="P533" t="s">
        <v>28</v>
      </c>
    </row>
    <row r="534" spans="1:16" x14ac:dyDescent="0.25">
      <c r="A534" t="s">
        <v>593</v>
      </c>
      <c r="B534" s="2">
        <v>45802</v>
      </c>
      <c r="C534" t="s">
        <v>50</v>
      </c>
      <c r="D534" t="s">
        <v>31</v>
      </c>
      <c r="E534" t="s">
        <v>32</v>
      </c>
      <c r="F534">
        <v>55.8</v>
      </c>
      <c r="G534">
        <v>169.8</v>
      </c>
      <c r="H534">
        <v>10.199999999999999</v>
      </c>
      <c r="I534">
        <v>8.1999999999999993</v>
      </c>
      <c r="J534">
        <v>1.18</v>
      </c>
      <c r="K534">
        <v>58.8</v>
      </c>
      <c r="L534">
        <v>26.1</v>
      </c>
      <c r="M534">
        <v>65.5</v>
      </c>
      <c r="N534">
        <v>2.7</v>
      </c>
      <c r="O534">
        <v>270</v>
      </c>
      <c r="P534" t="s">
        <v>28</v>
      </c>
    </row>
    <row r="535" spans="1:16" x14ac:dyDescent="0.25">
      <c r="A535" t="s">
        <v>594</v>
      </c>
      <c r="B535" s="2">
        <v>45882</v>
      </c>
      <c r="C535" t="s">
        <v>81</v>
      </c>
      <c r="D535" t="s">
        <v>39</v>
      </c>
      <c r="E535" t="s">
        <v>19</v>
      </c>
      <c r="F535">
        <v>51.7</v>
      </c>
      <c r="G535">
        <v>158.1</v>
      </c>
      <c r="H535">
        <v>17.7</v>
      </c>
      <c r="I535">
        <v>0.5</v>
      </c>
      <c r="J535">
        <v>0.52</v>
      </c>
      <c r="K535">
        <v>38.5</v>
      </c>
      <c r="L535">
        <v>24.9</v>
      </c>
      <c r="M535">
        <v>90.6</v>
      </c>
      <c r="N535">
        <v>3.7</v>
      </c>
      <c r="O535">
        <v>230</v>
      </c>
      <c r="P535" t="s">
        <v>28</v>
      </c>
    </row>
    <row r="536" spans="1:16" x14ac:dyDescent="0.25">
      <c r="A536" t="s">
        <v>595</v>
      </c>
      <c r="B536" s="2">
        <v>45895</v>
      </c>
      <c r="C536" t="s">
        <v>93</v>
      </c>
      <c r="D536" t="s">
        <v>36</v>
      </c>
      <c r="E536" t="s">
        <v>19</v>
      </c>
      <c r="F536">
        <v>102.9</v>
      </c>
      <c r="G536">
        <v>182.1</v>
      </c>
      <c r="H536">
        <v>13.5</v>
      </c>
      <c r="I536">
        <v>12.1</v>
      </c>
      <c r="J536">
        <v>1.46</v>
      </c>
      <c r="K536">
        <v>28.4</v>
      </c>
      <c r="L536">
        <v>16.399999999999999</v>
      </c>
      <c r="M536">
        <v>54.6</v>
      </c>
      <c r="N536">
        <v>0.5</v>
      </c>
      <c r="O536">
        <v>352</v>
      </c>
      <c r="P536" t="s">
        <v>20</v>
      </c>
    </row>
    <row r="537" spans="1:16" x14ac:dyDescent="0.25">
      <c r="A537" t="s">
        <v>596</v>
      </c>
      <c r="B537" s="2">
        <v>45662</v>
      </c>
      <c r="C537" t="s">
        <v>26</v>
      </c>
      <c r="D537" t="s">
        <v>23</v>
      </c>
      <c r="E537" t="s">
        <v>19</v>
      </c>
      <c r="F537">
        <v>92.5</v>
      </c>
      <c r="G537">
        <v>120.8</v>
      </c>
      <c r="H537">
        <v>5.6</v>
      </c>
      <c r="I537">
        <v>11.4</v>
      </c>
      <c r="J537">
        <v>0.93</v>
      </c>
      <c r="K537">
        <v>29.3</v>
      </c>
      <c r="L537">
        <v>29.3</v>
      </c>
      <c r="M537">
        <v>74.7</v>
      </c>
      <c r="N537">
        <v>2.4</v>
      </c>
      <c r="O537">
        <v>275</v>
      </c>
      <c r="P537" t="s">
        <v>28</v>
      </c>
    </row>
    <row r="538" spans="1:16" x14ac:dyDescent="0.25">
      <c r="A538" t="s">
        <v>597</v>
      </c>
      <c r="B538" s="2">
        <v>45663</v>
      </c>
      <c r="C538" t="s">
        <v>54</v>
      </c>
      <c r="D538" t="s">
        <v>18</v>
      </c>
      <c r="E538" t="s">
        <v>32</v>
      </c>
      <c r="F538">
        <v>74.5</v>
      </c>
      <c r="G538">
        <v>57.5</v>
      </c>
      <c r="H538">
        <v>6.1</v>
      </c>
      <c r="I538">
        <v>2.9</v>
      </c>
      <c r="J538">
        <v>0.83</v>
      </c>
      <c r="K538">
        <v>63.2</v>
      </c>
      <c r="L538">
        <v>21</v>
      </c>
      <c r="M538">
        <v>67.8</v>
      </c>
      <c r="N538">
        <v>1.1000000000000001</v>
      </c>
      <c r="O538">
        <v>213</v>
      </c>
      <c r="P538" t="s">
        <v>28</v>
      </c>
    </row>
    <row r="539" spans="1:16" x14ac:dyDescent="0.25">
      <c r="A539" t="s">
        <v>598</v>
      </c>
      <c r="B539" s="2">
        <v>45910</v>
      </c>
      <c r="C539" t="s">
        <v>54</v>
      </c>
      <c r="D539" t="s">
        <v>18</v>
      </c>
      <c r="E539" t="s">
        <v>58</v>
      </c>
      <c r="F539">
        <v>21.7</v>
      </c>
      <c r="G539">
        <v>104</v>
      </c>
      <c r="H539">
        <v>35.5</v>
      </c>
      <c r="I539">
        <v>21.1</v>
      </c>
      <c r="J539">
        <v>0.61</v>
      </c>
      <c r="K539">
        <v>36.6</v>
      </c>
      <c r="L539">
        <v>22.4</v>
      </c>
      <c r="M539">
        <v>62.2</v>
      </c>
      <c r="N539">
        <v>0.9</v>
      </c>
      <c r="O539">
        <v>177</v>
      </c>
      <c r="P539" t="s">
        <v>33</v>
      </c>
    </row>
    <row r="540" spans="1:16" x14ac:dyDescent="0.25">
      <c r="A540" t="s">
        <v>599</v>
      </c>
      <c r="B540" s="2">
        <v>45952</v>
      </c>
      <c r="C540" t="s">
        <v>42</v>
      </c>
      <c r="D540" t="s">
        <v>23</v>
      </c>
      <c r="E540" t="s">
        <v>74</v>
      </c>
      <c r="F540">
        <v>166.5</v>
      </c>
      <c r="G540">
        <v>170.9</v>
      </c>
      <c r="H540">
        <v>20.399999999999999</v>
      </c>
      <c r="I540">
        <v>9.5</v>
      </c>
      <c r="J540">
        <v>0.85</v>
      </c>
      <c r="K540">
        <v>35.4</v>
      </c>
      <c r="L540">
        <v>31.4</v>
      </c>
      <c r="M540">
        <v>63.6</v>
      </c>
      <c r="N540">
        <v>2.1</v>
      </c>
      <c r="O540">
        <v>438</v>
      </c>
      <c r="P540" t="s">
        <v>20</v>
      </c>
    </row>
    <row r="541" spans="1:16" x14ac:dyDescent="0.25">
      <c r="A541" t="s">
        <v>600</v>
      </c>
      <c r="B541" s="2">
        <v>46004</v>
      </c>
      <c r="C541" t="s">
        <v>81</v>
      </c>
      <c r="D541" t="s">
        <v>39</v>
      </c>
      <c r="E541" t="s">
        <v>91</v>
      </c>
      <c r="F541">
        <v>18.600000000000001</v>
      </c>
      <c r="G541">
        <v>56.5</v>
      </c>
      <c r="H541">
        <v>28</v>
      </c>
      <c r="I541">
        <v>26.1</v>
      </c>
      <c r="J541">
        <v>1.22</v>
      </c>
      <c r="K541">
        <v>5</v>
      </c>
      <c r="L541">
        <v>31.9</v>
      </c>
      <c r="M541">
        <v>56.2</v>
      </c>
      <c r="N541">
        <v>2</v>
      </c>
      <c r="O541">
        <v>140</v>
      </c>
      <c r="P541" t="s">
        <v>33</v>
      </c>
    </row>
    <row r="542" spans="1:16" x14ac:dyDescent="0.25">
      <c r="A542" t="s">
        <v>601</v>
      </c>
      <c r="B542" s="2">
        <v>45851</v>
      </c>
      <c r="C542" t="s">
        <v>42</v>
      </c>
      <c r="D542" t="s">
        <v>23</v>
      </c>
      <c r="E542" t="s">
        <v>24</v>
      </c>
      <c r="F542">
        <v>8.3000000000000007</v>
      </c>
      <c r="G542">
        <v>93.5</v>
      </c>
      <c r="H542">
        <v>45.6</v>
      </c>
      <c r="I542">
        <v>13.6</v>
      </c>
      <c r="J542">
        <v>0.37</v>
      </c>
      <c r="K542">
        <v>72.099999999999994</v>
      </c>
      <c r="L542">
        <v>33.1</v>
      </c>
      <c r="M542">
        <v>42</v>
      </c>
      <c r="N542">
        <v>2.5</v>
      </c>
      <c r="O542">
        <v>162</v>
      </c>
      <c r="P542" t="s">
        <v>33</v>
      </c>
    </row>
    <row r="543" spans="1:16" x14ac:dyDescent="0.25">
      <c r="A543" t="s">
        <v>602</v>
      </c>
      <c r="B543" s="2">
        <v>45804</v>
      </c>
      <c r="C543" t="s">
        <v>26</v>
      </c>
      <c r="D543" t="s">
        <v>23</v>
      </c>
      <c r="E543" t="s">
        <v>97</v>
      </c>
      <c r="F543">
        <v>113.9</v>
      </c>
      <c r="G543">
        <v>102.2</v>
      </c>
      <c r="H543">
        <v>36.5</v>
      </c>
      <c r="I543">
        <v>3.2</v>
      </c>
      <c r="J543">
        <v>1.18</v>
      </c>
      <c r="K543">
        <v>18</v>
      </c>
      <c r="L543">
        <v>24</v>
      </c>
      <c r="M543">
        <v>63.3</v>
      </c>
      <c r="N543">
        <v>2.5</v>
      </c>
      <c r="O543">
        <v>318</v>
      </c>
      <c r="P543" t="s">
        <v>20</v>
      </c>
    </row>
    <row r="544" spans="1:16" x14ac:dyDescent="0.25">
      <c r="A544" t="s">
        <v>603</v>
      </c>
      <c r="B544" s="2">
        <v>45726</v>
      </c>
      <c r="C544" t="s">
        <v>26</v>
      </c>
      <c r="D544" t="s">
        <v>23</v>
      </c>
      <c r="E544" t="s">
        <v>74</v>
      </c>
      <c r="F544">
        <v>24.9</v>
      </c>
      <c r="G544">
        <v>72.599999999999994</v>
      </c>
      <c r="H544">
        <v>70.7</v>
      </c>
      <c r="I544">
        <v>4.4000000000000004</v>
      </c>
      <c r="J544">
        <v>0.15</v>
      </c>
      <c r="K544">
        <v>35.799999999999997</v>
      </c>
      <c r="L544">
        <v>20.399999999999999</v>
      </c>
      <c r="M544">
        <v>58.4</v>
      </c>
      <c r="N544">
        <v>3.6</v>
      </c>
      <c r="O544">
        <v>167</v>
      </c>
      <c r="P544" t="s">
        <v>33</v>
      </c>
    </row>
    <row r="545" spans="1:16" x14ac:dyDescent="0.25">
      <c r="A545" t="s">
        <v>604</v>
      </c>
      <c r="B545" s="2">
        <v>45965</v>
      </c>
      <c r="C545" t="s">
        <v>67</v>
      </c>
      <c r="D545" t="s">
        <v>18</v>
      </c>
      <c r="E545" t="s">
        <v>58</v>
      </c>
      <c r="F545">
        <v>31</v>
      </c>
      <c r="G545">
        <v>48.5</v>
      </c>
      <c r="H545">
        <v>28.1</v>
      </c>
      <c r="I545">
        <v>12.9</v>
      </c>
      <c r="J545">
        <v>0.15</v>
      </c>
      <c r="K545">
        <v>44.3</v>
      </c>
      <c r="L545">
        <v>31.5</v>
      </c>
      <c r="M545">
        <v>56.2</v>
      </c>
      <c r="N545">
        <v>2.6</v>
      </c>
      <c r="O545">
        <v>136</v>
      </c>
      <c r="P545" t="s">
        <v>33</v>
      </c>
    </row>
    <row r="546" spans="1:16" x14ac:dyDescent="0.25">
      <c r="A546" t="s">
        <v>605</v>
      </c>
      <c r="B546" s="2">
        <v>45701</v>
      </c>
      <c r="C546" t="s">
        <v>81</v>
      </c>
      <c r="D546" t="s">
        <v>39</v>
      </c>
      <c r="E546" t="s">
        <v>55</v>
      </c>
      <c r="F546">
        <v>61.4</v>
      </c>
      <c r="G546">
        <v>99.3</v>
      </c>
      <c r="H546">
        <v>21.4</v>
      </c>
      <c r="I546">
        <v>12.2</v>
      </c>
      <c r="J546">
        <v>0.48</v>
      </c>
      <c r="K546">
        <v>21.7</v>
      </c>
      <c r="L546">
        <v>22.9</v>
      </c>
      <c r="M546">
        <v>70.5</v>
      </c>
      <c r="N546">
        <v>3.7</v>
      </c>
      <c r="O546">
        <v>210</v>
      </c>
      <c r="P546" t="s">
        <v>28</v>
      </c>
    </row>
    <row r="547" spans="1:16" x14ac:dyDescent="0.25">
      <c r="A547" t="s">
        <v>606</v>
      </c>
      <c r="B547" s="2">
        <v>45741</v>
      </c>
      <c r="C547" t="s">
        <v>67</v>
      </c>
      <c r="D547" t="s">
        <v>18</v>
      </c>
      <c r="E547" t="s">
        <v>24</v>
      </c>
      <c r="F547">
        <v>31.1</v>
      </c>
      <c r="G547">
        <v>107.1</v>
      </c>
      <c r="H547">
        <v>15.8</v>
      </c>
      <c r="I547">
        <v>12.4</v>
      </c>
      <c r="J547">
        <v>0.15</v>
      </c>
      <c r="K547">
        <v>16.600000000000001</v>
      </c>
      <c r="L547">
        <v>17.7</v>
      </c>
      <c r="M547">
        <v>68.400000000000006</v>
      </c>
      <c r="N547">
        <v>2.7</v>
      </c>
      <c r="O547">
        <v>152</v>
      </c>
      <c r="P547" t="s">
        <v>33</v>
      </c>
    </row>
    <row r="548" spans="1:16" x14ac:dyDescent="0.25">
      <c r="A548" t="s">
        <v>607</v>
      </c>
      <c r="B548" s="2">
        <v>45831</v>
      </c>
      <c r="C548" t="s">
        <v>50</v>
      </c>
      <c r="D548" t="s">
        <v>31</v>
      </c>
      <c r="E548" t="s">
        <v>55</v>
      </c>
      <c r="F548">
        <v>29.7</v>
      </c>
      <c r="G548">
        <v>98</v>
      </c>
      <c r="H548">
        <v>11.9</v>
      </c>
      <c r="I548">
        <v>28.8</v>
      </c>
      <c r="J548">
        <v>2.31</v>
      </c>
      <c r="K548">
        <v>32.299999999999997</v>
      </c>
      <c r="L548">
        <v>21.1</v>
      </c>
      <c r="M548">
        <v>70.8</v>
      </c>
      <c r="N548">
        <v>2</v>
      </c>
      <c r="O548">
        <v>213</v>
      </c>
      <c r="P548" t="s">
        <v>28</v>
      </c>
    </row>
    <row r="549" spans="1:16" x14ac:dyDescent="0.25">
      <c r="A549" t="s">
        <v>608</v>
      </c>
      <c r="B549" s="2">
        <v>45857</v>
      </c>
      <c r="C549" t="s">
        <v>52</v>
      </c>
      <c r="D549" t="s">
        <v>31</v>
      </c>
      <c r="E549" t="s">
        <v>58</v>
      </c>
      <c r="F549">
        <v>38.6</v>
      </c>
      <c r="G549">
        <v>77.7</v>
      </c>
      <c r="H549">
        <v>31.6</v>
      </c>
      <c r="I549">
        <v>14.4</v>
      </c>
      <c r="J549">
        <v>0.66</v>
      </c>
      <c r="K549">
        <v>100.1</v>
      </c>
      <c r="L549">
        <v>28.8</v>
      </c>
      <c r="M549">
        <v>54.3</v>
      </c>
      <c r="N549">
        <v>3</v>
      </c>
      <c r="O549">
        <v>209</v>
      </c>
      <c r="P549" t="s">
        <v>28</v>
      </c>
    </row>
    <row r="550" spans="1:16" x14ac:dyDescent="0.25">
      <c r="A550" t="s">
        <v>609</v>
      </c>
      <c r="B550" s="2">
        <v>45865</v>
      </c>
      <c r="C550" t="s">
        <v>42</v>
      </c>
      <c r="D550" t="s">
        <v>23</v>
      </c>
      <c r="E550" t="s">
        <v>61</v>
      </c>
      <c r="F550">
        <v>64.7</v>
      </c>
      <c r="G550">
        <v>46.8</v>
      </c>
      <c r="H550">
        <v>17</v>
      </c>
      <c r="I550">
        <v>48.1</v>
      </c>
      <c r="J550">
        <v>0.26</v>
      </c>
      <c r="K550">
        <v>17.5</v>
      </c>
      <c r="L550">
        <v>21.2</v>
      </c>
      <c r="M550">
        <v>46.4</v>
      </c>
      <c r="N550">
        <v>0.4</v>
      </c>
      <c r="O550">
        <v>196</v>
      </c>
      <c r="P550" t="s">
        <v>33</v>
      </c>
    </row>
    <row r="551" spans="1:16" x14ac:dyDescent="0.25">
      <c r="A551" t="s">
        <v>610</v>
      </c>
      <c r="B551" s="2">
        <v>45747</v>
      </c>
      <c r="C551" t="s">
        <v>99</v>
      </c>
      <c r="D551" t="s">
        <v>36</v>
      </c>
      <c r="E551" t="s">
        <v>32</v>
      </c>
      <c r="F551">
        <v>42.8</v>
      </c>
      <c r="G551">
        <v>40.5</v>
      </c>
      <c r="H551">
        <v>40.700000000000003</v>
      </c>
      <c r="I551">
        <v>13.3</v>
      </c>
      <c r="J551">
        <v>2.12</v>
      </c>
      <c r="K551">
        <v>35.6</v>
      </c>
      <c r="L551">
        <v>34.9</v>
      </c>
      <c r="M551">
        <v>32.4</v>
      </c>
      <c r="N551">
        <v>0.7</v>
      </c>
      <c r="O551">
        <v>206</v>
      </c>
      <c r="P551" t="s">
        <v>28</v>
      </c>
    </row>
    <row r="552" spans="1:16" x14ac:dyDescent="0.25">
      <c r="A552" t="s">
        <v>611</v>
      </c>
      <c r="B552" s="2">
        <v>45747</v>
      </c>
      <c r="C552" t="s">
        <v>77</v>
      </c>
      <c r="D552" t="s">
        <v>39</v>
      </c>
      <c r="E552" t="s">
        <v>55</v>
      </c>
      <c r="F552">
        <v>88.1</v>
      </c>
      <c r="G552">
        <v>28.1</v>
      </c>
      <c r="H552">
        <v>24.9</v>
      </c>
      <c r="I552">
        <v>14.9</v>
      </c>
      <c r="J552">
        <v>0.97</v>
      </c>
      <c r="K552">
        <v>13</v>
      </c>
      <c r="L552">
        <v>28.7</v>
      </c>
      <c r="M552">
        <v>42.4</v>
      </c>
      <c r="N552">
        <v>0.1</v>
      </c>
      <c r="O552">
        <v>220</v>
      </c>
      <c r="P552" t="s">
        <v>28</v>
      </c>
    </row>
    <row r="553" spans="1:16" x14ac:dyDescent="0.25">
      <c r="A553" t="s">
        <v>612</v>
      </c>
      <c r="B553" s="2">
        <v>45733</v>
      </c>
      <c r="C553" t="s">
        <v>77</v>
      </c>
      <c r="D553" t="s">
        <v>39</v>
      </c>
      <c r="E553" t="s">
        <v>24</v>
      </c>
      <c r="F553">
        <v>123.5</v>
      </c>
      <c r="G553">
        <v>125.4</v>
      </c>
      <c r="H553">
        <v>40.9</v>
      </c>
      <c r="I553">
        <v>23.9</v>
      </c>
      <c r="J553">
        <v>0.11</v>
      </c>
      <c r="K553">
        <v>40.299999999999997</v>
      </c>
      <c r="L553">
        <v>27.2</v>
      </c>
      <c r="M553">
        <v>70.900000000000006</v>
      </c>
      <c r="N553">
        <v>0.9</v>
      </c>
      <c r="O553">
        <v>349</v>
      </c>
      <c r="P553" t="s">
        <v>20</v>
      </c>
    </row>
    <row r="554" spans="1:16" x14ac:dyDescent="0.25">
      <c r="A554" t="s">
        <v>613</v>
      </c>
      <c r="B554" s="2">
        <v>45770</v>
      </c>
      <c r="C554" t="s">
        <v>22</v>
      </c>
      <c r="D554" t="s">
        <v>23</v>
      </c>
      <c r="E554" t="s">
        <v>27</v>
      </c>
      <c r="F554">
        <v>45.8</v>
      </c>
      <c r="G554">
        <v>35.700000000000003</v>
      </c>
      <c r="H554">
        <v>30.9</v>
      </c>
      <c r="I554">
        <v>36.9</v>
      </c>
      <c r="J554">
        <v>1.01</v>
      </c>
      <c r="K554">
        <v>53.8</v>
      </c>
      <c r="L554">
        <v>14.1</v>
      </c>
      <c r="M554">
        <v>44.1</v>
      </c>
      <c r="N554">
        <v>2</v>
      </c>
      <c r="O554">
        <v>196</v>
      </c>
      <c r="P554" t="s">
        <v>33</v>
      </c>
    </row>
    <row r="555" spans="1:16" x14ac:dyDescent="0.25">
      <c r="A555" t="s">
        <v>614</v>
      </c>
      <c r="B555" s="2">
        <v>45890</v>
      </c>
      <c r="C555" t="s">
        <v>26</v>
      </c>
      <c r="D555" t="s">
        <v>23</v>
      </c>
      <c r="E555" t="s">
        <v>61</v>
      </c>
      <c r="F555">
        <v>23.4</v>
      </c>
      <c r="G555">
        <v>55.5</v>
      </c>
      <c r="H555">
        <v>20.8</v>
      </c>
      <c r="I555">
        <v>4.8</v>
      </c>
      <c r="J555">
        <v>0.84</v>
      </c>
      <c r="K555">
        <v>39.700000000000003</v>
      </c>
      <c r="L555">
        <v>31.5</v>
      </c>
      <c r="M555">
        <v>80.3</v>
      </c>
      <c r="N555">
        <v>2.9</v>
      </c>
      <c r="O555">
        <v>132</v>
      </c>
      <c r="P555" t="s">
        <v>33</v>
      </c>
    </row>
    <row r="556" spans="1:16" x14ac:dyDescent="0.25">
      <c r="A556" t="s">
        <v>615</v>
      </c>
      <c r="B556" s="2">
        <v>45736</v>
      </c>
      <c r="C556" t="s">
        <v>77</v>
      </c>
      <c r="D556" t="s">
        <v>39</v>
      </c>
      <c r="E556" t="s">
        <v>55</v>
      </c>
      <c r="F556">
        <v>20.3</v>
      </c>
      <c r="G556">
        <v>45.5</v>
      </c>
      <c r="H556">
        <v>18.399999999999999</v>
      </c>
      <c r="I556">
        <v>10.7</v>
      </c>
      <c r="J556">
        <v>0.41</v>
      </c>
      <c r="K556">
        <v>5.8</v>
      </c>
      <c r="L556">
        <v>39</v>
      </c>
      <c r="M556">
        <v>74.099999999999994</v>
      </c>
      <c r="N556">
        <v>1.8</v>
      </c>
      <c r="O556">
        <v>97</v>
      </c>
      <c r="P556" t="s">
        <v>71</v>
      </c>
    </row>
    <row r="557" spans="1:16" x14ac:dyDescent="0.25">
      <c r="A557" t="s">
        <v>616</v>
      </c>
      <c r="B557" s="2">
        <v>45668</v>
      </c>
      <c r="C557" t="s">
        <v>42</v>
      </c>
      <c r="D557" t="s">
        <v>23</v>
      </c>
      <c r="E557" t="s">
        <v>70</v>
      </c>
      <c r="F557">
        <v>27.7</v>
      </c>
      <c r="G557">
        <v>80.900000000000006</v>
      </c>
      <c r="H557">
        <v>23.4</v>
      </c>
      <c r="I557">
        <v>1.9</v>
      </c>
      <c r="J557">
        <v>0.77</v>
      </c>
      <c r="K557">
        <v>21.8</v>
      </c>
      <c r="L557">
        <v>37.5</v>
      </c>
      <c r="M557">
        <v>58.4</v>
      </c>
      <c r="N557">
        <v>2.2000000000000002</v>
      </c>
      <c r="O557">
        <v>146</v>
      </c>
      <c r="P557" t="s">
        <v>33</v>
      </c>
    </row>
    <row r="558" spans="1:16" x14ac:dyDescent="0.25">
      <c r="A558" t="s">
        <v>617</v>
      </c>
      <c r="B558" s="2">
        <v>45894</v>
      </c>
      <c r="C558" t="s">
        <v>54</v>
      </c>
      <c r="D558" t="s">
        <v>18</v>
      </c>
      <c r="E558" t="s">
        <v>70</v>
      </c>
      <c r="F558">
        <v>18.8</v>
      </c>
      <c r="G558">
        <v>107.6</v>
      </c>
      <c r="H558">
        <v>24.3</v>
      </c>
      <c r="I558">
        <v>25.3</v>
      </c>
      <c r="J558">
        <v>0.85</v>
      </c>
      <c r="K558">
        <v>16.899999999999999</v>
      </c>
      <c r="L558">
        <v>20.399999999999999</v>
      </c>
      <c r="M558">
        <v>55.3</v>
      </c>
      <c r="N558">
        <v>2.2000000000000002</v>
      </c>
      <c r="O558">
        <v>166</v>
      </c>
      <c r="P558" t="s">
        <v>33</v>
      </c>
    </row>
    <row r="559" spans="1:16" x14ac:dyDescent="0.25">
      <c r="A559" t="s">
        <v>618</v>
      </c>
      <c r="B559" s="2">
        <v>46019</v>
      </c>
      <c r="C559" t="s">
        <v>35</v>
      </c>
      <c r="D559" t="s">
        <v>36</v>
      </c>
      <c r="E559" t="s">
        <v>61</v>
      </c>
      <c r="F559">
        <v>74.3</v>
      </c>
      <c r="G559">
        <v>88.8</v>
      </c>
      <c r="H559">
        <v>43.5</v>
      </c>
      <c r="I559">
        <v>17.7</v>
      </c>
      <c r="J559">
        <v>0.25</v>
      </c>
      <c r="K559">
        <v>9.3000000000000007</v>
      </c>
      <c r="L559">
        <v>36.799999999999997</v>
      </c>
      <c r="M559">
        <v>55.3</v>
      </c>
      <c r="N559">
        <v>3.5</v>
      </c>
      <c r="O559">
        <v>234</v>
      </c>
      <c r="P559" t="s">
        <v>28</v>
      </c>
    </row>
    <row r="560" spans="1:16" x14ac:dyDescent="0.25">
      <c r="A560" t="s">
        <v>619</v>
      </c>
      <c r="B560" s="2">
        <v>45930</v>
      </c>
      <c r="C560" t="s">
        <v>54</v>
      </c>
      <c r="D560" t="s">
        <v>18</v>
      </c>
      <c r="E560" t="s">
        <v>61</v>
      </c>
      <c r="F560">
        <v>53.2</v>
      </c>
      <c r="G560">
        <v>95.9</v>
      </c>
      <c r="H560">
        <v>11.8</v>
      </c>
      <c r="I560">
        <v>9</v>
      </c>
      <c r="J560">
        <v>0.46</v>
      </c>
      <c r="K560">
        <v>44.4</v>
      </c>
      <c r="L560">
        <v>19.5</v>
      </c>
      <c r="M560">
        <v>61.7</v>
      </c>
      <c r="N560">
        <v>1.7</v>
      </c>
      <c r="O560">
        <v>195</v>
      </c>
      <c r="P560" t="s">
        <v>33</v>
      </c>
    </row>
    <row r="561" spans="1:16" x14ac:dyDescent="0.25">
      <c r="A561" t="s">
        <v>620</v>
      </c>
      <c r="B561" s="2">
        <v>45913</v>
      </c>
      <c r="C561" t="s">
        <v>99</v>
      </c>
      <c r="D561" t="s">
        <v>36</v>
      </c>
      <c r="E561" t="s">
        <v>24</v>
      </c>
      <c r="F561">
        <v>56.7</v>
      </c>
      <c r="G561">
        <v>83.5</v>
      </c>
      <c r="H561">
        <v>5.7</v>
      </c>
      <c r="I561">
        <v>12.9</v>
      </c>
      <c r="J561">
        <v>0.51</v>
      </c>
      <c r="K561">
        <v>47.3</v>
      </c>
      <c r="L561">
        <v>26.4</v>
      </c>
      <c r="M561">
        <v>72.900000000000006</v>
      </c>
      <c r="N561">
        <v>2.6</v>
      </c>
      <c r="O561">
        <v>193</v>
      </c>
      <c r="P561" t="s">
        <v>33</v>
      </c>
    </row>
    <row r="562" spans="1:16" x14ac:dyDescent="0.25">
      <c r="A562" t="s">
        <v>621</v>
      </c>
      <c r="B562" s="2">
        <v>45803</v>
      </c>
      <c r="C562" t="s">
        <v>99</v>
      </c>
      <c r="D562" t="s">
        <v>36</v>
      </c>
      <c r="E562" t="s">
        <v>19</v>
      </c>
      <c r="F562">
        <v>51.6</v>
      </c>
      <c r="G562">
        <v>89.7</v>
      </c>
      <c r="H562">
        <v>25.8</v>
      </c>
      <c r="I562">
        <v>43.6</v>
      </c>
      <c r="J562">
        <v>0.21</v>
      </c>
      <c r="K562">
        <v>32.6</v>
      </c>
      <c r="L562">
        <v>34.200000000000003</v>
      </c>
      <c r="M562">
        <v>88.3</v>
      </c>
      <c r="N562">
        <v>1.6</v>
      </c>
      <c r="O562">
        <v>212</v>
      </c>
      <c r="P562" t="s">
        <v>28</v>
      </c>
    </row>
    <row r="563" spans="1:16" x14ac:dyDescent="0.25">
      <c r="A563" t="s">
        <v>622</v>
      </c>
      <c r="B563" s="2">
        <v>45756</v>
      </c>
      <c r="C563" t="s">
        <v>50</v>
      </c>
      <c r="D563" t="s">
        <v>31</v>
      </c>
      <c r="E563" t="s">
        <v>58</v>
      </c>
      <c r="F563">
        <v>33.1</v>
      </c>
      <c r="G563">
        <v>99.2</v>
      </c>
      <c r="H563">
        <v>57.2</v>
      </c>
      <c r="I563">
        <v>9.3000000000000007</v>
      </c>
      <c r="J563">
        <v>0.34</v>
      </c>
      <c r="K563">
        <v>30.5</v>
      </c>
      <c r="L563">
        <v>33.9</v>
      </c>
      <c r="M563">
        <v>61.1</v>
      </c>
      <c r="N563">
        <v>1.7</v>
      </c>
      <c r="O563">
        <v>192</v>
      </c>
      <c r="P563" t="s">
        <v>33</v>
      </c>
    </row>
    <row r="564" spans="1:16" x14ac:dyDescent="0.25">
      <c r="A564" t="s">
        <v>623</v>
      </c>
      <c r="B564" s="2">
        <v>45897</v>
      </c>
      <c r="C564" t="s">
        <v>54</v>
      </c>
      <c r="D564" t="s">
        <v>18</v>
      </c>
      <c r="E564" t="s">
        <v>45</v>
      </c>
      <c r="F564">
        <v>46.8</v>
      </c>
      <c r="G564">
        <v>78.3</v>
      </c>
      <c r="H564">
        <v>25.1</v>
      </c>
      <c r="I564">
        <v>24</v>
      </c>
      <c r="J564">
        <v>0.22</v>
      </c>
      <c r="K564">
        <v>19</v>
      </c>
      <c r="L564">
        <v>33.299999999999997</v>
      </c>
      <c r="M564">
        <v>60.2</v>
      </c>
      <c r="N564">
        <v>1.6</v>
      </c>
      <c r="O564">
        <v>177</v>
      </c>
      <c r="P564" t="s">
        <v>33</v>
      </c>
    </row>
    <row r="565" spans="1:16" x14ac:dyDescent="0.25">
      <c r="A565" t="s">
        <v>624</v>
      </c>
      <c r="B565" s="2">
        <v>45878</v>
      </c>
      <c r="C565" t="s">
        <v>22</v>
      </c>
      <c r="D565" t="s">
        <v>23</v>
      </c>
      <c r="E565" t="s">
        <v>74</v>
      </c>
      <c r="F565">
        <v>47.8</v>
      </c>
      <c r="G565">
        <v>15.6</v>
      </c>
      <c r="H565">
        <v>22.7</v>
      </c>
      <c r="I565">
        <v>14.2</v>
      </c>
      <c r="J565">
        <v>1.1100000000000001</v>
      </c>
      <c r="K565">
        <v>41.9</v>
      </c>
      <c r="L565">
        <v>26.9</v>
      </c>
      <c r="M565">
        <v>68.2</v>
      </c>
      <c r="N565">
        <v>3.6</v>
      </c>
      <c r="O565">
        <v>161</v>
      </c>
      <c r="P565" t="s">
        <v>33</v>
      </c>
    </row>
    <row r="566" spans="1:16" x14ac:dyDescent="0.25">
      <c r="A566" t="s">
        <v>625</v>
      </c>
      <c r="B566" s="2">
        <v>45933</v>
      </c>
      <c r="C566" t="s">
        <v>38</v>
      </c>
      <c r="D566" t="s">
        <v>39</v>
      </c>
      <c r="E566" t="s">
        <v>19</v>
      </c>
      <c r="F566">
        <v>13</v>
      </c>
      <c r="G566">
        <v>103.1</v>
      </c>
      <c r="H566">
        <v>64.8</v>
      </c>
      <c r="I566">
        <v>13.6</v>
      </c>
      <c r="J566">
        <v>0.72</v>
      </c>
      <c r="K566">
        <v>23.8</v>
      </c>
      <c r="L566">
        <v>35.200000000000003</v>
      </c>
      <c r="M566">
        <v>77.5</v>
      </c>
      <c r="N566">
        <v>0.2</v>
      </c>
      <c r="O566">
        <v>178</v>
      </c>
      <c r="P566" t="s">
        <v>33</v>
      </c>
    </row>
    <row r="567" spans="1:16" x14ac:dyDescent="0.25">
      <c r="A567" t="s">
        <v>626</v>
      </c>
      <c r="B567" s="2">
        <v>45678</v>
      </c>
      <c r="C567" t="s">
        <v>42</v>
      </c>
      <c r="D567" t="s">
        <v>23</v>
      </c>
      <c r="E567" t="s">
        <v>97</v>
      </c>
      <c r="F567">
        <v>70.3</v>
      </c>
      <c r="G567">
        <v>77.099999999999994</v>
      </c>
      <c r="H567">
        <v>11.2</v>
      </c>
      <c r="I567">
        <v>2.2999999999999998</v>
      </c>
      <c r="J567">
        <v>0.96</v>
      </c>
      <c r="K567">
        <v>13.7</v>
      </c>
      <c r="L567">
        <v>26.1</v>
      </c>
      <c r="M567">
        <v>81</v>
      </c>
      <c r="N567">
        <v>2.2999999999999998</v>
      </c>
      <c r="O567">
        <v>203</v>
      </c>
      <c r="P567" t="s">
        <v>28</v>
      </c>
    </row>
    <row r="568" spans="1:16" x14ac:dyDescent="0.25">
      <c r="A568" t="s">
        <v>627</v>
      </c>
      <c r="B568" s="2">
        <v>45744</v>
      </c>
      <c r="C568" t="s">
        <v>52</v>
      </c>
      <c r="D568" t="s">
        <v>31</v>
      </c>
      <c r="E568" t="s">
        <v>19</v>
      </c>
      <c r="F568">
        <v>114.7</v>
      </c>
      <c r="G568">
        <v>38.6</v>
      </c>
      <c r="H568">
        <v>18.7</v>
      </c>
      <c r="I568">
        <v>6.1</v>
      </c>
      <c r="J568">
        <v>0.44</v>
      </c>
      <c r="K568">
        <v>51.8</v>
      </c>
      <c r="L568">
        <v>21</v>
      </c>
      <c r="M568">
        <v>53.2</v>
      </c>
      <c r="N568">
        <v>3.9</v>
      </c>
      <c r="O568">
        <v>262</v>
      </c>
      <c r="P568" t="s">
        <v>28</v>
      </c>
    </row>
    <row r="569" spans="1:16" x14ac:dyDescent="0.25">
      <c r="A569" t="s">
        <v>628</v>
      </c>
      <c r="B569" s="2">
        <v>45900</v>
      </c>
      <c r="C569" t="s">
        <v>52</v>
      </c>
      <c r="D569" t="s">
        <v>31</v>
      </c>
      <c r="E569" t="s">
        <v>24</v>
      </c>
      <c r="F569">
        <v>62</v>
      </c>
      <c r="G569">
        <v>108.1</v>
      </c>
      <c r="H569">
        <v>53.8</v>
      </c>
      <c r="I569">
        <v>1.1000000000000001</v>
      </c>
      <c r="J569">
        <v>0.5</v>
      </c>
      <c r="K569">
        <v>9</v>
      </c>
      <c r="L569">
        <v>24.1</v>
      </c>
      <c r="M569">
        <v>64.8</v>
      </c>
      <c r="N569">
        <v>2</v>
      </c>
      <c r="O569">
        <v>230</v>
      </c>
      <c r="P569" t="s">
        <v>28</v>
      </c>
    </row>
    <row r="570" spans="1:16" x14ac:dyDescent="0.25">
      <c r="A570" t="s">
        <v>629</v>
      </c>
      <c r="B570" s="2">
        <v>45990</v>
      </c>
      <c r="C570" t="s">
        <v>22</v>
      </c>
      <c r="D570" t="s">
        <v>23</v>
      </c>
      <c r="E570" t="s">
        <v>24</v>
      </c>
      <c r="F570">
        <v>110.2</v>
      </c>
      <c r="G570">
        <v>106.3</v>
      </c>
      <c r="H570">
        <v>13.5</v>
      </c>
      <c r="I570">
        <v>14.8</v>
      </c>
      <c r="J570">
        <v>1.53</v>
      </c>
      <c r="K570">
        <v>18.8</v>
      </c>
      <c r="L570">
        <v>12.7</v>
      </c>
      <c r="M570">
        <v>58.7</v>
      </c>
      <c r="N570">
        <v>4.5999999999999996</v>
      </c>
      <c r="O570">
        <v>313</v>
      </c>
      <c r="P570" t="s">
        <v>20</v>
      </c>
    </row>
    <row r="571" spans="1:16" x14ac:dyDescent="0.25">
      <c r="A571" t="s">
        <v>630</v>
      </c>
      <c r="B571" s="2">
        <v>45965</v>
      </c>
      <c r="C571" t="s">
        <v>54</v>
      </c>
      <c r="D571" t="s">
        <v>18</v>
      </c>
      <c r="E571" t="s">
        <v>19</v>
      </c>
      <c r="F571">
        <v>19.2</v>
      </c>
      <c r="G571">
        <v>139.9</v>
      </c>
      <c r="H571">
        <v>26</v>
      </c>
      <c r="I571">
        <v>35.299999999999997</v>
      </c>
      <c r="J571">
        <v>1.58</v>
      </c>
      <c r="K571">
        <v>27.1</v>
      </c>
      <c r="L571">
        <v>18.899999999999999</v>
      </c>
      <c r="M571">
        <v>84.5</v>
      </c>
      <c r="N571">
        <v>2</v>
      </c>
      <c r="O571">
        <v>219</v>
      </c>
      <c r="P571" t="s">
        <v>28</v>
      </c>
    </row>
    <row r="572" spans="1:16" x14ac:dyDescent="0.25">
      <c r="A572" t="s">
        <v>631</v>
      </c>
      <c r="B572" s="2">
        <v>45930</v>
      </c>
      <c r="C572" t="s">
        <v>67</v>
      </c>
      <c r="D572" t="s">
        <v>18</v>
      </c>
      <c r="E572" t="s">
        <v>19</v>
      </c>
      <c r="F572">
        <v>97</v>
      </c>
      <c r="G572">
        <v>49.5</v>
      </c>
      <c r="H572">
        <v>35.6</v>
      </c>
      <c r="I572">
        <v>2.1</v>
      </c>
      <c r="J572">
        <v>0.52</v>
      </c>
      <c r="K572">
        <v>17.3</v>
      </c>
      <c r="L572">
        <v>25.9</v>
      </c>
      <c r="M572">
        <v>72.8</v>
      </c>
      <c r="N572">
        <v>1.5</v>
      </c>
      <c r="O572">
        <v>238</v>
      </c>
      <c r="P572" t="s">
        <v>28</v>
      </c>
    </row>
    <row r="573" spans="1:16" x14ac:dyDescent="0.25">
      <c r="A573" t="s">
        <v>632</v>
      </c>
      <c r="B573" s="2">
        <v>45952</v>
      </c>
      <c r="C573" t="s">
        <v>54</v>
      </c>
      <c r="D573" t="s">
        <v>18</v>
      </c>
      <c r="E573" t="s">
        <v>55</v>
      </c>
      <c r="F573">
        <v>64.099999999999994</v>
      </c>
      <c r="G573">
        <v>26.1</v>
      </c>
      <c r="H573">
        <v>23.7</v>
      </c>
      <c r="I573">
        <v>32.6</v>
      </c>
      <c r="J573">
        <v>0.9</v>
      </c>
      <c r="K573">
        <v>37</v>
      </c>
      <c r="L573">
        <v>32.4</v>
      </c>
      <c r="M573">
        <v>71</v>
      </c>
      <c r="N573">
        <v>0.3</v>
      </c>
      <c r="O573">
        <v>200</v>
      </c>
      <c r="P573" t="s">
        <v>33</v>
      </c>
    </row>
    <row r="574" spans="1:16" x14ac:dyDescent="0.25">
      <c r="A574" t="s">
        <v>633</v>
      </c>
      <c r="B574" s="2">
        <v>45999</v>
      </c>
      <c r="C574" t="s">
        <v>50</v>
      </c>
      <c r="D574" t="s">
        <v>31</v>
      </c>
      <c r="E574" t="s">
        <v>61</v>
      </c>
      <c r="F574">
        <v>61.1</v>
      </c>
      <c r="G574">
        <v>72.7</v>
      </c>
      <c r="H574">
        <v>30.3</v>
      </c>
      <c r="I574">
        <v>11.4</v>
      </c>
      <c r="J574">
        <v>1.58</v>
      </c>
      <c r="K574">
        <v>20.3</v>
      </c>
      <c r="L574">
        <v>30.1</v>
      </c>
      <c r="M574">
        <v>51.6</v>
      </c>
      <c r="N574">
        <v>1.8</v>
      </c>
      <c r="O574">
        <v>226</v>
      </c>
      <c r="P574" t="s">
        <v>28</v>
      </c>
    </row>
    <row r="575" spans="1:16" x14ac:dyDescent="0.25">
      <c r="A575" t="s">
        <v>634</v>
      </c>
      <c r="B575" s="2">
        <v>45705</v>
      </c>
      <c r="C575" t="s">
        <v>52</v>
      </c>
      <c r="D575" t="s">
        <v>31</v>
      </c>
      <c r="E575" t="s">
        <v>32</v>
      </c>
      <c r="F575">
        <v>61.8</v>
      </c>
      <c r="G575">
        <v>108.5</v>
      </c>
      <c r="H575">
        <v>28.3</v>
      </c>
      <c r="I575">
        <v>7.2</v>
      </c>
      <c r="J575">
        <v>0.64</v>
      </c>
      <c r="K575">
        <v>36.700000000000003</v>
      </c>
      <c r="L575">
        <v>45.1</v>
      </c>
      <c r="M575">
        <v>42.8</v>
      </c>
      <c r="N575">
        <v>3</v>
      </c>
      <c r="O575">
        <v>230</v>
      </c>
      <c r="P575" t="s">
        <v>28</v>
      </c>
    </row>
    <row r="576" spans="1:16" x14ac:dyDescent="0.25">
      <c r="A576" t="s">
        <v>635</v>
      </c>
      <c r="B576" s="2">
        <v>45944</v>
      </c>
      <c r="C576" t="s">
        <v>64</v>
      </c>
      <c r="D576" t="s">
        <v>36</v>
      </c>
      <c r="E576" t="s">
        <v>27</v>
      </c>
      <c r="F576">
        <v>40.4</v>
      </c>
      <c r="G576">
        <v>52.5</v>
      </c>
      <c r="H576">
        <v>31.3</v>
      </c>
      <c r="I576">
        <v>4</v>
      </c>
      <c r="J576">
        <v>0.51</v>
      </c>
      <c r="K576">
        <v>73.2</v>
      </c>
      <c r="L576">
        <v>26.7</v>
      </c>
      <c r="M576">
        <v>52.9</v>
      </c>
      <c r="N576">
        <v>4.8</v>
      </c>
      <c r="O576">
        <v>172</v>
      </c>
      <c r="P576" t="s">
        <v>33</v>
      </c>
    </row>
    <row r="577" spans="1:16" x14ac:dyDescent="0.25">
      <c r="A577" t="s">
        <v>636</v>
      </c>
      <c r="B577" s="2">
        <v>45711</v>
      </c>
      <c r="C577" t="s">
        <v>67</v>
      </c>
      <c r="D577" t="s">
        <v>18</v>
      </c>
      <c r="E577" t="s">
        <v>27</v>
      </c>
      <c r="F577">
        <v>47.6</v>
      </c>
      <c r="G577">
        <v>32</v>
      </c>
      <c r="H577">
        <v>43.4</v>
      </c>
      <c r="I577">
        <v>40.700000000000003</v>
      </c>
      <c r="J577">
        <v>0.76</v>
      </c>
      <c r="K577">
        <v>38.799999999999997</v>
      </c>
      <c r="L577">
        <v>37.6</v>
      </c>
      <c r="M577">
        <v>52.4</v>
      </c>
      <c r="N577">
        <v>1.8</v>
      </c>
      <c r="O577">
        <v>197</v>
      </c>
      <c r="P577" t="s">
        <v>33</v>
      </c>
    </row>
    <row r="578" spans="1:16" x14ac:dyDescent="0.25">
      <c r="A578" t="s">
        <v>637</v>
      </c>
      <c r="B578" s="2">
        <v>45821</v>
      </c>
      <c r="C578" t="s">
        <v>64</v>
      </c>
      <c r="D578" t="s">
        <v>36</v>
      </c>
      <c r="E578" t="s">
        <v>70</v>
      </c>
      <c r="F578">
        <v>43.3</v>
      </c>
      <c r="G578">
        <v>45.9</v>
      </c>
      <c r="H578">
        <v>21.9</v>
      </c>
      <c r="I578">
        <v>24</v>
      </c>
      <c r="J578">
        <v>0.85</v>
      </c>
      <c r="K578">
        <v>62.5</v>
      </c>
      <c r="L578">
        <v>13.7</v>
      </c>
      <c r="M578">
        <v>87.2</v>
      </c>
      <c r="N578">
        <v>1.3</v>
      </c>
      <c r="O578">
        <v>183</v>
      </c>
      <c r="P578" t="s">
        <v>33</v>
      </c>
    </row>
    <row r="579" spans="1:16" x14ac:dyDescent="0.25">
      <c r="A579" t="s">
        <v>638</v>
      </c>
      <c r="B579" s="2">
        <v>45898</v>
      </c>
      <c r="C579" t="s">
        <v>81</v>
      </c>
      <c r="D579" t="s">
        <v>39</v>
      </c>
      <c r="E579" t="s">
        <v>43</v>
      </c>
      <c r="F579">
        <v>13.5</v>
      </c>
      <c r="G579">
        <v>132.69999999999999</v>
      </c>
      <c r="H579">
        <v>11.2</v>
      </c>
      <c r="I579">
        <v>10.199999999999999</v>
      </c>
      <c r="J579">
        <v>0.55000000000000004</v>
      </c>
      <c r="K579">
        <v>9.5</v>
      </c>
      <c r="L579">
        <v>36.200000000000003</v>
      </c>
      <c r="M579">
        <v>58.1</v>
      </c>
      <c r="N579">
        <v>2.5</v>
      </c>
      <c r="O579">
        <v>142</v>
      </c>
      <c r="P579" t="s">
        <v>33</v>
      </c>
    </row>
    <row r="580" spans="1:16" x14ac:dyDescent="0.25">
      <c r="A580" t="s">
        <v>639</v>
      </c>
      <c r="B580" s="2">
        <v>45783</v>
      </c>
      <c r="C580" t="s">
        <v>52</v>
      </c>
      <c r="D580" t="s">
        <v>31</v>
      </c>
      <c r="E580" t="s">
        <v>91</v>
      </c>
      <c r="F580">
        <v>41.6</v>
      </c>
      <c r="G580">
        <v>62.9</v>
      </c>
      <c r="H580">
        <v>33.799999999999997</v>
      </c>
      <c r="I580">
        <v>19</v>
      </c>
      <c r="J580">
        <v>1.22</v>
      </c>
      <c r="K580">
        <v>31</v>
      </c>
      <c r="L580">
        <v>19.100000000000001</v>
      </c>
      <c r="M580">
        <v>68.900000000000006</v>
      </c>
      <c r="N580">
        <v>2.4</v>
      </c>
      <c r="O580">
        <v>192</v>
      </c>
      <c r="P580" t="s">
        <v>33</v>
      </c>
    </row>
    <row r="581" spans="1:16" x14ac:dyDescent="0.25">
      <c r="A581" t="s">
        <v>640</v>
      </c>
      <c r="B581" s="2">
        <v>45762</v>
      </c>
      <c r="C581" t="s">
        <v>50</v>
      </c>
      <c r="D581" t="s">
        <v>31</v>
      </c>
      <c r="E581" t="s">
        <v>24</v>
      </c>
      <c r="F581">
        <v>54.6</v>
      </c>
      <c r="G581">
        <v>73.7</v>
      </c>
      <c r="H581">
        <v>44</v>
      </c>
      <c r="I581">
        <v>3.2</v>
      </c>
      <c r="J581">
        <v>1.02</v>
      </c>
      <c r="K581">
        <v>15.4</v>
      </c>
      <c r="L581">
        <v>31.8</v>
      </c>
      <c r="M581">
        <v>60.7</v>
      </c>
      <c r="N581">
        <v>2</v>
      </c>
      <c r="O581">
        <v>205</v>
      </c>
      <c r="P581" t="s">
        <v>28</v>
      </c>
    </row>
    <row r="582" spans="1:16" x14ac:dyDescent="0.25">
      <c r="A582" t="s">
        <v>641</v>
      </c>
      <c r="B582" s="2">
        <v>45743</v>
      </c>
      <c r="C582" t="s">
        <v>35</v>
      </c>
      <c r="D582" t="s">
        <v>36</v>
      </c>
      <c r="E582" t="s">
        <v>97</v>
      </c>
      <c r="F582">
        <v>92.5</v>
      </c>
      <c r="G582">
        <v>46.4</v>
      </c>
      <c r="H582">
        <v>2.4</v>
      </c>
      <c r="I582">
        <v>3.3</v>
      </c>
      <c r="J582">
        <v>1.19</v>
      </c>
      <c r="K582">
        <v>44.3</v>
      </c>
      <c r="L582">
        <v>28</v>
      </c>
      <c r="N582">
        <v>2.8</v>
      </c>
      <c r="O582">
        <v>232</v>
      </c>
      <c r="P582" t="s">
        <v>28</v>
      </c>
    </row>
    <row r="583" spans="1:16" x14ac:dyDescent="0.25">
      <c r="A583" t="s">
        <v>642</v>
      </c>
      <c r="B583" s="2">
        <v>45997</v>
      </c>
      <c r="C583" t="s">
        <v>99</v>
      </c>
      <c r="D583" t="s">
        <v>36</v>
      </c>
      <c r="E583" t="s">
        <v>61</v>
      </c>
      <c r="F583">
        <v>106.6</v>
      </c>
      <c r="G583">
        <v>79.8</v>
      </c>
      <c r="H583">
        <v>31.7</v>
      </c>
      <c r="I583">
        <v>10.3</v>
      </c>
      <c r="J583">
        <v>0.19</v>
      </c>
      <c r="K583">
        <v>47.1</v>
      </c>
      <c r="L583">
        <v>35</v>
      </c>
      <c r="M583">
        <v>71.400000000000006</v>
      </c>
      <c r="N583">
        <v>2.6</v>
      </c>
      <c r="O583">
        <v>281</v>
      </c>
      <c r="P583" t="s">
        <v>28</v>
      </c>
    </row>
    <row r="584" spans="1:16" x14ac:dyDescent="0.25">
      <c r="A584" t="s">
        <v>643</v>
      </c>
      <c r="B584" s="2">
        <v>45668</v>
      </c>
      <c r="C584" t="s">
        <v>38</v>
      </c>
      <c r="D584" t="s">
        <v>39</v>
      </c>
      <c r="E584" t="s">
        <v>61</v>
      </c>
      <c r="F584">
        <v>86.2</v>
      </c>
      <c r="G584">
        <v>127.6</v>
      </c>
      <c r="H584">
        <v>7.6</v>
      </c>
      <c r="I584">
        <v>13.3</v>
      </c>
      <c r="J584">
        <v>0.04</v>
      </c>
      <c r="K584">
        <v>49.5</v>
      </c>
      <c r="L584">
        <v>25.2</v>
      </c>
      <c r="M584">
        <v>66</v>
      </c>
      <c r="N584">
        <v>0.1</v>
      </c>
      <c r="O584">
        <v>260</v>
      </c>
      <c r="P584" t="s">
        <v>28</v>
      </c>
    </row>
    <row r="585" spans="1:16" x14ac:dyDescent="0.25">
      <c r="A585" t="s">
        <v>644</v>
      </c>
      <c r="B585" s="2">
        <v>45866</v>
      </c>
      <c r="C585" t="s">
        <v>35</v>
      </c>
      <c r="D585" t="s">
        <v>36</v>
      </c>
      <c r="E585" t="s">
        <v>40</v>
      </c>
      <c r="F585">
        <v>35.200000000000003</v>
      </c>
      <c r="G585">
        <v>46.3</v>
      </c>
      <c r="H585">
        <v>13.5</v>
      </c>
      <c r="I585">
        <v>9.6</v>
      </c>
      <c r="J585">
        <v>0.06</v>
      </c>
      <c r="K585">
        <v>19.5</v>
      </c>
      <c r="L585">
        <v>32.1</v>
      </c>
      <c r="M585">
        <v>40.4</v>
      </c>
      <c r="N585">
        <v>3.6</v>
      </c>
      <c r="O585">
        <v>114</v>
      </c>
      <c r="P585" t="s">
        <v>33</v>
      </c>
    </row>
    <row r="586" spans="1:16" x14ac:dyDescent="0.25">
      <c r="A586" t="s">
        <v>645</v>
      </c>
      <c r="B586" s="2">
        <v>45701</v>
      </c>
      <c r="C586" t="s">
        <v>35</v>
      </c>
      <c r="D586" t="s">
        <v>36</v>
      </c>
      <c r="E586" t="s">
        <v>97</v>
      </c>
      <c r="F586">
        <v>74.8</v>
      </c>
      <c r="G586">
        <v>18.7</v>
      </c>
      <c r="H586">
        <v>35.9</v>
      </c>
      <c r="I586">
        <v>20.399999999999999</v>
      </c>
      <c r="J586">
        <v>1.37</v>
      </c>
      <c r="K586">
        <v>24.5</v>
      </c>
      <c r="L586">
        <v>19.3</v>
      </c>
      <c r="M586">
        <v>86.4</v>
      </c>
      <c r="N586">
        <v>2.5</v>
      </c>
      <c r="O586">
        <v>220</v>
      </c>
      <c r="P586" t="s">
        <v>28</v>
      </c>
    </row>
    <row r="587" spans="1:16" x14ac:dyDescent="0.25">
      <c r="A587" t="s">
        <v>646</v>
      </c>
      <c r="B587" s="2">
        <v>45863</v>
      </c>
      <c r="C587" t="s">
        <v>54</v>
      </c>
      <c r="D587" t="s">
        <v>18</v>
      </c>
      <c r="E587" t="s">
        <v>74</v>
      </c>
      <c r="F587">
        <v>11.6</v>
      </c>
      <c r="G587">
        <v>34.4</v>
      </c>
      <c r="H587">
        <v>8.3000000000000007</v>
      </c>
      <c r="I587">
        <v>3.2</v>
      </c>
      <c r="J587">
        <v>1.96</v>
      </c>
      <c r="K587">
        <v>3.5</v>
      </c>
      <c r="L587">
        <v>32</v>
      </c>
      <c r="M587">
        <v>69.2</v>
      </c>
      <c r="N587">
        <v>2.2000000000000002</v>
      </c>
      <c r="O587">
        <v>100</v>
      </c>
      <c r="P587" t="s">
        <v>71</v>
      </c>
    </row>
    <row r="588" spans="1:16" x14ac:dyDescent="0.25">
      <c r="A588" t="s">
        <v>647</v>
      </c>
      <c r="B588" s="2">
        <v>45927</v>
      </c>
      <c r="C588" t="s">
        <v>93</v>
      </c>
      <c r="D588" t="s">
        <v>36</v>
      </c>
      <c r="E588" t="s">
        <v>55</v>
      </c>
      <c r="F588">
        <v>53.5</v>
      </c>
      <c r="G588">
        <v>106.8</v>
      </c>
      <c r="H588">
        <v>11.2</v>
      </c>
      <c r="I588">
        <v>7.4</v>
      </c>
      <c r="J588">
        <v>3.19</v>
      </c>
      <c r="K588">
        <v>36.4</v>
      </c>
      <c r="L588">
        <v>34.700000000000003</v>
      </c>
      <c r="M588">
        <v>51.5</v>
      </c>
      <c r="N588">
        <v>1.7</v>
      </c>
      <c r="O588">
        <v>265</v>
      </c>
      <c r="P588" t="s">
        <v>28</v>
      </c>
    </row>
    <row r="589" spans="1:16" x14ac:dyDescent="0.25">
      <c r="A589" t="s">
        <v>648</v>
      </c>
      <c r="B589" s="2">
        <v>45935</v>
      </c>
      <c r="C589" t="s">
        <v>99</v>
      </c>
      <c r="D589" t="s">
        <v>36</v>
      </c>
      <c r="E589" t="s">
        <v>45</v>
      </c>
      <c r="F589">
        <v>68.3</v>
      </c>
      <c r="G589">
        <v>39.1</v>
      </c>
      <c r="H589">
        <v>34.1</v>
      </c>
      <c r="I589">
        <v>29.1</v>
      </c>
      <c r="J589">
        <v>0.12</v>
      </c>
      <c r="K589">
        <v>11.5</v>
      </c>
      <c r="L589">
        <v>34.4</v>
      </c>
      <c r="M589">
        <v>47.5</v>
      </c>
      <c r="N589">
        <v>1.4</v>
      </c>
      <c r="O589">
        <v>191</v>
      </c>
      <c r="P589" t="s">
        <v>33</v>
      </c>
    </row>
    <row r="590" spans="1:16" x14ac:dyDescent="0.25">
      <c r="A590" t="s">
        <v>649</v>
      </c>
      <c r="B590" s="2">
        <v>45728</v>
      </c>
      <c r="C590" t="s">
        <v>22</v>
      </c>
      <c r="D590" t="s">
        <v>23</v>
      </c>
      <c r="E590" t="s">
        <v>32</v>
      </c>
      <c r="F590">
        <v>16.5</v>
      </c>
      <c r="G590">
        <v>67.900000000000006</v>
      </c>
      <c r="H590">
        <v>23.9</v>
      </c>
      <c r="I590">
        <v>7.7</v>
      </c>
      <c r="J590">
        <v>2.5099999999999998</v>
      </c>
      <c r="K590">
        <v>27.9</v>
      </c>
      <c r="L590">
        <v>26.7</v>
      </c>
      <c r="M590">
        <v>60.1</v>
      </c>
      <c r="N590">
        <v>1.4</v>
      </c>
      <c r="O590">
        <v>170</v>
      </c>
      <c r="P590" t="s">
        <v>33</v>
      </c>
    </row>
    <row r="591" spans="1:16" x14ac:dyDescent="0.25">
      <c r="A591" t="s">
        <v>650</v>
      </c>
      <c r="B591" s="2">
        <v>45980</v>
      </c>
      <c r="C591" t="s">
        <v>52</v>
      </c>
      <c r="D591" t="s">
        <v>31</v>
      </c>
      <c r="E591" t="s">
        <v>70</v>
      </c>
      <c r="F591">
        <v>68.900000000000006</v>
      </c>
      <c r="G591">
        <v>53.4</v>
      </c>
      <c r="H591">
        <v>22.1</v>
      </c>
      <c r="I591">
        <v>21.2</v>
      </c>
      <c r="J591">
        <v>0.71</v>
      </c>
      <c r="K591">
        <v>36.700000000000003</v>
      </c>
      <c r="L591">
        <v>23.2</v>
      </c>
      <c r="M591">
        <v>61.2</v>
      </c>
      <c r="N591">
        <v>3.2</v>
      </c>
      <c r="O591">
        <v>212</v>
      </c>
      <c r="P591" t="s">
        <v>28</v>
      </c>
    </row>
    <row r="592" spans="1:16" x14ac:dyDescent="0.25">
      <c r="A592" t="s">
        <v>651</v>
      </c>
      <c r="B592" s="2">
        <v>45778</v>
      </c>
      <c r="C592" t="s">
        <v>50</v>
      </c>
      <c r="D592" t="s">
        <v>31</v>
      </c>
      <c r="E592" t="s">
        <v>43</v>
      </c>
      <c r="F592">
        <v>18.5</v>
      </c>
      <c r="G592">
        <v>127.8</v>
      </c>
      <c r="H592">
        <v>26.1</v>
      </c>
      <c r="I592">
        <v>21.9</v>
      </c>
      <c r="J592">
        <v>1.1200000000000001</v>
      </c>
      <c r="K592">
        <v>21.9</v>
      </c>
      <c r="L592">
        <v>16.899999999999999</v>
      </c>
      <c r="M592">
        <v>86.3</v>
      </c>
      <c r="N592">
        <v>0.6</v>
      </c>
      <c r="O592">
        <v>187</v>
      </c>
      <c r="P592" t="s">
        <v>33</v>
      </c>
    </row>
    <row r="593" spans="1:16" x14ac:dyDescent="0.25">
      <c r="A593" t="s">
        <v>652</v>
      </c>
      <c r="B593" s="2">
        <v>45826</v>
      </c>
      <c r="C593" t="s">
        <v>38</v>
      </c>
      <c r="D593" t="s">
        <v>39</v>
      </c>
      <c r="E593" t="s">
        <v>55</v>
      </c>
      <c r="F593">
        <v>64.7</v>
      </c>
      <c r="G593">
        <v>46.3</v>
      </c>
      <c r="H593">
        <v>58.9</v>
      </c>
      <c r="I593">
        <v>9.3000000000000007</v>
      </c>
      <c r="J593">
        <v>0.71</v>
      </c>
      <c r="K593">
        <v>38.700000000000003</v>
      </c>
      <c r="L593">
        <v>34.200000000000003</v>
      </c>
      <c r="M593">
        <v>82.1</v>
      </c>
      <c r="N593">
        <v>3.2</v>
      </c>
      <c r="O593">
        <v>222</v>
      </c>
      <c r="P593" t="s">
        <v>28</v>
      </c>
    </row>
    <row r="594" spans="1:16" x14ac:dyDescent="0.25">
      <c r="A594" t="s">
        <v>653</v>
      </c>
      <c r="B594" s="2">
        <v>45989</v>
      </c>
      <c r="C594" t="s">
        <v>26</v>
      </c>
      <c r="D594" t="s">
        <v>23</v>
      </c>
      <c r="E594" t="s">
        <v>40</v>
      </c>
      <c r="F594">
        <v>34.799999999999997</v>
      </c>
      <c r="G594">
        <v>144.69999999999999</v>
      </c>
      <c r="H594">
        <v>14.2</v>
      </c>
      <c r="I594">
        <v>16.7</v>
      </c>
      <c r="J594">
        <v>0.28999999999999998</v>
      </c>
      <c r="K594">
        <v>42.6</v>
      </c>
      <c r="L594">
        <v>32.1</v>
      </c>
      <c r="M594">
        <v>67.8</v>
      </c>
      <c r="N594">
        <v>2.1</v>
      </c>
      <c r="O594">
        <v>199</v>
      </c>
      <c r="P594" t="s">
        <v>33</v>
      </c>
    </row>
    <row r="595" spans="1:16" x14ac:dyDescent="0.25">
      <c r="A595" t="s">
        <v>654</v>
      </c>
      <c r="B595" s="2">
        <v>45863</v>
      </c>
      <c r="C595" t="s">
        <v>42</v>
      </c>
      <c r="D595" t="s">
        <v>23</v>
      </c>
      <c r="E595" t="s">
        <v>91</v>
      </c>
      <c r="F595">
        <v>27.8</v>
      </c>
      <c r="G595">
        <v>83</v>
      </c>
      <c r="H595">
        <v>74.400000000000006</v>
      </c>
      <c r="I595">
        <v>6.8</v>
      </c>
      <c r="J595">
        <v>0.28000000000000003</v>
      </c>
      <c r="K595">
        <v>69.8</v>
      </c>
      <c r="L595">
        <v>19.899999999999999</v>
      </c>
      <c r="M595">
        <v>80.5</v>
      </c>
      <c r="N595">
        <v>1</v>
      </c>
      <c r="O595">
        <v>201</v>
      </c>
      <c r="P595" t="s">
        <v>28</v>
      </c>
    </row>
    <row r="596" spans="1:16" x14ac:dyDescent="0.25">
      <c r="A596" t="s">
        <v>655</v>
      </c>
      <c r="B596" s="2">
        <v>45966</v>
      </c>
      <c r="C596" t="s">
        <v>64</v>
      </c>
      <c r="D596" t="s">
        <v>36</v>
      </c>
      <c r="E596" t="s">
        <v>70</v>
      </c>
      <c r="F596">
        <v>63.6</v>
      </c>
      <c r="G596">
        <v>109.9</v>
      </c>
      <c r="H596">
        <v>10.3</v>
      </c>
      <c r="I596">
        <v>20.2</v>
      </c>
      <c r="J596">
        <v>0.53</v>
      </c>
      <c r="K596">
        <v>39.1</v>
      </c>
      <c r="L596">
        <v>30.3</v>
      </c>
      <c r="M596">
        <v>48.2</v>
      </c>
      <c r="N596">
        <v>2.8</v>
      </c>
      <c r="O596">
        <v>226</v>
      </c>
      <c r="P596" t="s">
        <v>28</v>
      </c>
    </row>
    <row r="597" spans="1:16" x14ac:dyDescent="0.25">
      <c r="A597" t="s">
        <v>656</v>
      </c>
      <c r="B597" s="2">
        <v>45686</v>
      </c>
      <c r="C597" t="s">
        <v>22</v>
      </c>
      <c r="D597" t="s">
        <v>23</v>
      </c>
      <c r="E597" t="s">
        <v>32</v>
      </c>
      <c r="F597">
        <v>28.1</v>
      </c>
      <c r="G597">
        <v>140.69999999999999</v>
      </c>
      <c r="H597">
        <v>26</v>
      </c>
      <c r="I597">
        <v>16.600000000000001</v>
      </c>
      <c r="J597">
        <v>1.08</v>
      </c>
      <c r="K597">
        <v>77.3</v>
      </c>
      <c r="L597">
        <v>23.7</v>
      </c>
      <c r="M597">
        <v>44.9</v>
      </c>
      <c r="N597">
        <v>1.1000000000000001</v>
      </c>
      <c r="O597">
        <v>231</v>
      </c>
      <c r="P597" t="s">
        <v>28</v>
      </c>
    </row>
    <row r="598" spans="1:16" x14ac:dyDescent="0.25">
      <c r="A598" t="s">
        <v>657</v>
      </c>
      <c r="B598" s="2">
        <v>45965</v>
      </c>
      <c r="C598" t="s">
        <v>93</v>
      </c>
      <c r="D598" t="s">
        <v>36</v>
      </c>
      <c r="E598" t="s">
        <v>91</v>
      </c>
      <c r="F598">
        <v>151.9</v>
      </c>
      <c r="G598">
        <v>93.3</v>
      </c>
      <c r="H598">
        <v>69.900000000000006</v>
      </c>
      <c r="I598">
        <v>4.0999999999999996</v>
      </c>
      <c r="J598">
        <v>0.38</v>
      </c>
      <c r="K598">
        <v>10.6</v>
      </c>
      <c r="L598">
        <v>24.6</v>
      </c>
      <c r="M598">
        <v>68.5</v>
      </c>
      <c r="N598">
        <v>3.3</v>
      </c>
      <c r="O598">
        <v>377</v>
      </c>
      <c r="P598" t="s">
        <v>20</v>
      </c>
    </row>
    <row r="599" spans="1:16" x14ac:dyDescent="0.25">
      <c r="A599" t="s">
        <v>658</v>
      </c>
      <c r="B599" s="2">
        <v>45995</v>
      </c>
      <c r="C599" t="s">
        <v>81</v>
      </c>
      <c r="D599" t="s">
        <v>39</v>
      </c>
      <c r="E599" t="s">
        <v>24</v>
      </c>
      <c r="F599">
        <v>84.8</v>
      </c>
      <c r="G599">
        <v>55</v>
      </c>
      <c r="H599">
        <v>33.1</v>
      </c>
      <c r="I599">
        <v>2.8</v>
      </c>
      <c r="J599">
        <v>0.3</v>
      </c>
      <c r="K599">
        <v>21.5</v>
      </c>
      <c r="L599">
        <v>26.2</v>
      </c>
      <c r="M599">
        <v>67</v>
      </c>
      <c r="N599">
        <v>3.8</v>
      </c>
      <c r="O599">
        <v>217</v>
      </c>
      <c r="P599" t="s">
        <v>28</v>
      </c>
    </row>
    <row r="600" spans="1:16" x14ac:dyDescent="0.25">
      <c r="A600" t="s">
        <v>659</v>
      </c>
      <c r="B600" s="2">
        <v>45708</v>
      </c>
      <c r="C600" t="s">
        <v>77</v>
      </c>
      <c r="D600" t="s">
        <v>39</v>
      </c>
      <c r="E600" t="s">
        <v>43</v>
      </c>
      <c r="F600">
        <v>145.80000000000001</v>
      </c>
      <c r="G600">
        <v>141.69999999999999</v>
      </c>
      <c r="H600">
        <v>50.9</v>
      </c>
      <c r="I600">
        <v>16.5</v>
      </c>
      <c r="J600">
        <v>0.95</v>
      </c>
      <c r="K600">
        <v>72.599999999999994</v>
      </c>
      <c r="L600">
        <v>28.4</v>
      </c>
      <c r="M600">
        <v>27</v>
      </c>
      <c r="N600">
        <v>3.4</v>
      </c>
      <c r="O600">
        <v>434</v>
      </c>
      <c r="P600" t="s">
        <v>20</v>
      </c>
    </row>
    <row r="601" spans="1:16" x14ac:dyDescent="0.25">
      <c r="A601" t="s">
        <v>660</v>
      </c>
      <c r="B601" s="2">
        <v>45984</v>
      </c>
      <c r="C601" t="s">
        <v>52</v>
      </c>
      <c r="D601" t="s">
        <v>31</v>
      </c>
      <c r="E601" t="s">
        <v>45</v>
      </c>
      <c r="F601">
        <v>88.4</v>
      </c>
      <c r="G601">
        <v>31.6</v>
      </c>
      <c r="H601">
        <v>28.4</v>
      </c>
      <c r="I601">
        <v>9.9</v>
      </c>
      <c r="J601">
        <v>0.33</v>
      </c>
      <c r="K601">
        <v>22.7</v>
      </c>
      <c r="L601">
        <v>26.3</v>
      </c>
      <c r="M601">
        <v>96.9</v>
      </c>
      <c r="N601">
        <v>1.9</v>
      </c>
      <c r="O601">
        <v>210</v>
      </c>
      <c r="P601" t="s">
        <v>28</v>
      </c>
    </row>
    <row r="602" spans="1:16" x14ac:dyDescent="0.25">
      <c r="A602" t="s">
        <v>661</v>
      </c>
      <c r="B602" s="2">
        <v>45860</v>
      </c>
      <c r="C602" t="s">
        <v>54</v>
      </c>
      <c r="D602" t="s">
        <v>18</v>
      </c>
      <c r="E602" t="s">
        <v>61</v>
      </c>
      <c r="F602">
        <v>15.1</v>
      </c>
      <c r="G602">
        <v>196.1</v>
      </c>
      <c r="H602">
        <v>21.7</v>
      </c>
      <c r="I602">
        <v>31.2</v>
      </c>
      <c r="J602">
        <v>0.73</v>
      </c>
      <c r="K602">
        <v>23.4</v>
      </c>
      <c r="L602">
        <v>32.4</v>
      </c>
      <c r="M602">
        <v>76.3</v>
      </c>
      <c r="N602">
        <v>1.1000000000000001</v>
      </c>
      <c r="O602">
        <v>220</v>
      </c>
      <c r="P602" t="s">
        <v>28</v>
      </c>
    </row>
    <row r="603" spans="1:16" x14ac:dyDescent="0.25">
      <c r="A603" t="s">
        <v>662</v>
      </c>
      <c r="B603" s="2">
        <v>45677</v>
      </c>
      <c r="C603" t="s">
        <v>52</v>
      </c>
      <c r="D603" t="s">
        <v>31</v>
      </c>
      <c r="E603" t="s">
        <v>27</v>
      </c>
      <c r="F603">
        <v>45.9</v>
      </c>
      <c r="G603">
        <v>92</v>
      </c>
      <c r="H603">
        <v>50.9</v>
      </c>
      <c r="I603">
        <v>23.1</v>
      </c>
      <c r="J603">
        <v>0.7</v>
      </c>
      <c r="K603">
        <v>14.8</v>
      </c>
      <c r="L603">
        <v>16.2</v>
      </c>
      <c r="M603">
        <v>54.3</v>
      </c>
      <c r="N603">
        <v>1.4</v>
      </c>
      <c r="O603">
        <v>214</v>
      </c>
      <c r="P603" t="s">
        <v>28</v>
      </c>
    </row>
    <row r="604" spans="1:16" x14ac:dyDescent="0.25">
      <c r="A604" t="s">
        <v>663</v>
      </c>
      <c r="B604" s="2">
        <v>45923</v>
      </c>
      <c r="C604" t="s">
        <v>38</v>
      </c>
      <c r="D604" t="s">
        <v>39</v>
      </c>
      <c r="E604" t="s">
        <v>27</v>
      </c>
      <c r="F604">
        <v>26.9</v>
      </c>
      <c r="G604">
        <v>162.4</v>
      </c>
      <c r="H604">
        <v>27.4</v>
      </c>
      <c r="I604">
        <v>5.2</v>
      </c>
      <c r="J604">
        <v>0.44</v>
      </c>
      <c r="K604">
        <v>36.4</v>
      </c>
      <c r="L604">
        <v>35</v>
      </c>
      <c r="M604">
        <v>86.3</v>
      </c>
      <c r="N604">
        <v>0.5</v>
      </c>
      <c r="O604">
        <v>202</v>
      </c>
      <c r="P604" t="s">
        <v>28</v>
      </c>
    </row>
    <row r="605" spans="1:16" x14ac:dyDescent="0.25">
      <c r="A605" t="s">
        <v>664</v>
      </c>
      <c r="B605" s="2">
        <v>45786</v>
      </c>
      <c r="C605" t="s">
        <v>35</v>
      </c>
      <c r="D605" t="s">
        <v>36</v>
      </c>
      <c r="E605" t="s">
        <v>58</v>
      </c>
      <c r="F605">
        <v>44.1</v>
      </c>
      <c r="G605">
        <v>69.8</v>
      </c>
      <c r="H605">
        <v>44</v>
      </c>
      <c r="I605">
        <v>3.3</v>
      </c>
      <c r="J605">
        <v>0.26</v>
      </c>
      <c r="K605">
        <v>73.7</v>
      </c>
      <c r="L605">
        <v>22.8</v>
      </c>
      <c r="M605">
        <v>70.8</v>
      </c>
      <c r="N605">
        <v>2.2000000000000002</v>
      </c>
      <c r="O605">
        <v>193</v>
      </c>
      <c r="P605" t="s">
        <v>33</v>
      </c>
    </row>
    <row r="606" spans="1:16" x14ac:dyDescent="0.25">
      <c r="A606" t="s">
        <v>665</v>
      </c>
      <c r="B606" s="2">
        <v>45744</v>
      </c>
      <c r="C606" t="s">
        <v>666</v>
      </c>
      <c r="D606" t="s">
        <v>18</v>
      </c>
      <c r="E606" t="s">
        <v>24</v>
      </c>
      <c r="F606">
        <v>30.7</v>
      </c>
      <c r="G606">
        <v>60.9</v>
      </c>
      <c r="H606">
        <v>19.8</v>
      </c>
      <c r="I606">
        <v>4.8</v>
      </c>
      <c r="J606">
        <v>0.97</v>
      </c>
      <c r="K606">
        <v>34.9</v>
      </c>
      <c r="L606">
        <v>19.2</v>
      </c>
      <c r="M606">
        <v>66.7</v>
      </c>
      <c r="N606">
        <v>1.1000000000000001</v>
      </c>
      <c r="O606">
        <v>148</v>
      </c>
      <c r="P606" t="s">
        <v>33</v>
      </c>
    </row>
    <row r="607" spans="1:16" x14ac:dyDescent="0.25">
      <c r="A607" t="s">
        <v>667</v>
      </c>
      <c r="B607" s="2">
        <v>45983</v>
      </c>
      <c r="C607" t="s">
        <v>26</v>
      </c>
      <c r="D607" t="s">
        <v>23</v>
      </c>
      <c r="E607" t="s">
        <v>70</v>
      </c>
      <c r="F607">
        <v>68.900000000000006</v>
      </c>
      <c r="G607">
        <v>42.7</v>
      </c>
      <c r="H607">
        <v>16</v>
      </c>
      <c r="I607">
        <v>21.6</v>
      </c>
      <c r="J607">
        <v>0.41</v>
      </c>
      <c r="K607">
        <v>42.4</v>
      </c>
      <c r="L607">
        <v>35.9</v>
      </c>
      <c r="M607">
        <v>71.5</v>
      </c>
      <c r="N607">
        <v>1.7</v>
      </c>
      <c r="O607">
        <v>195</v>
      </c>
      <c r="P607" t="s">
        <v>33</v>
      </c>
    </row>
    <row r="608" spans="1:16" x14ac:dyDescent="0.25">
      <c r="A608" t="s">
        <v>668</v>
      </c>
      <c r="B608" s="2">
        <v>45762</v>
      </c>
      <c r="C608" t="s">
        <v>52</v>
      </c>
      <c r="D608" t="s">
        <v>31</v>
      </c>
      <c r="E608" t="s">
        <v>32</v>
      </c>
      <c r="F608">
        <v>36.5</v>
      </c>
      <c r="G608">
        <v>85.4</v>
      </c>
      <c r="H608">
        <v>38.299999999999997</v>
      </c>
      <c r="I608">
        <v>7.1</v>
      </c>
      <c r="J608">
        <v>1.64</v>
      </c>
      <c r="K608">
        <v>11.6</v>
      </c>
      <c r="L608">
        <v>28.5</v>
      </c>
      <c r="M608">
        <v>40.6</v>
      </c>
      <c r="N608">
        <v>2.6</v>
      </c>
      <c r="O608">
        <v>196</v>
      </c>
      <c r="P608" t="s">
        <v>33</v>
      </c>
    </row>
    <row r="609" spans="1:16" x14ac:dyDescent="0.25">
      <c r="A609" t="s">
        <v>669</v>
      </c>
      <c r="B609" s="2">
        <v>45872</v>
      </c>
      <c r="C609" t="s">
        <v>81</v>
      </c>
      <c r="D609" t="s">
        <v>39</v>
      </c>
      <c r="E609" t="s">
        <v>70</v>
      </c>
      <c r="F609">
        <v>28.8</v>
      </c>
      <c r="G609">
        <v>71.900000000000006</v>
      </c>
      <c r="H609">
        <v>16.100000000000001</v>
      </c>
      <c r="I609">
        <v>18.5</v>
      </c>
      <c r="J609">
        <v>1.72</v>
      </c>
      <c r="K609">
        <v>57.1</v>
      </c>
      <c r="L609">
        <v>30.2</v>
      </c>
      <c r="M609">
        <v>75.400000000000006</v>
      </c>
      <c r="N609">
        <v>1</v>
      </c>
      <c r="O609">
        <v>187</v>
      </c>
      <c r="P609" t="s">
        <v>33</v>
      </c>
    </row>
    <row r="610" spans="1:16" x14ac:dyDescent="0.25">
      <c r="A610" t="s">
        <v>670</v>
      </c>
      <c r="B610" s="2">
        <v>45769</v>
      </c>
      <c r="C610" t="s">
        <v>38</v>
      </c>
      <c r="D610" t="s">
        <v>39</v>
      </c>
      <c r="E610" t="s">
        <v>19</v>
      </c>
      <c r="F610">
        <v>38.799999999999997</v>
      </c>
      <c r="G610">
        <v>113.2</v>
      </c>
      <c r="H610">
        <v>22.7</v>
      </c>
      <c r="I610">
        <v>10</v>
      </c>
      <c r="J610">
        <v>1.75</v>
      </c>
      <c r="K610">
        <v>19.399999999999999</v>
      </c>
      <c r="L610">
        <v>33.4</v>
      </c>
      <c r="M610">
        <v>62</v>
      </c>
      <c r="N610">
        <v>0.8</v>
      </c>
      <c r="O610">
        <v>213</v>
      </c>
      <c r="P610" t="s">
        <v>28</v>
      </c>
    </row>
    <row r="611" spans="1:16" x14ac:dyDescent="0.25">
      <c r="A611" t="s">
        <v>671</v>
      </c>
      <c r="B611" s="2">
        <v>45774</v>
      </c>
      <c r="C611" t="s">
        <v>93</v>
      </c>
      <c r="D611" t="s">
        <v>36</v>
      </c>
      <c r="E611" t="s">
        <v>43</v>
      </c>
      <c r="F611">
        <v>29.8</v>
      </c>
      <c r="G611">
        <v>136.80000000000001</v>
      </c>
      <c r="H611">
        <v>23.2</v>
      </c>
      <c r="I611">
        <v>2.7</v>
      </c>
      <c r="J611">
        <v>1.03</v>
      </c>
      <c r="K611">
        <v>54.1</v>
      </c>
      <c r="L611">
        <v>35.799999999999997</v>
      </c>
      <c r="M611">
        <v>59.4</v>
      </c>
      <c r="N611">
        <v>3.2</v>
      </c>
      <c r="O611">
        <v>207</v>
      </c>
      <c r="P611" t="s">
        <v>28</v>
      </c>
    </row>
    <row r="612" spans="1:16" x14ac:dyDescent="0.25">
      <c r="A612" t="s">
        <v>672</v>
      </c>
      <c r="B612" s="2">
        <v>45861</v>
      </c>
      <c r="C612" t="s">
        <v>64</v>
      </c>
      <c r="D612" t="s">
        <v>36</v>
      </c>
      <c r="E612" t="s">
        <v>61</v>
      </c>
      <c r="F612">
        <v>101.6</v>
      </c>
      <c r="G612">
        <v>57.1</v>
      </c>
      <c r="H612">
        <v>34.299999999999997</v>
      </c>
      <c r="I612">
        <v>6.2</v>
      </c>
      <c r="J612">
        <v>0.23</v>
      </c>
      <c r="K612">
        <v>6.5</v>
      </c>
      <c r="L612">
        <v>32.6</v>
      </c>
      <c r="M612">
        <v>58.5</v>
      </c>
      <c r="N612">
        <v>1.2</v>
      </c>
      <c r="O612">
        <v>240</v>
      </c>
      <c r="P612" t="s">
        <v>28</v>
      </c>
    </row>
    <row r="613" spans="1:16" x14ac:dyDescent="0.25">
      <c r="A613" t="s">
        <v>673</v>
      </c>
      <c r="B613" s="2">
        <v>45786</v>
      </c>
      <c r="C613" t="s">
        <v>35</v>
      </c>
      <c r="D613" t="s">
        <v>36</v>
      </c>
      <c r="E613" t="s">
        <v>40</v>
      </c>
      <c r="F613">
        <v>30.4</v>
      </c>
      <c r="G613">
        <v>76.599999999999994</v>
      </c>
      <c r="H613">
        <v>57.8</v>
      </c>
      <c r="I613">
        <v>17.7</v>
      </c>
      <c r="J613">
        <v>1.1100000000000001</v>
      </c>
      <c r="K613">
        <v>10.3</v>
      </c>
      <c r="L613">
        <v>21.2</v>
      </c>
      <c r="M613">
        <v>75.8</v>
      </c>
      <c r="N613">
        <v>2.8</v>
      </c>
      <c r="O613">
        <v>189</v>
      </c>
      <c r="P613" t="s">
        <v>33</v>
      </c>
    </row>
    <row r="614" spans="1:16" x14ac:dyDescent="0.25">
      <c r="A614" t="s">
        <v>674</v>
      </c>
      <c r="B614" s="2">
        <v>45845</v>
      </c>
      <c r="C614" t="s">
        <v>26</v>
      </c>
      <c r="D614" t="s">
        <v>23</v>
      </c>
      <c r="E614" t="s">
        <v>45</v>
      </c>
      <c r="F614">
        <v>71.400000000000006</v>
      </c>
      <c r="G614">
        <v>80</v>
      </c>
      <c r="H614">
        <v>51.9</v>
      </c>
      <c r="I614">
        <v>1.1000000000000001</v>
      </c>
      <c r="J614">
        <v>0.96</v>
      </c>
      <c r="K614">
        <v>35.200000000000003</v>
      </c>
      <c r="L614">
        <v>27.3</v>
      </c>
      <c r="M614">
        <v>31.5</v>
      </c>
      <c r="N614">
        <v>1.9</v>
      </c>
      <c r="O614">
        <v>248</v>
      </c>
      <c r="P614" t="s">
        <v>28</v>
      </c>
    </row>
    <row r="615" spans="1:16" x14ac:dyDescent="0.25">
      <c r="A615" t="s">
        <v>675</v>
      </c>
      <c r="B615" s="2">
        <v>45900</v>
      </c>
      <c r="C615" t="s">
        <v>77</v>
      </c>
      <c r="D615" t="s">
        <v>39</v>
      </c>
      <c r="E615" t="s">
        <v>40</v>
      </c>
      <c r="F615">
        <v>58.3</v>
      </c>
      <c r="G615">
        <v>39.700000000000003</v>
      </c>
      <c r="H615">
        <v>17.7</v>
      </c>
      <c r="I615">
        <v>21.7</v>
      </c>
      <c r="J615">
        <v>0.42</v>
      </c>
      <c r="K615">
        <v>48.6</v>
      </c>
      <c r="L615">
        <v>22.7</v>
      </c>
      <c r="M615">
        <v>50.9</v>
      </c>
      <c r="N615">
        <v>1.6</v>
      </c>
      <c r="O615">
        <v>181</v>
      </c>
      <c r="P615" t="s">
        <v>33</v>
      </c>
    </row>
    <row r="616" spans="1:16" x14ac:dyDescent="0.25">
      <c r="A616" t="s">
        <v>676</v>
      </c>
      <c r="B616" s="2">
        <v>45848</v>
      </c>
      <c r="C616" t="s">
        <v>77</v>
      </c>
      <c r="D616" t="s">
        <v>39</v>
      </c>
      <c r="E616" t="s">
        <v>55</v>
      </c>
      <c r="F616">
        <v>69.8</v>
      </c>
      <c r="G616">
        <v>120.7</v>
      </c>
      <c r="H616">
        <v>25.7</v>
      </c>
      <c r="I616">
        <v>24.5</v>
      </c>
      <c r="J616">
        <v>0.18</v>
      </c>
      <c r="K616">
        <v>53.5</v>
      </c>
      <c r="L616">
        <v>27.7</v>
      </c>
      <c r="M616">
        <v>85.1</v>
      </c>
      <c r="N616">
        <v>1.2</v>
      </c>
      <c r="O616">
        <v>256</v>
      </c>
      <c r="P616" t="s">
        <v>28</v>
      </c>
    </row>
    <row r="617" spans="1:16" x14ac:dyDescent="0.25">
      <c r="A617" t="s">
        <v>677</v>
      </c>
      <c r="B617" s="2">
        <v>45909</v>
      </c>
      <c r="C617" t="s">
        <v>99</v>
      </c>
      <c r="D617" t="s">
        <v>36</v>
      </c>
      <c r="E617" t="s">
        <v>97</v>
      </c>
      <c r="F617">
        <v>17.8</v>
      </c>
      <c r="G617">
        <v>39.700000000000003</v>
      </c>
      <c r="H617">
        <v>6.5</v>
      </c>
      <c r="I617">
        <v>19.899999999999999</v>
      </c>
      <c r="J617">
        <v>1.04</v>
      </c>
      <c r="K617">
        <v>60.7</v>
      </c>
      <c r="L617">
        <v>29.7</v>
      </c>
      <c r="M617">
        <v>61.8</v>
      </c>
      <c r="N617">
        <v>2.7</v>
      </c>
      <c r="O617">
        <v>127</v>
      </c>
      <c r="P617" t="s">
        <v>33</v>
      </c>
    </row>
    <row r="618" spans="1:16" x14ac:dyDescent="0.25">
      <c r="A618" t="s">
        <v>678</v>
      </c>
      <c r="B618" s="2">
        <v>45956</v>
      </c>
      <c r="C618" t="s">
        <v>54</v>
      </c>
      <c r="D618" t="s">
        <v>18</v>
      </c>
      <c r="E618" t="s">
        <v>45</v>
      </c>
      <c r="F618">
        <v>30.6</v>
      </c>
      <c r="G618">
        <v>27.7</v>
      </c>
      <c r="H618">
        <v>30.1</v>
      </c>
      <c r="I618">
        <v>12.1</v>
      </c>
      <c r="J618">
        <v>0.32</v>
      </c>
      <c r="K618">
        <v>24.2</v>
      </c>
      <c r="L618">
        <v>23</v>
      </c>
      <c r="M618">
        <v>67.099999999999994</v>
      </c>
      <c r="N618">
        <v>3.1</v>
      </c>
      <c r="O618">
        <v>118</v>
      </c>
      <c r="P618" t="s">
        <v>33</v>
      </c>
    </row>
    <row r="619" spans="1:16" x14ac:dyDescent="0.25">
      <c r="A619" t="s">
        <v>679</v>
      </c>
      <c r="B619" s="2">
        <v>45711</v>
      </c>
      <c r="C619" t="s">
        <v>38</v>
      </c>
      <c r="D619" t="s">
        <v>39</v>
      </c>
      <c r="E619" t="s">
        <v>74</v>
      </c>
      <c r="F619">
        <v>90.5</v>
      </c>
      <c r="G619">
        <v>84.9</v>
      </c>
      <c r="H619">
        <v>17.5</v>
      </c>
      <c r="I619">
        <v>11.3</v>
      </c>
      <c r="J619">
        <v>0.48</v>
      </c>
      <c r="K619">
        <v>37.9</v>
      </c>
      <c r="L619">
        <v>24.2</v>
      </c>
      <c r="M619">
        <v>89.9</v>
      </c>
      <c r="N619">
        <v>1.8</v>
      </c>
      <c r="O619">
        <v>251</v>
      </c>
      <c r="P619" t="s">
        <v>28</v>
      </c>
    </row>
    <row r="620" spans="1:16" x14ac:dyDescent="0.25">
      <c r="A620" t="s">
        <v>680</v>
      </c>
      <c r="B620" s="2">
        <v>45700</v>
      </c>
      <c r="C620" t="s">
        <v>42</v>
      </c>
      <c r="D620" t="s">
        <v>23</v>
      </c>
      <c r="E620" t="s">
        <v>55</v>
      </c>
      <c r="F620">
        <v>69.2</v>
      </c>
      <c r="G620">
        <v>68.400000000000006</v>
      </c>
      <c r="H620">
        <v>32.299999999999997</v>
      </c>
      <c r="I620">
        <v>10</v>
      </c>
      <c r="J620">
        <v>1.07</v>
      </c>
      <c r="K620">
        <v>37.200000000000003</v>
      </c>
      <c r="L620">
        <v>27.7</v>
      </c>
      <c r="M620">
        <v>77</v>
      </c>
      <c r="N620">
        <v>1.3</v>
      </c>
      <c r="O620">
        <v>232</v>
      </c>
      <c r="P620" t="s">
        <v>28</v>
      </c>
    </row>
    <row r="621" spans="1:16" x14ac:dyDescent="0.25">
      <c r="A621" t="s">
        <v>681</v>
      </c>
      <c r="B621" s="2">
        <v>45821</v>
      </c>
      <c r="C621" t="s">
        <v>26</v>
      </c>
      <c r="D621" t="s">
        <v>23</v>
      </c>
      <c r="E621" t="s">
        <v>58</v>
      </c>
      <c r="F621">
        <v>40.1</v>
      </c>
      <c r="G621">
        <v>65</v>
      </c>
      <c r="H621">
        <v>42.6</v>
      </c>
      <c r="I621">
        <v>5</v>
      </c>
      <c r="J621">
        <v>1.0900000000000001</v>
      </c>
      <c r="K621">
        <v>16.8</v>
      </c>
      <c r="L621">
        <v>31.3</v>
      </c>
      <c r="M621">
        <v>61.9</v>
      </c>
      <c r="N621">
        <v>2.9</v>
      </c>
      <c r="O621">
        <v>179</v>
      </c>
      <c r="P621" t="s">
        <v>33</v>
      </c>
    </row>
    <row r="622" spans="1:16" x14ac:dyDescent="0.25">
      <c r="A622" t="s">
        <v>682</v>
      </c>
      <c r="B622" s="2">
        <v>45917</v>
      </c>
      <c r="C622" t="s">
        <v>35</v>
      </c>
      <c r="D622" t="s">
        <v>36</v>
      </c>
      <c r="E622" t="s">
        <v>43</v>
      </c>
      <c r="F622">
        <v>34.700000000000003</v>
      </c>
      <c r="G622">
        <v>135.19999999999999</v>
      </c>
      <c r="H622">
        <v>7.4</v>
      </c>
      <c r="I622">
        <v>0.8</v>
      </c>
      <c r="J622">
        <v>0.53</v>
      </c>
      <c r="K622">
        <v>31.1</v>
      </c>
      <c r="L622">
        <v>25.7</v>
      </c>
      <c r="M622">
        <v>64.900000000000006</v>
      </c>
      <c r="N622">
        <v>2</v>
      </c>
      <c r="O622">
        <v>177</v>
      </c>
      <c r="P622" t="s">
        <v>33</v>
      </c>
    </row>
    <row r="623" spans="1:16" x14ac:dyDescent="0.25">
      <c r="A623" t="s">
        <v>683</v>
      </c>
      <c r="B623" s="2">
        <v>45962</v>
      </c>
      <c r="C623" t="s">
        <v>22</v>
      </c>
      <c r="D623" t="s">
        <v>23</v>
      </c>
      <c r="E623" t="s">
        <v>70</v>
      </c>
      <c r="F623">
        <v>26.3</v>
      </c>
      <c r="G623">
        <v>44.8</v>
      </c>
      <c r="H623">
        <v>14</v>
      </c>
      <c r="I623">
        <v>10.1</v>
      </c>
      <c r="J623">
        <v>0.47</v>
      </c>
      <c r="K623">
        <v>16.399999999999999</v>
      </c>
      <c r="L623">
        <v>25.7</v>
      </c>
      <c r="M623">
        <v>64.8</v>
      </c>
      <c r="N623">
        <v>1.5</v>
      </c>
      <c r="O623">
        <v>109</v>
      </c>
      <c r="P623" t="s">
        <v>33</v>
      </c>
    </row>
    <row r="624" spans="1:16" x14ac:dyDescent="0.25">
      <c r="A624" t="s">
        <v>684</v>
      </c>
      <c r="B624" s="2">
        <v>45822</v>
      </c>
      <c r="C624" t="s">
        <v>17</v>
      </c>
      <c r="D624" t="s">
        <v>18</v>
      </c>
      <c r="E624" t="s">
        <v>68</v>
      </c>
      <c r="F624">
        <v>28.7</v>
      </c>
      <c r="G624">
        <v>157.4</v>
      </c>
      <c r="H624">
        <v>44.9</v>
      </c>
      <c r="I624">
        <v>5.7</v>
      </c>
      <c r="J624">
        <v>1.24</v>
      </c>
      <c r="K624">
        <v>41.1</v>
      </c>
      <c r="L624">
        <v>23.3</v>
      </c>
      <c r="M624">
        <v>67.400000000000006</v>
      </c>
      <c r="N624">
        <v>3</v>
      </c>
      <c r="O624">
        <v>238</v>
      </c>
      <c r="P624" t="s">
        <v>28</v>
      </c>
    </row>
    <row r="625" spans="1:16" x14ac:dyDescent="0.25">
      <c r="A625" t="s">
        <v>685</v>
      </c>
      <c r="B625" s="2">
        <v>45962</v>
      </c>
      <c r="C625" t="s">
        <v>17</v>
      </c>
      <c r="D625" t="s">
        <v>18</v>
      </c>
      <c r="E625" t="s">
        <v>27</v>
      </c>
      <c r="F625">
        <v>81.5</v>
      </c>
      <c r="G625">
        <v>55.8</v>
      </c>
      <c r="H625">
        <v>19.899999999999999</v>
      </c>
      <c r="I625">
        <v>17.399999999999999</v>
      </c>
      <c r="J625">
        <v>0.82</v>
      </c>
      <c r="K625">
        <v>17.899999999999999</v>
      </c>
      <c r="L625">
        <v>15.7</v>
      </c>
      <c r="M625">
        <v>66.900000000000006</v>
      </c>
      <c r="N625">
        <v>2.2000000000000002</v>
      </c>
      <c r="O625">
        <v>223</v>
      </c>
      <c r="P625" t="s">
        <v>28</v>
      </c>
    </row>
    <row r="626" spans="1:16" x14ac:dyDescent="0.25">
      <c r="A626" t="s">
        <v>686</v>
      </c>
      <c r="B626" s="2">
        <v>45726</v>
      </c>
      <c r="C626" t="s">
        <v>67</v>
      </c>
      <c r="D626" t="s">
        <v>18</v>
      </c>
      <c r="E626" t="s">
        <v>24</v>
      </c>
      <c r="F626">
        <v>41.8</v>
      </c>
      <c r="G626">
        <v>153</v>
      </c>
      <c r="H626">
        <v>57.9</v>
      </c>
      <c r="I626">
        <v>9.8000000000000007</v>
      </c>
      <c r="J626">
        <v>2.2400000000000002</v>
      </c>
      <c r="K626">
        <v>91.9</v>
      </c>
      <c r="L626">
        <v>28.6</v>
      </c>
      <c r="M626">
        <v>69.400000000000006</v>
      </c>
      <c r="N626">
        <v>2.8</v>
      </c>
      <c r="O626">
        <v>317</v>
      </c>
      <c r="P626" t="s">
        <v>20</v>
      </c>
    </row>
    <row r="627" spans="1:16" x14ac:dyDescent="0.25">
      <c r="A627" t="s">
        <v>687</v>
      </c>
      <c r="B627" s="2">
        <v>45913</v>
      </c>
      <c r="C627" t="s">
        <v>81</v>
      </c>
      <c r="D627" t="s">
        <v>39</v>
      </c>
      <c r="E627" t="s">
        <v>70</v>
      </c>
      <c r="F627">
        <v>52.5</v>
      </c>
      <c r="G627">
        <v>45.1</v>
      </c>
      <c r="H627">
        <v>44.8</v>
      </c>
      <c r="I627">
        <v>20.2</v>
      </c>
      <c r="J627">
        <v>0.7</v>
      </c>
      <c r="K627">
        <v>31.6</v>
      </c>
      <c r="L627">
        <v>29.1</v>
      </c>
      <c r="M627">
        <v>46</v>
      </c>
      <c r="N627">
        <v>2.2000000000000002</v>
      </c>
      <c r="O627">
        <v>195</v>
      </c>
      <c r="P627" t="s">
        <v>33</v>
      </c>
    </row>
    <row r="628" spans="1:16" x14ac:dyDescent="0.25">
      <c r="A628" t="s">
        <v>688</v>
      </c>
      <c r="B628" s="2">
        <v>45906</v>
      </c>
      <c r="C628" t="s">
        <v>38</v>
      </c>
      <c r="D628" t="s">
        <v>39</v>
      </c>
      <c r="E628" t="s">
        <v>40</v>
      </c>
      <c r="F628">
        <v>51.4</v>
      </c>
      <c r="G628">
        <v>61.1</v>
      </c>
      <c r="H628">
        <v>62.6</v>
      </c>
      <c r="I628">
        <v>3.4</v>
      </c>
      <c r="J628">
        <v>0.68</v>
      </c>
      <c r="K628">
        <v>30.6</v>
      </c>
      <c r="L628">
        <v>35.1</v>
      </c>
      <c r="M628">
        <v>78.7</v>
      </c>
      <c r="N628">
        <v>3.1</v>
      </c>
      <c r="O628">
        <v>205</v>
      </c>
      <c r="P628" t="s">
        <v>28</v>
      </c>
    </row>
    <row r="629" spans="1:16" x14ac:dyDescent="0.25">
      <c r="A629" t="s">
        <v>689</v>
      </c>
      <c r="B629" s="2">
        <v>45953</v>
      </c>
      <c r="C629" t="s">
        <v>54</v>
      </c>
      <c r="D629" t="s">
        <v>18</v>
      </c>
      <c r="E629" t="s">
        <v>27</v>
      </c>
      <c r="F629">
        <v>44</v>
      </c>
      <c r="G629">
        <v>235.4</v>
      </c>
      <c r="H629">
        <v>4.5999999999999996</v>
      </c>
      <c r="I629">
        <v>2.6</v>
      </c>
      <c r="J629">
        <v>0.4</v>
      </c>
      <c r="K629">
        <v>25.3</v>
      </c>
      <c r="L629">
        <v>20.9</v>
      </c>
      <c r="M629">
        <v>84.6</v>
      </c>
      <c r="N629">
        <v>2.2000000000000002</v>
      </c>
      <c r="O629">
        <v>250</v>
      </c>
      <c r="P629" t="s">
        <v>28</v>
      </c>
    </row>
    <row r="630" spans="1:16" x14ac:dyDescent="0.25">
      <c r="A630" t="s">
        <v>690</v>
      </c>
      <c r="B630" s="2">
        <v>45660</v>
      </c>
      <c r="C630" t="s">
        <v>30</v>
      </c>
      <c r="D630" t="s">
        <v>31</v>
      </c>
      <c r="E630" t="s">
        <v>91</v>
      </c>
      <c r="F630">
        <v>64.5</v>
      </c>
      <c r="G630">
        <v>121</v>
      </c>
      <c r="H630">
        <v>14.8</v>
      </c>
      <c r="I630">
        <v>4.0999999999999996</v>
      </c>
      <c r="J630">
        <v>0.62</v>
      </c>
      <c r="K630">
        <v>24.1</v>
      </c>
      <c r="L630">
        <v>22.1</v>
      </c>
      <c r="M630">
        <v>66.7</v>
      </c>
      <c r="N630">
        <v>2.4</v>
      </c>
      <c r="O630">
        <v>223</v>
      </c>
      <c r="P630" t="s">
        <v>28</v>
      </c>
    </row>
    <row r="631" spans="1:16" x14ac:dyDescent="0.25">
      <c r="A631" t="s">
        <v>691</v>
      </c>
      <c r="B631" s="2">
        <v>45908</v>
      </c>
      <c r="C631" t="s">
        <v>17</v>
      </c>
      <c r="D631" t="s">
        <v>18</v>
      </c>
      <c r="E631" t="s">
        <v>74</v>
      </c>
      <c r="F631">
        <v>23</v>
      </c>
      <c r="G631">
        <v>35.9</v>
      </c>
      <c r="H631">
        <v>35.799999999999997</v>
      </c>
      <c r="I631">
        <v>1</v>
      </c>
      <c r="J631">
        <v>0.62</v>
      </c>
      <c r="K631">
        <v>22.4</v>
      </c>
      <c r="L631">
        <v>32.700000000000003</v>
      </c>
      <c r="M631">
        <v>53.2</v>
      </c>
      <c r="N631">
        <v>2.1</v>
      </c>
      <c r="O631">
        <v>115</v>
      </c>
      <c r="P631" t="s">
        <v>33</v>
      </c>
    </row>
    <row r="632" spans="1:16" x14ac:dyDescent="0.25">
      <c r="A632" t="s">
        <v>692</v>
      </c>
      <c r="B632" s="2">
        <v>45851</v>
      </c>
      <c r="C632" t="s">
        <v>93</v>
      </c>
      <c r="D632" t="s">
        <v>36</v>
      </c>
      <c r="E632" t="s">
        <v>61</v>
      </c>
      <c r="F632">
        <v>41.9</v>
      </c>
      <c r="G632">
        <v>43.1</v>
      </c>
      <c r="H632">
        <v>27.7</v>
      </c>
      <c r="I632">
        <v>1.9</v>
      </c>
      <c r="J632">
        <v>0.18</v>
      </c>
      <c r="K632">
        <v>22.8</v>
      </c>
      <c r="L632">
        <v>23.5</v>
      </c>
      <c r="M632">
        <v>70.3</v>
      </c>
      <c r="N632">
        <v>3.9</v>
      </c>
      <c r="O632">
        <v>133</v>
      </c>
      <c r="P632" t="s">
        <v>33</v>
      </c>
    </row>
    <row r="633" spans="1:16" x14ac:dyDescent="0.25">
      <c r="A633" t="s">
        <v>693</v>
      </c>
      <c r="B633" s="2">
        <v>45963</v>
      </c>
      <c r="C633" t="s">
        <v>93</v>
      </c>
      <c r="D633" t="s">
        <v>36</v>
      </c>
      <c r="E633" t="s">
        <v>45</v>
      </c>
      <c r="F633">
        <v>108.6</v>
      </c>
      <c r="G633">
        <v>97.4</v>
      </c>
      <c r="H633">
        <v>39</v>
      </c>
      <c r="I633">
        <v>11.9</v>
      </c>
      <c r="J633">
        <v>0.6</v>
      </c>
      <c r="K633">
        <v>63.7</v>
      </c>
      <c r="L633">
        <v>24.5</v>
      </c>
      <c r="M633">
        <v>52.4</v>
      </c>
      <c r="N633">
        <v>2.4</v>
      </c>
      <c r="O633">
        <v>320</v>
      </c>
      <c r="P633" t="s">
        <v>20</v>
      </c>
    </row>
    <row r="634" spans="1:16" x14ac:dyDescent="0.25">
      <c r="A634" t="s">
        <v>694</v>
      </c>
      <c r="B634" s="2">
        <v>45962</v>
      </c>
      <c r="C634" t="s">
        <v>26</v>
      </c>
      <c r="D634" t="s">
        <v>23</v>
      </c>
      <c r="E634" t="s">
        <v>27</v>
      </c>
      <c r="F634">
        <v>78.099999999999994</v>
      </c>
      <c r="G634">
        <v>125.1</v>
      </c>
      <c r="H634">
        <v>11.2</v>
      </c>
      <c r="I634">
        <v>34.299999999999997</v>
      </c>
      <c r="J634">
        <v>0.26</v>
      </c>
      <c r="K634">
        <v>59</v>
      </c>
      <c r="L634">
        <v>26.4</v>
      </c>
      <c r="M634">
        <v>81.5</v>
      </c>
      <c r="N634">
        <v>2</v>
      </c>
      <c r="O634">
        <v>272</v>
      </c>
      <c r="P634" t="s">
        <v>28</v>
      </c>
    </row>
    <row r="635" spans="1:16" x14ac:dyDescent="0.25">
      <c r="A635" t="s">
        <v>695</v>
      </c>
      <c r="B635" s="2">
        <v>45787</v>
      </c>
      <c r="C635" t="s">
        <v>99</v>
      </c>
      <c r="D635" t="s">
        <v>36</v>
      </c>
      <c r="E635" t="s">
        <v>24</v>
      </c>
      <c r="F635">
        <v>86</v>
      </c>
      <c r="G635">
        <v>104.3</v>
      </c>
      <c r="H635">
        <v>21.1</v>
      </c>
      <c r="I635">
        <v>13.7</v>
      </c>
      <c r="J635">
        <v>0.57999999999999996</v>
      </c>
      <c r="K635">
        <v>55.7</v>
      </c>
      <c r="L635">
        <v>18</v>
      </c>
      <c r="M635">
        <v>66.8</v>
      </c>
      <c r="N635">
        <v>2.7</v>
      </c>
      <c r="O635">
        <v>271</v>
      </c>
      <c r="P635" t="s">
        <v>28</v>
      </c>
    </row>
    <row r="636" spans="1:16" x14ac:dyDescent="0.25">
      <c r="A636" t="s">
        <v>696</v>
      </c>
      <c r="B636" s="2">
        <v>45863</v>
      </c>
      <c r="C636" t="s">
        <v>50</v>
      </c>
      <c r="D636" t="s">
        <v>31</v>
      </c>
      <c r="E636" t="s">
        <v>40</v>
      </c>
      <c r="F636">
        <v>51.6</v>
      </c>
      <c r="G636">
        <v>55.1</v>
      </c>
      <c r="H636">
        <v>25.2</v>
      </c>
      <c r="I636">
        <v>25.7</v>
      </c>
      <c r="J636">
        <v>2.11</v>
      </c>
      <c r="K636">
        <v>37</v>
      </c>
      <c r="L636">
        <v>18.8</v>
      </c>
      <c r="M636">
        <v>82.4</v>
      </c>
      <c r="N636">
        <v>0.6</v>
      </c>
      <c r="O636">
        <v>226</v>
      </c>
      <c r="P636" t="s">
        <v>28</v>
      </c>
    </row>
    <row r="637" spans="1:16" x14ac:dyDescent="0.25">
      <c r="A637" t="s">
        <v>697</v>
      </c>
      <c r="B637" s="2">
        <v>45683</v>
      </c>
      <c r="C637" t="s">
        <v>81</v>
      </c>
      <c r="D637" t="s">
        <v>39</v>
      </c>
      <c r="E637" t="s">
        <v>70</v>
      </c>
      <c r="F637">
        <v>34.6</v>
      </c>
      <c r="G637">
        <v>46.3</v>
      </c>
      <c r="H637">
        <v>84.2</v>
      </c>
      <c r="I637">
        <v>6.6</v>
      </c>
      <c r="J637">
        <v>0.03</v>
      </c>
      <c r="K637">
        <v>36.6</v>
      </c>
      <c r="L637">
        <v>26.5</v>
      </c>
      <c r="M637">
        <v>58.4</v>
      </c>
      <c r="N637">
        <v>2.2000000000000002</v>
      </c>
      <c r="O637">
        <v>175</v>
      </c>
      <c r="P637" t="s">
        <v>33</v>
      </c>
    </row>
    <row r="638" spans="1:16" x14ac:dyDescent="0.25">
      <c r="A638" t="s">
        <v>698</v>
      </c>
      <c r="B638" s="2">
        <v>45696</v>
      </c>
      <c r="C638" t="s">
        <v>81</v>
      </c>
      <c r="D638" t="s">
        <v>39</v>
      </c>
      <c r="E638" t="s">
        <v>68</v>
      </c>
      <c r="F638">
        <v>58.6</v>
      </c>
      <c r="G638">
        <v>90.3</v>
      </c>
      <c r="H638">
        <v>16.399999999999999</v>
      </c>
      <c r="I638">
        <v>14.6</v>
      </c>
      <c r="J638">
        <v>0.33</v>
      </c>
      <c r="K638">
        <v>47.8</v>
      </c>
      <c r="L638">
        <v>25.8</v>
      </c>
      <c r="M638">
        <v>91.3</v>
      </c>
      <c r="N638">
        <v>2.9</v>
      </c>
      <c r="O638">
        <v>206</v>
      </c>
      <c r="P638" t="s">
        <v>28</v>
      </c>
    </row>
    <row r="639" spans="1:16" x14ac:dyDescent="0.25">
      <c r="A639" t="s">
        <v>699</v>
      </c>
      <c r="B639" s="2">
        <v>45692</v>
      </c>
      <c r="C639" t="s">
        <v>42</v>
      </c>
      <c r="D639" t="s">
        <v>23</v>
      </c>
      <c r="E639" t="s">
        <v>43</v>
      </c>
      <c r="F639">
        <v>58</v>
      </c>
      <c r="G639">
        <v>121.2</v>
      </c>
      <c r="H639">
        <v>28.5</v>
      </c>
      <c r="I639">
        <v>6.1</v>
      </c>
      <c r="J639">
        <v>0.46</v>
      </c>
      <c r="K639">
        <v>33.200000000000003</v>
      </c>
      <c r="L639">
        <v>31.5</v>
      </c>
      <c r="M639">
        <v>55.4</v>
      </c>
      <c r="N639">
        <v>2.8</v>
      </c>
      <c r="O639">
        <v>225</v>
      </c>
      <c r="P639" t="s">
        <v>28</v>
      </c>
    </row>
    <row r="640" spans="1:16" x14ac:dyDescent="0.25">
      <c r="A640" t="s">
        <v>700</v>
      </c>
      <c r="B640" s="2">
        <v>45890</v>
      </c>
      <c r="C640" t="s">
        <v>22</v>
      </c>
      <c r="D640" t="s">
        <v>23</v>
      </c>
      <c r="E640" t="s">
        <v>74</v>
      </c>
      <c r="F640">
        <v>42.9</v>
      </c>
      <c r="G640">
        <v>89.7</v>
      </c>
      <c r="H640">
        <v>44.7</v>
      </c>
      <c r="I640">
        <v>7.7</v>
      </c>
      <c r="J640">
        <v>0.41</v>
      </c>
      <c r="K640">
        <v>19.7</v>
      </c>
      <c r="L640">
        <v>21.3</v>
      </c>
      <c r="M640">
        <v>70</v>
      </c>
      <c r="N640">
        <v>2.9</v>
      </c>
      <c r="O640">
        <v>187</v>
      </c>
      <c r="P640" t="s">
        <v>33</v>
      </c>
    </row>
    <row r="641" spans="1:16" x14ac:dyDescent="0.25">
      <c r="A641" t="s">
        <v>701</v>
      </c>
      <c r="B641" s="2">
        <v>45874</v>
      </c>
      <c r="C641" t="s">
        <v>42</v>
      </c>
      <c r="D641" t="s">
        <v>23</v>
      </c>
      <c r="E641" t="s">
        <v>40</v>
      </c>
      <c r="F641">
        <v>34</v>
      </c>
      <c r="G641">
        <v>75.900000000000006</v>
      </c>
      <c r="H641">
        <v>21.4</v>
      </c>
      <c r="I641">
        <v>16.399999999999999</v>
      </c>
      <c r="J641">
        <v>0.69</v>
      </c>
      <c r="K641">
        <v>31.1</v>
      </c>
      <c r="L641">
        <v>29.8</v>
      </c>
      <c r="M641">
        <v>82.7</v>
      </c>
      <c r="N641">
        <v>3.7</v>
      </c>
      <c r="O641">
        <v>164</v>
      </c>
      <c r="P641" t="s">
        <v>33</v>
      </c>
    </row>
    <row r="642" spans="1:16" x14ac:dyDescent="0.25">
      <c r="A642" t="s">
        <v>702</v>
      </c>
      <c r="B642" s="2">
        <v>45993</v>
      </c>
      <c r="C642" t="s">
        <v>35</v>
      </c>
      <c r="D642" t="s">
        <v>36</v>
      </c>
      <c r="E642" t="s">
        <v>68</v>
      </c>
      <c r="F642">
        <v>22</v>
      </c>
      <c r="G642">
        <v>32.299999999999997</v>
      </c>
      <c r="H642">
        <v>10.5</v>
      </c>
      <c r="I642">
        <v>12.3</v>
      </c>
      <c r="J642">
        <v>1.03</v>
      </c>
      <c r="K642">
        <v>7.3</v>
      </c>
      <c r="L642">
        <v>10.7</v>
      </c>
      <c r="M642">
        <v>72.2</v>
      </c>
      <c r="N642">
        <v>1.2</v>
      </c>
      <c r="O642">
        <v>102</v>
      </c>
      <c r="P642" t="s">
        <v>33</v>
      </c>
    </row>
    <row r="643" spans="1:16" x14ac:dyDescent="0.25">
      <c r="A643" t="s">
        <v>703</v>
      </c>
      <c r="B643" s="2">
        <v>45662</v>
      </c>
      <c r="C643" t="s">
        <v>17</v>
      </c>
      <c r="D643" t="s">
        <v>18</v>
      </c>
      <c r="E643" t="s">
        <v>27</v>
      </c>
      <c r="F643">
        <v>24.7</v>
      </c>
      <c r="G643">
        <v>139.80000000000001</v>
      </c>
      <c r="H643">
        <v>26.7</v>
      </c>
      <c r="I643">
        <v>23.8</v>
      </c>
      <c r="J643">
        <v>0.73</v>
      </c>
      <c r="K643">
        <v>44.8</v>
      </c>
      <c r="L643">
        <v>15.1</v>
      </c>
      <c r="M643">
        <v>88.7</v>
      </c>
      <c r="N643">
        <v>2.9</v>
      </c>
      <c r="O643">
        <v>207</v>
      </c>
      <c r="P643" t="s">
        <v>28</v>
      </c>
    </row>
    <row r="644" spans="1:16" x14ac:dyDescent="0.25">
      <c r="A644" t="s">
        <v>704</v>
      </c>
      <c r="B644" s="2">
        <v>45964</v>
      </c>
      <c r="C644" t="s">
        <v>52</v>
      </c>
      <c r="D644" t="s">
        <v>31</v>
      </c>
      <c r="E644" t="s">
        <v>68</v>
      </c>
      <c r="F644">
        <v>20.5</v>
      </c>
      <c r="G644">
        <v>24.8</v>
      </c>
      <c r="H644">
        <v>38.200000000000003</v>
      </c>
      <c r="I644">
        <v>5.5</v>
      </c>
      <c r="J644">
        <v>0.38</v>
      </c>
      <c r="K644">
        <v>60.2</v>
      </c>
      <c r="L644">
        <v>33.299999999999997</v>
      </c>
      <c r="M644">
        <v>48.3</v>
      </c>
      <c r="N644">
        <v>4.7</v>
      </c>
      <c r="O644">
        <v>120</v>
      </c>
      <c r="P644" t="s">
        <v>33</v>
      </c>
    </row>
    <row r="645" spans="1:16" x14ac:dyDescent="0.25">
      <c r="A645" t="s">
        <v>705</v>
      </c>
      <c r="B645" s="2">
        <v>45964</v>
      </c>
      <c r="C645" t="s">
        <v>17</v>
      </c>
      <c r="D645" t="s">
        <v>18</v>
      </c>
      <c r="E645" t="s">
        <v>74</v>
      </c>
      <c r="F645">
        <v>87.3</v>
      </c>
      <c r="G645">
        <v>31.2</v>
      </c>
      <c r="H645">
        <v>30.6</v>
      </c>
      <c r="I645">
        <v>30.6</v>
      </c>
      <c r="J645">
        <v>0.81</v>
      </c>
      <c r="K645">
        <v>35.1</v>
      </c>
      <c r="L645">
        <v>36.1</v>
      </c>
      <c r="M645">
        <v>63.7</v>
      </c>
      <c r="N645">
        <v>2.1</v>
      </c>
      <c r="O645">
        <v>242</v>
      </c>
      <c r="P645" t="s">
        <v>28</v>
      </c>
    </row>
    <row r="646" spans="1:16" x14ac:dyDescent="0.25">
      <c r="A646" t="s">
        <v>706</v>
      </c>
      <c r="B646" s="2">
        <v>45714</v>
      </c>
      <c r="C646" t="s">
        <v>64</v>
      </c>
      <c r="D646" t="s">
        <v>36</v>
      </c>
      <c r="E646" t="s">
        <v>97</v>
      </c>
      <c r="F646">
        <v>58</v>
      </c>
      <c r="G646">
        <v>146.1</v>
      </c>
      <c r="H646">
        <v>11.7</v>
      </c>
      <c r="I646">
        <v>17.399999999999999</v>
      </c>
      <c r="J646">
        <v>0.56000000000000005</v>
      </c>
      <c r="K646">
        <v>16.7</v>
      </c>
      <c r="L646">
        <v>29</v>
      </c>
      <c r="M646">
        <v>70.599999999999994</v>
      </c>
      <c r="N646">
        <v>1.5</v>
      </c>
      <c r="O646">
        <v>231</v>
      </c>
      <c r="P646" t="s">
        <v>28</v>
      </c>
    </row>
    <row r="647" spans="1:16" x14ac:dyDescent="0.25">
      <c r="A647" t="s">
        <v>707</v>
      </c>
      <c r="B647" s="2">
        <v>45727</v>
      </c>
      <c r="C647" t="s">
        <v>99</v>
      </c>
      <c r="D647" t="s">
        <v>36</v>
      </c>
      <c r="E647" t="s">
        <v>40</v>
      </c>
      <c r="F647">
        <v>77.2</v>
      </c>
      <c r="G647">
        <v>85.1</v>
      </c>
      <c r="H647">
        <v>8</v>
      </c>
      <c r="I647">
        <v>5.5</v>
      </c>
      <c r="J647">
        <v>1.19</v>
      </c>
      <c r="K647">
        <v>36.5</v>
      </c>
      <c r="L647">
        <v>19.2</v>
      </c>
      <c r="M647">
        <v>59.1</v>
      </c>
      <c r="N647">
        <v>2.6</v>
      </c>
      <c r="O647">
        <v>235</v>
      </c>
      <c r="P647" t="s">
        <v>28</v>
      </c>
    </row>
    <row r="648" spans="1:16" x14ac:dyDescent="0.25">
      <c r="A648" t="s">
        <v>708</v>
      </c>
      <c r="B648" s="2">
        <v>45957</v>
      </c>
      <c r="C648" t="s">
        <v>67</v>
      </c>
      <c r="D648" t="s">
        <v>18</v>
      </c>
      <c r="E648" t="s">
        <v>58</v>
      </c>
      <c r="F648">
        <v>54.6</v>
      </c>
      <c r="G648">
        <v>22.1</v>
      </c>
      <c r="H648">
        <v>43.4</v>
      </c>
      <c r="I648">
        <v>32.5</v>
      </c>
      <c r="J648">
        <v>0.48</v>
      </c>
      <c r="K648">
        <v>44.1</v>
      </c>
      <c r="L648">
        <v>19.899999999999999</v>
      </c>
      <c r="M648">
        <v>75.599999999999994</v>
      </c>
      <c r="N648">
        <v>4.4000000000000004</v>
      </c>
      <c r="O648">
        <v>191</v>
      </c>
      <c r="P648" t="s">
        <v>33</v>
      </c>
    </row>
    <row r="649" spans="1:16" x14ac:dyDescent="0.25">
      <c r="A649" t="s">
        <v>709</v>
      </c>
      <c r="B649" s="2">
        <v>45956</v>
      </c>
      <c r="C649" t="s">
        <v>52</v>
      </c>
      <c r="D649" t="s">
        <v>31</v>
      </c>
      <c r="E649" t="s">
        <v>43</v>
      </c>
      <c r="F649">
        <v>101.5</v>
      </c>
      <c r="G649">
        <v>31.4</v>
      </c>
      <c r="H649">
        <v>18.3</v>
      </c>
      <c r="I649">
        <v>7.1</v>
      </c>
      <c r="J649">
        <v>0.31</v>
      </c>
      <c r="K649">
        <v>33.9</v>
      </c>
      <c r="L649">
        <v>25.1</v>
      </c>
      <c r="M649">
        <v>41.1</v>
      </c>
      <c r="N649">
        <v>0.1</v>
      </c>
      <c r="O649">
        <v>225</v>
      </c>
      <c r="P649" t="s">
        <v>28</v>
      </c>
    </row>
    <row r="650" spans="1:16" x14ac:dyDescent="0.25">
      <c r="A650" t="s">
        <v>710</v>
      </c>
      <c r="B650" s="2">
        <v>45957</v>
      </c>
      <c r="C650" t="s">
        <v>52</v>
      </c>
      <c r="D650" t="s">
        <v>31</v>
      </c>
      <c r="E650" t="s">
        <v>27</v>
      </c>
      <c r="F650">
        <v>92.5</v>
      </c>
      <c r="G650">
        <v>159.5</v>
      </c>
      <c r="H650">
        <v>18</v>
      </c>
      <c r="I650">
        <v>7.6</v>
      </c>
      <c r="J650">
        <v>1.36</v>
      </c>
      <c r="K650">
        <v>38.9</v>
      </c>
      <c r="L650">
        <v>30.6</v>
      </c>
      <c r="M650">
        <v>50.4</v>
      </c>
      <c r="N650">
        <v>3.1</v>
      </c>
      <c r="O650">
        <v>323</v>
      </c>
      <c r="P650" t="s">
        <v>20</v>
      </c>
    </row>
    <row r="651" spans="1:16" x14ac:dyDescent="0.25">
      <c r="A651" t="s">
        <v>711</v>
      </c>
      <c r="B651" s="2">
        <v>45787</v>
      </c>
      <c r="C651" t="s">
        <v>81</v>
      </c>
      <c r="D651" t="s">
        <v>39</v>
      </c>
      <c r="E651" t="s">
        <v>19</v>
      </c>
      <c r="F651">
        <v>29.3</v>
      </c>
      <c r="G651">
        <v>158.69999999999999</v>
      </c>
      <c r="H651">
        <v>46.8</v>
      </c>
      <c r="I651">
        <v>7.3</v>
      </c>
      <c r="J651">
        <v>1.93</v>
      </c>
      <c r="K651">
        <v>16.3</v>
      </c>
      <c r="L651">
        <v>27.9</v>
      </c>
      <c r="M651">
        <v>75.5</v>
      </c>
      <c r="N651">
        <v>0.7</v>
      </c>
      <c r="O651">
        <v>248</v>
      </c>
      <c r="P651" t="s">
        <v>28</v>
      </c>
    </row>
    <row r="652" spans="1:16" x14ac:dyDescent="0.25">
      <c r="A652" t="s">
        <v>712</v>
      </c>
      <c r="B652" s="2">
        <v>45952</v>
      </c>
      <c r="C652" t="s">
        <v>42</v>
      </c>
      <c r="D652" t="s">
        <v>23</v>
      </c>
      <c r="E652" t="s">
        <v>45</v>
      </c>
      <c r="F652">
        <v>53.1</v>
      </c>
      <c r="G652">
        <v>119.7</v>
      </c>
      <c r="H652">
        <v>6.8</v>
      </c>
      <c r="I652">
        <v>32.6</v>
      </c>
      <c r="J652">
        <v>0.54</v>
      </c>
      <c r="K652">
        <v>17.399999999999999</v>
      </c>
      <c r="L652">
        <v>32.700000000000003</v>
      </c>
      <c r="M652">
        <v>58.9</v>
      </c>
      <c r="N652">
        <v>1.6</v>
      </c>
      <c r="O652">
        <v>212</v>
      </c>
      <c r="P652" t="s">
        <v>28</v>
      </c>
    </row>
    <row r="653" spans="1:16" x14ac:dyDescent="0.25">
      <c r="A653" t="s">
        <v>713</v>
      </c>
      <c r="B653" s="2">
        <v>45696</v>
      </c>
      <c r="C653" t="s">
        <v>52</v>
      </c>
      <c r="D653" t="s">
        <v>31</v>
      </c>
      <c r="E653" t="s">
        <v>32</v>
      </c>
      <c r="F653">
        <v>61.9</v>
      </c>
      <c r="G653">
        <v>64.2</v>
      </c>
      <c r="H653">
        <v>9.3000000000000007</v>
      </c>
      <c r="I653">
        <v>4.5</v>
      </c>
      <c r="J653">
        <v>0.78</v>
      </c>
      <c r="K653">
        <v>39.1</v>
      </c>
      <c r="L653">
        <v>27.4</v>
      </c>
      <c r="M653">
        <v>37.5</v>
      </c>
      <c r="N653">
        <v>2.1</v>
      </c>
      <c r="O653">
        <v>188</v>
      </c>
      <c r="P653" t="s">
        <v>33</v>
      </c>
    </row>
    <row r="654" spans="1:16" x14ac:dyDescent="0.25">
      <c r="A654" t="s">
        <v>714</v>
      </c>
      <c r="B654" s="2">
        <v>46022</v>
      </c>
      <c r="C654" t="s">
        <v>35</v>
      </c>
      <c r="D654" t="s">
        <v>36</v>
      </c>
      <c r="E654" t="s">
        <v>55</v>
      </c>
      <c r="F654">
        <v>34.9</v>
      </c>
      <c r="G654">
        <v>86.5</v>
      </c>
      <c r="H654">
        <v>56.2</v>
      </c>
      <c r="I654">
        <v>11.1</v>
      </c>
      <c r="J654">
        <v>0.69</v>
      </c>
      <c r="K654">
        <v>59.5</v>
      </c>
      <c r="L654">
        <v>32.299999999999997</v>
      </c>
      <c r="M654">
        <v>68.900000000000006</v>
      </c>
      <c r="N654">
        <v>1</v>
      </c>
      <c r="O654">
        <v>209</v>
      </c>
      <c r="P654" t="s">
        <v>28</v>
      </c>
    </row>
    <row r="655" spans="1:16" x14ac:dyDescent="0.25">
      <c r="A655" t="s">
        <v>715</v>
      </c>
      <c r="B655" s="2">
        <v>45792</v>
      </c>
      <c r="C655" t="s">
        <v>35</v>
      </c>
      <c r="D655" t="s">
        <v>36</v>
      </c>
      <c r="E655" t="s">
        <v>32</v>
      </c>
      <c r="F655">
        <v>45.2</v>
      </c>
      <c r="G655">
        <v>51.6</v>
      </c>
      <c r="H655">
        <v>23.1</v>
      </c>
      <c r="I655">
        <v>24.4</v>
      </c>
      <c r="J655">
        <v>0.81</v>
      </c>
      <c r="K655">
        <v>39.4</v>
      </c>
      <c r="L655">
        <v>35.299999999999997</v>
      </c>
      <c r="M655">
        <v>36.299999999999997</v>
      </c>
      <c r="N655">
        <v>2.7</v>
      </c>
      <c r="O655">
        <v>179</v>
      </c>
      <c r="P655" t="s">
        <v>33</v>
      </c>
    </row>
    <row r="656" spans="1:16" x14ac:dyDescent="0.25">
      <c r="A656" t="s">
        <v>716</v>
      </c>
      <c r="B656" s="2">
        <v>45720</v>
      </c>
      <c r="C656" t="s">
        <v>52</v>
      </c>
      <c r="D656" t="s">
        <v>31</v>
      </c>
      <c r="E656" t="s">
        <v>70</v>
      </c>
      <c r="F656">
        <v>49.8</v>
      </c>
      <c r="G656">
        <v>46</v>
      </c>
      <c r="H656">
        <v>19.399999999999999</v>
      </c>
      <c r="I656">
        <v>11.5</v>
      </c>
      <c r="J656">
        <v>0.3</v>
      </c>
      <c r="K656">
        <v>29.9</v>
      </c>
      <c r="L656">
        <v>24.7</v>
      </c>
      <c r="M656">
        <v>34.799999999999997</v>
      </c>
      <c r="N656">
        <v>0.8</v>
      </c>
      <c r="O656">
        <v>154</v>
      </c>
      <c r="P656" t="s">
        <v>33</v>
      </c>
    </row>
    <row r="657" spans="1:16" x14ac:dyDescent="0.25">
      <c r="A657" t="s">
        <v>717</v>
      </c>
      <c r="B657" s="2">
        <v>45661</v>
      </c>
      <c r="C657" t="s">
        <v>38</v>
      </c>
      <c r="D657" t="s">
        <v>39</v>
      </c>
      <c r="E657" t="s">
        <v>43</v>
      </c>
      <c r="F657">
        <v>58.9</v>
      </c>
      <c r="G657">
        <v>142.69999999999999</v>
      </c>
      <c r="H657">
        <v>41</v>
      </c>
      <c r="I657">
        <v>7.8</v>
      </c>
      <c r="J657">
        <v>0.27</v>
      </c>
      <c r="K657">
        <v>9.8000000000000007</v>
      </c>
      <c r="L657">
        <v>32.6</v>
      </c>
      <c r="M657">
        <v>62.7</v>
      </c>
      <c r="N657">
        <v>1.1000000000000001</v>
      </c>
      <c r="O657">
        <v>236</v>
      </c>
      <c r="P657" t="s">
        <v>28</v>
      </c>
    </row>
    <row r="658" spans="1:16" x14ac:dyDescent="0.25">
      <c r="A658" t="s">
        <v>718</v>
      </c>
      <c r="B658" s="2">
        <v>45931</v>
      </c>
      <c r="C658" t="s">
        <v>22</v>
      </c>
      <c r="D658" t="s">
        <v>23</v>
      </c>
      <c r="E658" t="s">
        <v>19</v>
      </c>
      <c r="F658">
        <v>48.5</v>
      </c>
      <c r="G658">
        <v>103</v>
      </c>
      <c r="H658">
        <v>45.9</v>
      </c>
      <c r="I658">
        <v>16</v>
      </c>
      <c r="J658">
        <v>0.73</v>
      </c>
      <c r="K658">
        <v>9.4</v>
      </c>
      <c r="L658">
        <v>19.7</v>
      </c>
      <c r="M658">
        <v>66</v>
      </c>
      <c r="N658">
        <v>3.1</v>
      </c>
      <c r="O658">
        <v>215</v>
      </c>
      <c r="P658" t="s">
        <v>28</v>
      </c>
    </row>
    <row r="659" spans="1:16" x14ac:dyDescent="0.25">
      <c r="A659" t="s">
        <v>719</v>
      </c>
      <c r="B659" s="2">
        <v>45731</v>
      </c>
      <c r="C659" t="s">
        <v>54</v>
      </c>
      <c r="D659" t="s">
        <v>18</v>
      </c>
      <c r="E659" t="s">
        <v>43</v>
      </c>
      <c r="F659">
        <v>48.6</v>
      </c>
      <c r="G659">
        <v>76.400000000000006</v>
      </c>
      <c r="H659">
        <v>16.399999999999999</v>
      </c>
      <c r="I659">
        <v>10.5</v>
      </c>
      <c r="J659">
        <v>1.63</v>
      </c>
      <c r="K659">
        <v>100.5</v>
      </c>
      <c r="L659">
        <v>29.3</v>
      </c>
      <c r="M659">
        <v>69.099999999999994</v>
      </c>
      <c r="N659">
        <v>3.7</v>
      </c>
      <c r="O659">
        <v>234</v>
      </c>
      <c r="P659" t="s">
        <v>28</v>
      </c>
    </row>
    <row r="660" spans="1:16" x14ac:dyDescent="0.25">
      <c r="A660" t="s">
        <v>720</v>
      </c>
      <c r="B660" s="2">
        <v>45660</v>
      </c>
      <c r="C660" t="s">
        <v>99</v>
      </c>
      <c r="D660" t="s">
        <v>36</v>
      </c>
      <c r="E660" t="s">
        <v>55</v>
      </c>
      <c r="F660">
        <v>28</v>
      </c>
      <c r="G660">
        <v>95.3</v>
      </c>
      <c r="H660">
        <v>15.5</v>
      </c>
      <c r="I660">
        <v>6.4</v>
      </c>
      <c r="J660">
        <v>0.16</v>
      </c>
      <c r="K660">
        <v>49</v>
      </c>
      <c r="L660">
        <v>20.100000000000001</v>
      </c>
      <c r="M660">
        <v>71.599999999999994</v>
      </c>
      <c r="N660">
        <v>3.1</v>
      </c>
      <c r="O660">
        <v>150</v>
      </c>
      <c r="P660" t="s">
        <v>33</v>
      </c>
    </row>
    <row r="661" spans="1:16" x14ac:dyDescent="0.25">
      <c r="A661" t="s">
        <v>721</v>
      </c>
      <c r="B661" s="2">
        <v>45711</v>
      </c>
      <c r="C661" t="s">
        <v>666</v>
      </c>
      <c r="D661" t="s">
        <v>18</v>
      </c>
      <c r="E661" t="s">
        <v>19</v>
      </c>
      <c r="F661">
        <v>51.9</v>
      </c>
      <c r="G661">
        <v>50.8</v>
      </c>
      <c r="H661">
        <v>76.2</v>
      </c>
      <c r="I661">
        <v>24.3</v>
      </c>
      <c r="J661">
        <v>0.65</v>
      </c>
      <c r="K661">
        <v>34.9</v>
      </c>
      <c r="L661">
        <v>27.8</v>
      </c>
      <c r="M661">
        <v>70.7</v>
      </c>
      <c r="N661">
        <v>2.7</v>
      </c>
      <c r="O661">
        <v>226</v>
      </c>
      <c r="P661" t="s">
        <v>28</v>
      </c>
    </row>
    <row r="662" spans="1:16" x14ac:dyDescent="0.25">
      <c r="A662" t="s">
        <v>722</v>
      </c>
      <c r="B662" s="2">
        <v>45817</v>
      </c>
      <c r="C662" t="s">
        <v>99</v>
      </c>
      <c r="D662" t="s">
        <v>36</v>
      </c>
      <c r="E662" t="s">
        <v>32</v>
      </c>
      <c r="F662">
        <v>85</v>
      </c>
      <c r="G662">
        <v>18.8</v>
      </c>
      <c r="H662">
        <v>19.5</v>
      </c>
      <c r="I662">
        <v>7.8</v>
      </c>
      <c r="J662">
        <v>0.41</v>
      </c>
      <c r="K662">
        <v>25.9</v>
      </c>
      <c r="L662">
        <v>19.399999999999999</v>
      </c>
      <c r="M662">
        <v>81.3</v>
      </c>
      <c r="N662">
        <v>2.2999999999999998</v>
      </c>
      <c r="O662">
        <v>191</v>
      </c>
      <c r="P662" t="s">
        <v>33</v>
      </c>
    </row>
    <row r="663" spans="1:16" x14ac:dyDescent="0.25">
      <c r="A663" t="s">
        <v>723</v>
      </c>
      <c r="B663" s="2">
        <v>46014</v>
      </c>
      <c r="C663" t="s">
        <v>64</v>
      </c>
      <c r="D663" t="s">
        <v>36</v>
      </c>
      <c r="E663" t="s">
        <v>74</v>
      </c>
      <c r="F663">
        <v>105.7</v>
      </c>
      <c r="G663">
        <v>106.3</v>
      </c>
      <c r="H663">
        <v>13.8</v>
      </c>
      <c r="I663">
        <v>8</v>
      </c>
      <c r="J663">
        <v>1.52</v>
      </c>
      <c r="K663">
        <v>19.7</v>
      </c>
      <c r="L663">
        <v>24.3</v>
      </c>
      <c r="M663">
        <v>67</v>
      </c>
      <c r="N663">
        <v>2.7</v>
      </c>
      <c r="O663">
        <v>302</v>
      </c>
      <c r="P663" t="s">
        <v>20</v>
      </c>
    </row>
    <row r="664" spans="1:16" x14ac:dyDescent="0.25">
      <c r="A664" t="s">
        <v>724</v>
      </c>
      <c r="B664" s="2">
        <v>45872</v>
      </c>
      <c r="C664" t="s">
        <v>50</v>
      </c>
      <c r="D664" t="s">
        <v>31</v>
      </c>
      <c r="E664" t="s">
        <v>55</v>
      </c>
      <c r="F664">
        <v>16.100000000000001</v>
      </c>
      <c r="G664">
        <v>62.7</v>
      </c>
      <c r="H664">
        <v>33.5</v>
      </c>
      <c r="I664">
        <v>12.8</v>
      </c>
      <c r="J664">
        <v>0.19</v>
      </c>
      <c r="K664">
        <v>33.700000000000003</v>
      </c>
      <c r="L664">
        <v>29.6</v>
      </c>
      <c r="M664">
        <v>53.2</v>
      </c>
      <c r="N664">
        <v>2.2999999999999998</v>
      </c>
      <c r="O664">
        <v>122</v>
      </c>
      <c r="P664" t="s">
        <v>33</v>
      </c>
    </row>
    <row r="665" spans="1:16" x14ac:dyDescent="0.25">
      <c r="A665" t="s">
        <v>725</v>
      </c>
      <c r="B665" s="2">
        <v>45816</v>
      </c>
      <c r="C665" t="s">
        <v>54</v>
      </c>
      <c r="D665" t="s">
        <v>18</v>
      </c>
      <c r="E665" t="s">
        <v>55</v>
      </c>
      <c r="F665">
        <v>46.8</v>
      </c>
      <c r="G665">
        <v>126.8</v>
      </c>
      <c r="H665">
        <v>22.1</v>
      </c>
      <c r="I665">
        <v>29</v>
      </c>
      <c r="J665">
        <v>1.1000000000000001</v>
      </c>
      <c r="K665">
        <v>38.4</v>
      </c>
      <c r="L665">
        <v>24</v>
      </c>
      <c r="M665">
        <v>65.099999999999994</v>
      </c>
      <c r="N665">
        <v>2.5</v>
      </c>
      <c r="O665">
        <v>240</v>
      </c>
      <c r="P665" t="s">
        <v>28</v>
      </c>
    </row>
    <row r="666" spans="1:16" x14ac:dyDescent="0.25">
      <c r="A666" t="s">
        <v>726</v>
      </c>
      <c r="B666" s="2">
        <v>45856</v>
      </c>
      <c r="C666" t="s">
        <v>35</v>
      </c>
      <c r="D666" t="s">
        <v>36</v>
      </c>
      <c r="E666" t="s">
        <v>68</v>
      </c>
      <c r="F666">
        <v>26</v>
      </c>
      <c r="G666">
        <v>125.4</v>
      </c>
      <c r="H666">
        <v>7.4</v>
      </c>
      <c r="I666">
        <v>3.5</v>
      </c>
      <c r="J666">
        <v>1.29</v>
      </c>
      <c r="K666">
        <v>26.5</v>
      </c>
      <c r="L666">
        <v>34.700000000000003</v>
      </c>
      <c r="M666">
        <v>47.6</v>
      </c>
      <c r="N666">
        <v>3.1</v>
      </c>
      <c r="O666">
        <v>176</v>
      </c>
      <c r="P666" t="s">
        <v>33</v>
      </c>
    </row>
    <row r="667" spans="1:16" x14ac:dyDescent="0.25">
      <c r="A667" t="s">
        <v>727</v>
      </c>
      <c r="B667" s="2">
        <v>45858</v>
      </c>
      <c r="C667" t="s">
        <v>99</v>
      </c>
      <c r="D667" t="s">
        <v>36</v>
      </c>
      <c r="E667" t="s">
        <v>97</v>
      </c>
      <c r="F667">
        <v>38.1</v>
      </c>
      <c r="G667">
        <v>177.5</v>
      </c>
      <c r="H667">
        <v>24.2</v>
      </c>
      <c r="I667">
        <v>3.5</v>
      </c>
      <c r="J667">
        <v>0.55000000000000004</v>
      </c>
      <c r="K667">
        <v>56.7</v>
      </c>
      <c r="L667">
        <v>33.200000000000003</v>
      </c>
      <c r="M667">
        <v>27.3</v>
      </c>
      <c r="N667">
        <v>3.4</v>
      </c>
      <c r="O667">
        <v>237</v>
      </c>
      <c r="P667" t="s">
        <v>28</v>
      </c>
    </row>
    <row r="668" spans="1:16" x14ac:dyDescent="0.25">
      <c r="A668" t="s">
        <v>728</v>
      </c>
      <c r="B668" s="2">
        <v>45718</v>
      </c>
      <c r="C668" t="s">
        <v>81</v>
      </c>
      <c r="D668" t="s">
        <v>39</v>
      </c>
      <c r="E668" t="s">
        <v>97</v>
      </c>
      <c r="F668">
        <v>63.3</v>
      </c>
      <c r="G668">
        <v>21.2</v>
      </c>
      <c r="H668">
        <v>23.2</v>
      </c>
      <c r="I668">
        <v>16.899999999999999</v>
      </c>
      <c r="J668">
        <v>0.62</v>
      </c>
      <c r="K668">
        <v>12.2</v>
      </c>
      <c r="L668">
        <v>27.6</v>
      </c>
      <c r="M668">
        <v>54.1</v>
      </c>
      <c r="N668">
        <v>0.8</v>
      </c>
      <c r="O668">
        <v>166</v>
      </c>
      <c r="P668" t="s">
        <v>33</v>
      </c>
    </row>
    <row r="669" spans="1:16" x14ac:dyDescent="0.25">
      <c r="A669" t="s">
        <v>729</v>
      </c>
      <c r="B669" s="2">
        <v>45678</v>
      </c>
      <c r="C669" t="s">
        <v>30</v>
      </c>
      <c r="D669" t="s">
        <v>31</v>
      </c>
      <c r="E669" t="s">
        <v>58</v>
      </c>
      <c r="F669">
        <v>22.7</v>
      </c>
      <c r="G669">
        <v>87.3</v>
      </c>
      <c r="H669">
        <v>20</v>
      </c>
      <c r="I669">
        <v>5.3</v>
      </c>
      <c r="J669">
        <v>0.44</v>
      </c>
      <c r="K669">
        <v>56.3</v>
      </c>
      <c r="L669">
        <v>26.1</v>
      </c>
      <c r="M669">
        <v>86.2</v>
      </c>
      <c r="N669">
        <v>1.1000000000000001</v>
      </c>
      <c r="O669">
        <v>149</v>
      </c>
      <c r="P669" t="s">
        <v>33</v>
      </c>
    </row>
    <row r="670" spans="1:16" x14ac:dyDescent="0.25">
      <c r="A670" t="s">
        <v>730</v>
      </c>
      <c r="B670" s="2">
        <v>45715</v>
      </c>
      <c r="C670" t="s">
        <v>81</v>
      </c>
      <c r="D670" t="s">
        <v>39</v>
      </c>
      <c r="E670" t="s">
        <v>19</v>
      </c>
      <c r="F670">
        <v>31.8</v>
      </c>
      <c r="G670">
        <v>110.9</v>
      </c>
      <c r="H670">
        <v>29.1</v>
      </c>
      <c r="I670">
        <v>17.899999999999999</v>
      </c>
      <c r="J670">
        <v>0.35</v>
      </c>
      <c r="K670">
        <v>27.9</v>
      </c>
      <c r="L670">
        <v>29.5</v>
      </c>
      <c r="M670">
        <v>49</v>
      </c>
      <c r="N670">
        <v>0.1</v>
      </c>
      <c r="O670">
        <v>180</v>
      </c>
      <c r="P670" t="s">
        <v>33</v>
      </c>
    </row>
    <row r="671" spans="1:16" x14ac:dyDescent="0.25">
      <c r="A671" t="s">
        <v>731</v>
      </c>
      <c r="B671" s="2">
        <v>45679</v>
      </c>
      <c r="C671" t="s">
        <v>52</v>
      </c>
      <c r="D671" t="s">
        <v>31</v>
      </c>
      <c r="E671" t="s">
        <v>68</v>
      </c>
      <c r="F671">
        <v>34.5</v>
      </c>
      <c r="G671">
        <v>87.6</v>
      </c>
      <c r="H671">
        <v>45.1</v>
      </c>
      <c r="I671">
        <v>4.2</v>
      </c>
      <c r="J671">
        <v>1.08</v>
      </c>
      <c r="K671">
        <v>41.8</v>
      </c>
      <c r="L671">
        <v>26.4</v>
      </c>
      <c r="M671">
        <v>54.3</v>
      </c>
      <c r="N671">
        <v>3.3</v>
      </c>
      <c r="O671">
        <v>197</v>
      </c>
      <c r="P671" t="s">
        <v>33</v>
      </c>
    </row>
    <row r="672" spans="1:16" x14ac:dyDescent="0.25">
      <c r="A672" t="s">
        <v>732</v>
      </c>
      <c r="B672" s="2">
        <v>45924</v>
      </c>
      <c r="C672" t="s">
        <v>17</v>
      </c>
      <c r="D672" t="s">
        <v>18</v>
      </c>
      <c r="E672" t="s">
        <v>24</v>
      </c>
      <c r="F672">
        <v>45.8</v>
      </c>
      <c r="G672">
        <v>115.3</v>
      </c>
      <c r="H672">
        <v>10.8</v>
      </c>
      <c r="I672">
        <v>5.7</v>
      </c>
      <c r="J672">
        <v>0.3</v>
      </c>
      <c r="K672">
        <v>65.3</v>
      </c>
      <c r="L672">
        <v>24.3</v>
      </c>
      <c r="M672">
        <v>61.3</v>
      </c>
      <c r="N672">
        <v>2.2000000000000002</v>
      </c>
      <c r="O672">
        <v>198</v>
      </c>
      <c r="P672" t="s">
        <v>33</v>
      </c>
    </row>
    <row r="673" spans="1:16" x14ac:dyDescent="0.25">
      <c r="A673" t="s">
        <v>733</v>
      </c>
      <c r="B673" s="2">
        <v>45877</v>
      </c>
      <c r="C673" t="s">
        <v>99</v>
      </c>
      <c r="D673" t="s">
        <v>36</v>
      </c>
      <c r="E673" t="s">
        <v>97</v>
      </c>
      <c r="F673">
        <v>53.4</v>
      </c>
      <c r="G673">
        <v>77.099999999999994</v>
      </c>
      <c r="H673">
        <v>54.4</v>
      </c>
      <c r="I673">
        <v>13</v>
      </c>
      <c r="J673">
        <v>0.17</v>
      </c>
      <c r="K673">
        <v>24.1</v>
      </c>
      <c r="L673">
        <v>23.9</v>
      </c>
      <c r="M673">
        <v>70.7</v>
      </c>
      <c r="N673">
        <v>1.8</v>
      </c>
      <c r="O673">
        <v>203</v>
      </c>
      <c r="P673" t="s">
        <v>28</v>
      </c>
    </row>
    <row r="674" spans="1:16" x14ac:dyDescent="0.25">
      <c r="A674" t="s">
        <v>734</v>
      </c>
      <c r="B674" s="2">
        <v>45927</v>
      </c>
      <c r="C674" t="s">
        <v>17</v>
      </c>
      <c r="D674" t="s">
        <v>18</v>
      </c>
      <c r="E674" t="s">
        <v>40</v>
      </c>
      <c r="F674">
        <v>77.400000000000006</v>
      </c>
      <c r="G674">
        <v>107.3</v>
      </c>
      <c r="H674">
        <v>33.9</v>
      </c>
      <c r="I674">
        <v>4.8</v>
      </c>
      <c r="J674">
        <v>0.97</v>
      </c>
      <c r="K674">
        <v>15</v>
      </c>
      <c r="L674">
        <v>18.600000000000001</v>
      </c>
      <c r="M674">
        <v>78.900000000000006</v>
      </c>
      <c r="N674">
        <v>1.8</v>
      </c>
      <c r="O674">
        <v>255</v>
      </c>
      <c r="P674" t="s">
        <v>28</v>
      </c>
    </row>
    <row r="675" spans="1:16" x14ac:dyDescent="0.25">
      <c r="A675" t="s">
        <v>735</v>
      </c>
      <c r="B675" s="2">
        <v>45781</v>
      </c>
      <c r="C675" t="s">
        <v>17</v>
      </c>
      <c r="D675" t="s">
        <v>18</v>
      </c>
      <c r="E675" t="s">
        <v>97</v>
      </c>
      <c r="F675">
        <v>17</v>
      </c>
      <c r="G675">
        <v>76.900000000000006</v>
      </c>
      <c r="H675">
        <v>43.4</v>
      </c>
      <c r="I675">
        <v>8.8000000000000007</v>
      </c>
      <c r="J675">
        <v>1.56</v>
      </c>
      <c r="K675">
        <v>85.1</v>
      </c>
      <c r="L675">
        <v>25.4</v>
      </c>
      <c r="M675">
        <v>86</v>
      </c>
      <c r="N675">
        <v>1.9</v>
      </c>
      <c r="O675">
        <v>195</v>
      </c>
      <c r="P675" t="s">
        <v>33</v>
      </c>
    </row>
    <row r="676" spans="1:16" x14ac:dyDescent="0.25">
      <c r="A676" t="s">
        <v>736</v>
      </c>
      <c r="B676" s="2">
        <v>45843</v>
      </c>
      <c r="C676" t="s">
        <v>67</v>
      </c>
      <c r="D676" t="s">
        <v>18</v>
      </c>
      <c r="E676" t="s">
        <v>91</v>
      </c>
      <c r="F676">
        <v>90.8</v>
      </c>
      <c r="G676">
        <v>86.8</v>
      </c>
      <c r="H676">
        <v>33.700000000000003</v>
      </c>
      <c r="I676">
        <v>17.100000000000001</v>
      </c>
      <c r="J676">
        <v>0.26</v>
      </c>
      <c r="K676">
        <v>25.9</v>
      </c>
      <c r="L676">
        <v>32.4</v>
      </c>
      <c r="M676">
        <v>75.400000000000006</v>
      </c>
      <c r="N676">
        <v>3</v>
      </c>
      <c r="O676">
        <v>259</v>
      </c>
      <c r="P676" t="s">
        <v>28</v>
      </c>
    </row>
    <row r="677" spans="1:16" x14ac:dyDescent="0.25">
      <c r="A677" t="s">
        <v>737</v>
      </c>
      <c r="B677" s="2">
        <v>45766</v>
      </c>
      <c r="C677" t="s">
        <v>38</v>
      </c>
      <c r="D677" t="s">
        <v>39</v>
      </c>
      <c r="E677" t="s">
        <v>40</v>
      </c>
      <c r="F677">
        <v>32.799999999999997</v>
      </c>
      <c r="G677">
        <v>85.5</v>
      </c>
      <c r="H677">
        <v>16.3</v>
      </c>
      <c r="I677">
        <v>6.6</v>
      </c>
      <c r="J677">
        <v>1.27</v>
      </c>
      <c r="K677">
        <v>32.1</v>
      </c>
      <c r="L677">
        <v>33.5</v>
      </c>
      <c r="M677">
        <v>48.6</v>
      </c>
      <c r="N677">
        <v>1.9</v>
      </c>
      <c r="O677">
        <v>172</v>
      </c>
      <c r="P677" t="s">
        <v>33</v>
      </c>
    </row>
    <row r="678" spans="1:16" x14ac:dyDescent="0.25">
      <c r="A678" t="s">
        <v>738</v>
      </c>
      <c r="B678" s="2">
        <v>45885</v>
      </c>
      <c r="C678" t="s">
        <v>17</v>
      </c>
      <c r="D678" t="s">
        <v>18</v>
      </c>
      <c r="E678" t="s">
        <v>58</v>
      </c>
      <c r="F678">
        <v>44.5</v>
      </c>
      <c r="G678">
        <v>105.1</v>
      </c>
      <c r="H678">
        <v>41.8</v>
      </c>
      <c r="I678">
        <v>3.1</v>
      </c>
      <c r="J678">
        <v>0.27</v>
      </c>
      <c r="K678">
        <v>92</v>
      </c>
      <c r="L678">
        <v>27.8</v>
      </c>
      <c r="M678">
        <v>68.900000000000006</v>
      </c>
      <c r="N678">
        <v>4.0999999999999996</v>
      </c>
      <c r="O678">
        <v>223</v>
      </c>
      <c r="P678" t="s">
        <v>28</v>
      </c>
    </row>
    <row r="679" spans="1:16" x14ac:dyDescent="0.25">
      <c r="A679" t="s">
        <v>739</v>
      </c>
      <c r="B679" s="2">
        <v>45717</v>
      </c>
      <c r="C679" t="s">
        <v>67</v>
      </c>
      <c r="D679" t="s">
        <v>18</v>
      </c>
      <c r="E679" t="s">
        <v>32</v>
      </c>
      <c r="F679">
        <v>49.6</v>
      </c>
      <c r="G679">
        <v>44.2</v>
      </c>
      <c r="H679">
        <v>17.399999999999999</v>
      </c>
      <c r="I679">
        <v>17</v>
      </c>
      <c r="J679">
        <v>0.84</v>
      </c>
      <c r="K679">
        <v>53.4</v>
      </c>
      <c r="L679">
        <v>29.4</v>
      </c>
      <c r="M679">
        <v>76.400000000000006</v>
      </c>
      <c r="N679">
        <v>3.7</v>
      </c>
      <c r="O679">
        <v>179</v>
      </c>
      <c r="P679" t="s">
        <v>33</v>
      </c>
    </row>
    <row r="680" spans="1:16" x14ac:dyDescent="0.25">
      <c r="A680" t="s">
        <v>740</v>
      </c>
      <c r="B680" s="2">
        <v>45682</v>
      </c>
      <c r="C680" t="s">
        <v>67</v>
      </c>
      <c r="D680" t="s">
        <v>18</v>
      </c>
      <c r="E680" t="s">
        <v>70</v>
      </c>
      <c r="F680">
        <v>35.4</v>
      </c>
      <c r="G680">
        <v>9.9</v>
      </c>
      <c r="H680">
        <v>34.299999999999997</v>
      </c>
      <c r="I680">
        <v>14.4</v>
      </c>
      <c r="J680">
        <v>0.94</v>
      </c>
      <c r="K680">
        <v>92.2</v>
      </c>
      <c r="L680">
        <v>21.4</v>
      </c>
      <c r="M680">
        <v>91.5</v>
      </c>
      <c r="N680">
        <v>2.9</v>
      </c>
      <c r="O680">
        <v>166</v>
      </c>
      <c r="P680" t="s">
        <v>33</v>
      </c>
    </row>
    <row r="681" spans="1:16" x14ac:dyDescent="0.25">
      <c r="A681" t="s">
        <v>741</v>
      </c>
      <c r="B681" s="2">
        <v>45934</v>
      </c>
      <c r="C681" t="s">
        <v>54</v>
      </c>
      <c r="D681" t="s">
        <v>18</v>
      </c>
      <c r="E681" t="s">
        <v>43</v>
      </c>
      <c r="F681">
        <v>35.6</v>
      </c>
      <c r="G681">
        <v>39.6</v>
      </c>
      <c r="H681">
        <v>18.3</v>
      </c>
      <c r="I681">
        <v>2.9</v>
      </c>
      <c r="J681">
        <v>0.32</v>
      </c>
      <c r="K681">
        <v>42.1</v>
      </c>
      <c r="L681">
        <v>20.100000000000001</v>
      </c>
      <c r="M681">
        <v>98</v>
      </c>
      <c r="N681">
        <v>1.6</v>
      </c>
      <c r="O681">
        <v>126</v>
      </c>
      <c r="P681" t="s">
        <v>33</v>
      </c>
    </row>
    <row r="682" spans="1:16" x14ac:dyDescent="0.25">
      <c r="A682" t="s">
        <v>742</v>
      </c>
      <c r="B682" s="2">
        <v>45734</v>
      </c>
      <c r="C682" t="s">
        <v>99</v>
      </c>
      <c r="D682" t="s">
        <v>36</v>
      </c>
      <c r="E682" t="s">
        <v>19</v>
      </c>
      <c r="F682">
        <v>25.3</v>
      </c>
      <c r="G682">
        <v>74.099999999999994</v>
      </c>
      <c r="H682">
        <v>24.5</v>
      </c>
      <c r="I682">
        <v>4.2</v>
      </c>
      <c r="J682">
        <v>0.85</v>
      </c>
      <c r="K682">
        <v>28</v>
      </c>
      <c r="L682">
        <v>23.1</v>
      </c>
      <c r="M682">
        <v>63.5</v>
      </c>
      <c r="N682">
        <v>2.2999999999999998</v>
      </c>
      <c r="O682">
        <v>145</v>
      </c>
      <c r="P682" t="s">
        <v>33</v>
      </c>
    </row>
    <row r="683" spans="1:16" x14ac:dyDescent="0.25">
      <c r="A683" t="s">
        <v>743</v>
      </c>
      <c r="B683" s="2">
        <v>46001</v>
      </c>
      <c r="C683" t="s">
        <v>54</v>
      </c>
      <c r="D683" t="s">
        <v>18</v>
      </c>
      <c r="E683" t="s">
        <v>43</v>
      </c>
      <c r="F683">
        <v>96.3</v>
      </c>
      <c r="G683">
        <v>130.19999999999999</v>
      </c>
      <c r="H683">
        <v>26.9</v>
      </c>
      <c r="I683">
        <v>9.1999999999999993</v>
      </c>
      <c r="J683">
        <v>0.39</v>
      </c>
      <c r="K683">
        <v>49.7</v>
      </c>
      <c r="L683">
        <v>11</v>
      </c>
      <c r="M683">
        <v>75.900000000000006</v>
      </c>
      <c r="N683">
        <v>2.6</v>
      </c>
      <c r="O683">
        <v>299</v>
      </c>
      <c r="P683" t="s">
        <v>28</v>
      </c>
    </row>
    <row r="684" spans="1:16" x14ac:dyDescent="0.25">
      <c r="A684" t="s">
        <v>744</v>
      </c>
      <c r="B684" s="2">
        <v>45761</v>
      </c>
      <c r="C684" t="s">
        <v>99</v>
      </c>
      <c r="D684" t="s">
        <v>36</v>
      </c>
      <c r="E684" t="s">
        <v>61</v>
      </c>
      <c r="F684">
        <v>146.6</v>
      </c>
      <c r="G684">
        <v>110.9</v>
      </c>
      <c r="H684">
        <v>14.4</v>
      </c>
      <c r="I684">
        <v>41.4</v>
      </c>
      <c r="J684">
        <v>0.31</v>
      </c>
      <c r="K684">
        <v>28.8</v>
      </c>
      <c r="L684">
        <v>20.8</v>
      </c>
      <c r="M684">
        <v>64.400000000000006</v>
      </c>
      <c r="N684">
        <v>2.8</v>
      </c>
      <c r="O684">
        <v>368</v>
      </c>
      <c r="P684" t="s">
        <v>20</v>
      </c>
    </row>
    <row r="685" spans="1:16" x14ac:dyDescent="0.25">
      <c r="A685" t="s">
        <v>745</v>
      </c>
      <c r="B685" s="2">
        <v>45792</v>
      </c>
      <c r="C685" t="s">
        <v>54</v>
      </c>
      <c r="D685" t="s">
        <v>18</v>
      </c>
      <c r="E685" t="s">
        <v>74</v>
      </c>
      <c r="F685">
        <v>85.1</v>
      </c>
      <c r="G685">
        <v>34.9</v>
      </c>
      <c r="H685">
        <v>18.7</v>
      </c>
      <c r="I685">
        <v>26.9</v>
      </c>
      <c r="J685">
        <v>0.25</v>
      </c>
      <c r="K685">
        <v>62.3</v>
      </c>
      <c r="L685">
        <v>32</v>
      </c>
      <c r="M685">
        <v>75.3</v>
      </c>
      <c r="N685">
        <v>2.7</v>
      </c>
      <c r="O685">
        <v>227</v>
      </c>
      <c r="P685" t="s">
        <v>28</v>
      </c>
    </row>
    <row r="686" spans="1:16" x14ac:dyDescent="0.25">
      <c r="A686" t="s">
        <v>746</v>
      </c>
      <c r="B686" s="2">
        <v>45938</v>
      </c>
      <c r="C686" t="s">
        <v>50</v>
      </c>
      <c r="D686" t="s">
        <v>31</v>
      </c>
      <c r="E686" t="s">
        <v>97</v>
      </c>
      <c r="F686">
        <v>28.3</v>
      </c>
      <c r="G686">
        <v>46.2</v>
      </c>
      <c r="H686">
        <v>14.5</v>
      </c>
      <c r="I686">
        <v>25.8</v>
      </c>
      <c r="J686">
        <v>3.22</v>
      </c>
      <c r="K686">
        <v>22.2</v>
      </c>
      <c r="L686">
        <v>39.200000000000003</v>
      </c>
      <c r="M686">
        <v>66</v>
      </c>
      <c r="N686">
        <v>2.6</v>
      </c>
      <c r="O686">
        <v>195</v>
      </c>
      <c r="P686" t="s">
        <v>33</v>
      </c>
    </row>
    <row r="687" spans="1:16" x14ac:dyDescent="0.25">
      <c r="A687" t="s">
        <v>747</v>
      </c>
      <c r="B687" s="2">
        <v>45795</v>
      </c>
      <c r="C687" t="s">
        <v>22</v>
      </c>
      <c r="D687" t="s">
        <v>23</v>
      </c>
      <c r="E687" t="s">
        <v>61</v>
      </c>
      <c r="F687">
        <v>24</v>
      </c>
      <c r="G687">
        <v>67.599999999999994</v>
      </c>
      <c r="H687">
        <v>10</v>
      </c>
      <c r="I687">
        <v>10.6</v>
      </c>
      <c r="J687">
        <v>0.62</v>
      </c>
      <c r="K687">
        <v>14.2</v>
      </c>
      <c r="L687">
        <v>18.5</v>
      </c>
      <c r="M687">
        <v>66.5</v>
      </c>
      <c r="N687">
        <v>2.7</v>
      </c>
      <c r="O687">
        <v>120</v>
      </c>
      <c r="P687" t="s">
        <v>33</v>
      </c>
    </row>
    <row r="688" spans="1:16" x14ac:dyDescent="0.25">
      <c r="A688" t="s">
        <v>748</v>
      </c>
      <c r="B688" s="2">
        <v>45732</v>
      </c>
      <c r="C688" t="s">
        <v>22</v>
      </c>
      <c r="D688" t="s">
        <v>23</v>
      </c>
      <c r="E688" t="s">
        <v>19</v>
      </c>
      <c r="F688">
        <v>57.3</v>
      </c>
      <c r="G688">
        <v>120.9</v>
      </c>
      <c r="H688">
        <v>8.6</v>
      </c>
      <c r="I688">
        <v>17</v>
      </c>
      <c r="J688">
        <v>0.4</v>
      </c>
      <c r="K688">
        <v>59.1</v>
      </c>
      <c r="L688">
        <v>36.1</v>
      </c>
      <c r="M688">
        <v>42.5</v>
      </c>
      <c r="N688">
        <v>3.3</v>
      </c>
      <c r="O688">
        <v>226</v>
      </c>
      <c r="P688" t="s">
        <v>28</v>
      </c>
    </row>
    <row r="689" spans="1:16" x14ac:dyDescent="0.25">
      <c r="A689" t="s">
        <v>749</v>
      </c>
      <c r="B689" s="2">
        <v>45764</v>
      </c>
      <c r="C689" t="s">
        <v>30</v>
      </c>
      <c r="D689" t="s">
        <v>31</v>
      </c>
      <c r="E689" t="s">
        <v>19</v>
      </c>
      <c r="F689">
        <v>88.2</v>
      </c>
      <c r="G689">
        <v>90.9</v>
      </c>
      <c r="H689">
        <v>52.3</v>
      </c>
      <c r="I689">
        <v>18.2</v>
      </c>
      <c r="J689">
        <v>1.08</v>
      </c>
      <c r="K689">
        <v>52.4</v>
      </c>
      <c r="L689">
        <v>27.5</v>
      </c>
      <c r="M689">
        <v>58.9</v>
      </c>
      <c r="N689">
        <v>2</v>
      </c>
      <c r="O689">
        <v>305</v>
      </c>
      <c r="P689" t="s">
        <v>20</v>
      </c>
    </row>
    <row r="690" spans="1:16" x14ac:dyDescent="0.25">
      <c r="A690" t="s">
        <v>750</v>
      </c>
      <c r="B690" s="2">
        <v>45941</v>
      </c>
      <c r="C690" t="s">
        <v>93</v>
      </c>
      <c r="D690" t="s">
        <v>36</v>
      </c>
      <c r="E690" t="s">
        <v>27</v>
      </c>
      <c r="F690">
        <v>44</v>
      </c>
      <c r="G690">
        <v>56.6</v>
      </c>
      <c r="H690">
        <v>5.6</v>
      </c>
      <c r="I690">
        <v>7.8</v>
      </c>
      <c r="J690">
        <v>1.34</v>
      </c>
      <c r="K690">
        <v>17.8</v>
      </c>
      <c r="L690">
        <v>27.7</v>
      </c>
      <c r="M690">
        <v>68.599999999999994</v>
      </c>
      <c r="N690">
        <v>1.7</v>
      </c>
      <c r="O690">
        <v>159</v>
      </c>
      <c r="P690" t="s">
        <v>33</v>
      </c>
    </row>
    <row r="691" spans="1:16" x14ac:dyDescent="0.25">
      <c r="A691" t="s">
        <v>751</v>
      </c>
      <c r="B691" s="2">
        <v>45721</v>
      </c>
      <c r="C691" t="s">
        <v>52</v>
      </c>
      <c r="D691" t="s">
        <v>31</v>
      </c>
      <c r="E691" t="s">
        <v>27</v>
      </c>
      <c r="F691">
        <v>61.8</v>
      </c>
      <c r="G691">
        <v>98.1</v>
      </c>
      <c r="H691">
        <v>63.5</v>
      </c>
      <c r="I691">
        <v>3.6</v>
      </c>
      <c r="J691">
        <v>0.42</v>
      </c>
      <c r="K691">
        <v>42.3</v>
      </c>
      <c r="L691">
        <v>19.8</v>
      </c>
      <c r="M691">
        <v>43.3</v>
      </c>
      <c r="N691">
        <v>2.5</v>
      </c>
      <c r="O691">
        <v>246</v>
      </c>
      <c r="P691" t="s">
        <v>28</v>
      </c>
    </row>
    <row r="692" spans="1:16" x14ac:dyDescent="0.25">
      <c r="A692" t="s">
        <v>752</v>
      </c>
      <c r="B692" s="2">
        <v>45825</v>
      </c>
      <c r="C692" t="s">
        <v>50</v>
      </c>
      <c r="D692" t="s">
        <v>31</v>
      </c>
      <c r="E692" t="s">
        <v>74</v>
      </c>
      <c r="F692">
        <v>46.6</v>
      </c>
      <c r="G692">
        <v>58.5</v>
      </c>
      <c r="H692">
        <v>16.3</v>
      </c>
      <c r="I692">
        <v>18.100000000000001</v>
      </c>
      <c r="J692">
        <v>0.13</v>
      </c>
      <c r="K692">
        <v>4.7</v>
      </c>
      <c r="L692">
        <v>22.1</v>
      </c>
      <c r="M692">
        <v>30.8</v>
      </c>
      <c r="N692">
        <v>1.8</v>
      </c>
      <c r="O692">
        <v>144</v>
      </c>
      <c r="P692" t="s">
        <v>33</v>
      </c>
    </row>
    <row r="693" spans="1:16" x14ac:dyDescent="0.25">
      <c r="A693" t="s">
        <v>753</v>
      </c>
      <c r="B693" s="2">
        <v>45772</v>
      </c>
      <c r="C693" t="s">
        <v>81</v>
      </c>
      <c r="D693" t="s">
        <v>39</v>
      </c>
      <c r="E693" t="s">
        <v>45</v>
      </c>
      <c r="F693">
        <v>84.9</v>
      </c>
      <c r="G693">
        <v>88.7</v>
      </c>
      <c r="H693">
        <v>63.5</v>
      </c>
      <c r="I693">
        <v>1.9</v>
      </c>
      <c r="J693">
        <v>1.23</v>
      </c>
      <c r="K693">
        <v>27.4</v>
      </c>
      <c r="L693">
        <v>21.6</v>
      </c>
      <c r="M693">
        <v>61.5</v>
      </c>
      <c r="N693">
        <v>1.7</v>
      </c>
      <c r="O693">
        <v>289</v>
      </c>
      <c r="P693" t="s">
        <v>28</v>
      </c>
    </row>
    <row r="694" spans="1:16" x14ac:dyDescent="0.25">
      <c r="A694" t="s">
        <v>754</v>
      </c>
      <c r="B694" s="2">
        <v>45803</v>
      </c>
      <c r="C694" t="s">
        <v>50</v>
      </c>
      <c r="D694" t="s">
        <v>31</v>
      </c>
      <c r="E694" t="s">
        <v>27</v>
      </c>
      <c r="F694">
        <v>85.3</v>
      </c>
      <c r="G694">
        <v>63.6</v>
      </c>
      <c r="H694">
        <v>5.6</v>
      </c>
      <c r="I694">
        <v>5.9</v>
      </c>
      <c r="J694">
        <v>1.01</v>
      </c>
      <c r="K694">
        <v>26.6</v>
      </c>
      <c r="L694">
        <v>28.2</v>
      </c>
      <c r="M694">
        <v>66</v>
      </c>
      <c r="N694">
        <v>2.1</v>
      </c>
      <c r="O694">
        <v>224</v>
      </c>
      <c r="P694" t="s">
        <v>28</v>
      </c>
    </row>
    <row r="695" spans="1:16" x14ac:dyDescent="0.25">
      <c r="A695" t="s">
        <v>755</v>
      </c>
      <c r="B695" s="2">
        <v>45957</v>
      </c>
      <c r="C695" t="s">
        <v>81</v>
      </c>
      <c r="D695" t="s">
        <v>39</v>
      </c>
      <c r="E695" t="s">
        <v>43</v>
      </c>
      <c r="F695">
        <v>110.6</v>
      </c>
      <c r="G695">
        <v>42.6</v>
      </c>
      <c r="H695">
        <v>4.4000000000000004</v>
      </c>
      <c r="I695">
        <v>15.5</v>
      </c>
      <c r="J695">
        <v>0.41</v>
      </c>
      <c r="K695">
        <v>43.4</v>
      </c>
      <c r="L695">
        <v>36.4</v>
      </c>
      <c r="M695">
        <v>70.7</v>
      </c>
      <c r="N695">
        <v>1.9</v>
      </c>
      <c r="O695">
        <v>249</v>
      </c>
      <c r="P695" t="s">
        <v>28</v>
      </c>
    </row>
    <row r="696" spans="1:16" x14ac:dyDescent="0.25">
      <c r="A696" t="s">
        <v>756</v>
      </c>
      <c r="B696" s="2">
        <v>45889</v>
      </c>
      <c r="C696" t="s">
        <v>77</v>
      </c>
      <c r="D696" t="s">
        <v>39</v>
      </c>
      <c r="E696" t="s">
        <v>58</v>
      </c>
      <c r="F696">
        <v>108.1</v>
      </c>
      <c r="G696">
        <v>102.9</v>
      </c>
      <c r="H696">
        <v>25.6</v>
      </c>
      <c r="I696">
        <v>21.6</v>
      </c>
      <c r="J696">
        <v>0.6</v>
      </c>
      <c r="K696">
        <v>64.2</v>
      </c>
      <c r="L696">
        <v>22.9</v>
      </c>
      <c r="M696">
        <v>75.099999999999994</v>
      </c>
      <c r="N696">
        <v>2.5</v>
      </c>
      <c r="O696">
        <v>319</v>
      </c>
      <c r="P696" t="s">
        <v>20</v>
      </c>
    </row>
    <row r="697" spans="1:16" x14ac:dyDescent="0.25">
      <c r="A697" t="s">
        <v>757</v>
      </c>
      <c r="B697" s="2">
        <v>45688</v>
      </c>
      <c r="C697" t="s">
        <v>93</v>
      </c>
      <c r="D697" t="s">
        <v>36</v>
      </c>
      <c r="E697" t="s">
        <v>19</v>
      </c>
      <c r="F697">
        <v>15.5</v>
      </c>
      <c r="G697">
        <v>150</v>
      </c>
      <c r="H697">
        <v>51.9</v>
      </c>
      <c r="I697">
        <v>7.3</v>
      </c>
      <c r="J697">
        <v>0.37</v>
      </c>
      <c r="K697">
        <v>34.1</v>
      </c>
      <c r="L697">
        <v>27.2</v>
      </c>
      <c r="M697">
        <v>82.6</v>
      </c>
      <c r="N697">
        <v>2.5</v>
      </c>
      <c r="O697">
        <v>194</v>
      </c>
      <c r="P697" t="s">
        <v>33</v>
      </c>
    </row>
    <row r="698" spans="1:16" x14ac:dyDescent="0.25">
      <c r="A698" t="s">
        <v>758</v>
      </c>
      <c r="B698" s="2">
        <v>45912</v>
      </c>
      <c r="C698" t="s">
        <v>77</v>
      </c>
      <c r="D698" t="s">
        <v>39</v>
      </c>
      <c r="E698" t="s">
        <v>24</v>
      </c>
      <c r="F698">
        <v>55.2</v>
      </c>
      <c r="G698">
        <v>111.9</v>
      </c>
      <c r="H698">
        <v>11.6</v>
      </c>
      <c r="I698">
        <v>32.299999999999997</v>
      </c>
      <c r="J698">
        <v>0.5</v>
      </c>
      <c r="K698">
        <v>19.3</v>
      </c>
      <c r="L698">
        <v>31.5</v>
      </c>
      <c r="M698">
        <v>33.9</v>
      </c>
      <c r="N698">
        <v>2.2999999999999998</v>
      </c>
      <c r="O698">
        <v>214</v>
      </c>
      <c r="P698" t="s">
        <v>28</v>
      </c>
    </row>
    <row r="699" spans="1:16" x14ac:dyDescent="0.25">
      <c r="A699" t="s">
        <v>759</v>
      </c>
      <c r="B699" s="2">
        <v>45957</v>
      </c>
      <c r="C699" t="s">
        <v>22</v>
      </c>
      <c r="D699" t="s">
        <v>23</v>
      </c>
      <c r="E699" t="s">
        <v>27</v>
      </c>
      <c r="F699">
        <v>46.7</v>
      </c>
      <c r="G699">
        <v>40.299999999999997</v>
      </c>
      <c r="H699">
        <v>43.3</v>
      </c>
      <c r="I699">
        <v>8.5</v>
      </c>
      <c r="J699">
        <v>0.36</v>
      </c>
      <c r="K699">
        <v>36.4</v>
      </c>
      <c r="L699">
        <v>28.5</v>
      </c>
      <c r="M699">
        <v>69.900000000000006</v>
      </c>
      <c r="N699">
        <v>2.4</v>
      </c>
      <c r="O699">
        <v>167</v>
      </c>
      <c r="P699" t="s">
        <v>33</v>
      </c>
    </row>
    <row r="700" spans="1:16" x14ac:dyDescent="0.25">
      <c r="A700" t="s">
        <v>760</v>
      </c>
      <c r="B700" s="2">
        <v>45895</v>
      </c>
      <c r="C700" t="s">
        <v>77</v>
      </c>
      <c r="D700" t="s">
        <v>39</v>
      </c>
      <c r="E700" t="s">
        <v>61</v>
      </c>
      <c r="F700">
        <v>109.1</v>
      </c>
      <c r="G700">
        <v>70.3</v>
      </c>
      <c r="H700">
        <v>37.4</v>
      </c>
      <c r="I700">
        <v>3.7</v>
      </c>
      <c r="J700">
        <v>1.04</v>
      </c>
      <c r="K700">
        <v>29.6</v>
      </c>
      <c r="L700">
        <v>32.299999999999997</v>
      </c>
      <c r="M700">
        <v>59.5</v>
      </c>
      <c r="N700">
        <v>2.4</v>
      </c>
      <c r="O700">
        <v>292</v>
      </c>
      <c r="P700" t="s">
        <v>28</v>
      </c>
    </row>
    <row r="701" spans="1:16" x14ac:dyDescent="0.25">
      <c r="A701" t="s">
        <v>761</v>
      </c>
      <c r="B701" s="2">
        <v>45678</v>
      </c>
      <c r="C701" t="s">
        <v>50</v>
      </c>
      <c r="D701" t="s">
        <v>31</v>
      </c>
      <c r="E701" t="s">
        <v>61</v>
      </c>
      <c r="F701">
        <v>45.7</v>
      </c>
      <c r="G701">
        <v>113.8</v>
      </c>
      <c r="H701">
        <v>32.799999999999997</v>
      </c>
      <c r="I701">
        <v>2.9</v>
      </c>
      <c r="J701">
        <v>0.96</v>
      </c>
      <c r="K701">
        <v>20.6</v>
      </c>
      <c r="L701">
        <v>20.9</v>
      </c>
      <c r="M701">
        <v>58.2</v>
      </c>
      <c r="N701">
        <v>2.2999999999999998</v>
      </c>
      <c r="O701">
        <v>209</v>
      </c>
      <c r="P701" t="s">
        <v>28</v>
      </c>
    </row>
    <row r="702" spans="1:16" x14ac:dyDescent="0.25">
      <c r="A702" t="s">
        <v>762</v>
      </c>
      <c r="B702" s="2">
        <v>45844</v>
      </c>
      <c r="C702" t="s">
        <v>50</v>
      </c>
      <c r="D702" t="s">
        <v>31</v>
      </c>
      <c r="E702" t="s">
        <v>74</v>
      </c>
      <c r="F702">
        <v>46.2</v>
      </c>
      <c r="G702">
        <v>98.3</v>
      </c>
      <c r="H702">
        <v>17.5</v>
      </c>
      <c r="I702">
        <v>22.8</v>
      </c>
      <c r="J702">
        <v>0.28000000000000003</v>
      </c>
      <c r="K702">
        <v>34.200000000000003</v>
      </c>
      <c r="L702">
        <v>20.7</v>
      </c>
      <c r="M702">
        <v>69.2</v>
      </c>
      <c r="N702">
        <v>1.9</v>
      </c>
      <c r="O702">
        <v>190</v>
      </c>
      <c r="P702" t="s">
        <v>33</v>
      </c>
    </row>
    <row r="703" spans="1:16" x14ac:dyDescent="0.25">
      <c r="A703" t="s">
        <v>763</v>
      </c>
      <c r="B703" s="2">
        <v>45854</v>
      </c>
      <c r="C703" t="s">
        <v>22</v>
      </c>
      <c r="D703" t="s">
        <v>23</v>
      </c>
      <c r="E703" t="s">
        <v>55</v>
      </c>
      <c r="F703">
        <v>10.9</v>
      </c>
      <c r="G703">
        <v>69.5</v>
      </c>
      <c r="H703">
        <v>40.200000000000003</v>
      </c>
      <c r="I703">
        <v>6.8</v>
      </c>
      <c r="J703">
        <v>0.48</v>
      </c>
      <c r="K703">
        <v>49.3</v>
      </c>
      <c r="L703">
        <v>23.1</v>
      </c>
      <c r="M703">
        <v>45.6</v>
      </c>
      <c r="N703">
        <v>1.7</v>
      </c>
      <c r="O703">
        <v>134</v>
      </c>
      <c r="P703" t="s">
        <v>33</v>
      </c>
    </row>
    <row r="704" spans="1:16" x14ac:dyDescent="0.25">
      <c r="A704" t="s">
        <v>764</v>
      </c>
      <c r="B704" s="2">
        <v>45668</v>
      </c>
      <c r="C704" t="s">
        <v>50</v>
      </c>
      <c r="D704" t="s">
        <v>31</v>
      </c>
      <c r="E704" t="s">
        <v>68</v>
      </c>
      <c r="F704">
        <v>71.099999999999994</v>
      </c>
      <c r="G704">
        <v>60.7</v>
      </c>
      <c r="H704">
        <v>19.600000000000001</v>
      </c>
      <c r="I704">
        <v>6.9</v>
      </c>
      <c r="J704">
        <v>0.44</v>
      </c>
      <c r="K704">
        <v>26.3</v>
      </c>
      <c r="L704">
        <v>25.2</v>
      </c>
      <c r="M704">
        <v>72.099999999999994</v>
      </c>
      <c r="N704">
        <v>1.4</v>
      </c>
      <c r="O704">
        <v>197</v>
      </c>
      <c r="P704" t="s">
        <v>33</v>
      </c>
    </row>
    <row r="705" spans="1:16" x14ac:dyDescent="0.25">
      <c r="A705" t="s">
        <v>765</v>
      </c>
      <c r="B705" s="2">
        <v>45937</v>
      </c>
      <c r="C705" t="s">
        <v>52</v>
      </c>
      <c r="D705" t="s">
        <v>31</v>
      </c>
      <c r="E705" t="s">
        <v>58</v>
      </c>
      <c r="F705">
        <v>10.199999999999999</v>
      </c>
      <c r="G705">
        <v>16.7</v>
      </c>
      <c r="H705">
        <v>17.3</v>
      </c>
      <c r="I705">
        <v>17.100000000000001</v>
      </c>
      <c r="J705">
        <v>1.24</v>
      </c>
      <c r="K705">
        <v>7.4</v>
      </c>
      <c r="L705">
        <v>35.200000000000003</v>
      </c>
      <c r="M705">
        <v>84.1</v>
      </c>
      <c r="N705">
        <v>1.8</v>
      </c>
      <c r="O705">
        <v>87</v>
      </c>
      <c r="P705" t="s">
        <v>71</v>
      </c>
    </row>
    <row r="706" spans="1:16" x14ac:dyDescent="0.25">
      <c r="A706" t="s">
        <v>766</v>
      </c>
      <c r="B706" s="2">
        <v>45711</v>
      </c>
      <c r="C706" t="s">
        <v>22</v>
      </c>
      <c r="D706" t="s">
        <v>23</v>
      </c>
      <c r="E706" t="s">
        <v>97</v>
      </c>
      <c r="F706">
        <v>45.4</v>
      </c>
      <c r="G706">
        <v>124.8</v>
      </c>
      <c r="H706">
        <v>9.9</v>
      </c>
      <c r="I706">
        <v>17.5</v>
      </c>
      <c r="J706">
        <v>0.74</v>
      </c>
      <c r="K706">
        <v>33.799999999999997</v>
      </c>
      <c r="L706">
        <v>32</v>
      </c>
      <c r="M706">
        <v>59.9</v>
      </c>
      <c r="N706">
        <v>2.5</v>
      </c>
      <c r="O706">
        <v>208</v>
      </c>
      <c r="P706" t="s">
        <v>28</v>
      </c>
    </row>
    <row r="707" spans="1:16" x14ac:dyDescent="0.25">
      <c r="A707" t="s">
        <v>767</v>
      </c>
      <c r="B707" s="2">
        <v>45781</v>
      </c>
      <c r="C707" t="s">
        <v>42</v>
      </c>
      <c r="D707" t="s">
        <v>23</v>
      </c>
      <c r="E707" t="s">
        <v>32</v>
      </c>
      <c r="F707">
        <v>27.6</v>
      </c>
      <c r="G707">
        <v>92.4</v>
      </c>
      <c r="H707">
        <v>30.5</v>
      </c>
      <c r="I707">
        <v>6.2</v>
      </c>
      <c r="J707">
        <v>1.02</v>
      </c>
      <c r="K707">
        <v>21.6</v>
      </c>
      <c r="L707">
        <v>43</v>
      </c>
      <c r="M707">
        <v>92.6</v>
      </c>
      <c r="N707">
        <v>2.1</v>
      </c>
      <c r="O707">
        <v>168</v>
      </c>
      <c r="P707" t="s">
        <v>33</v>
      </c>
    </row>
    <row r="708" spans="1:16" x14ac:dyDescent="0.25">
      <c r="A708" t="s">
        <v>768</v>
      </c>
      <c r="B708" s="2">
        <v>45774</v>
      </c>
      <c r="C708" t="s">
        <v>30</v>
      </c>
      <c r="D708" t="s">
        <v>31</v>
      </c>
      <c r="E708" t="s">
        <v>27</v>
      </c>
      <c r="F708">
        <v>32.5</v>
      </c>
      <c r="G708">
        <v>17</v>
      </c>
      <c r="H708">
        <v>84.2</v>
      </c>
      <c r="I708">
        <v>6.3</v>
      </c>
      <c r="J708">
        <v>1.1399999999999999</v>
      </c>
      <c r="K708">
        <v>46.9</v>
      </c>
      <c r="L708">
        <v>31.7</v>
      </c>
      <c r="M708">
        <v>43.4</v>
      </c>
      <c r="N708">
        <v>2</v>
      </c>
      <c r="O708">
        <v>184</v>
      </c>
      <c r="P708" t="s">
        <v>33</v>
      </c>
    </row>
    <row r="709" spans="1:16" x14ac:dyDescent="0.25">
      <c r="A709" t="s">
        <v>769</v>
      </c>
      <c r="B709" s="2">
        <v>45977</v>
      </c>
      <c r="C709" t="s">
        <v>99</v>
      </c>
      <c r="D709" t="s">
        <v>36</v>
      </c>
      <c r="E709" t="s">
        <v>43</v>
      </c>
      <c r="F709">
        <v>80.2</v>
      </c>
      <c r="G709">
        <v>75.3</v>
      </c>
      <c r="H709">
        <v>32.5</v>
      </c>
      <c r="I709">
        <v>7.8</v>
      </c>
      <c r="J709">
        <v>0.55000000000000004</v>
      </c>
      <c r="K709">
        <v>27.2</v>
      </c>
      <c r="L709">
        <v>21.2</v>
      </c>
      <c r="M709">
        <v>55.4</v>
      </c>
      <c r="N709">
        <v>1.8</v>
      </c>
      <c r="O709">
        <v>235</v>
      </c>
      <c r="P709" t="s">
        <v>28</v>
      </c>
    </row>
    <row r="710" spans="1:16" x14ac:dyDescent="0.25">
      <c r="A710" t="s">
        <v>770</v>
      </c>
      <c r="B710" s="2">
        <v>46002</v>
      </c>
      <c r="C710" t="s">
        <v>38</v>
      </c>
      <c r="D710" t="s">
        <v>39</v>
      </c>
      <c r="E710" t="s">
        <v>68</v>
      </c>
      <c r="F710">
        <v>32.299999999999997</v>
      </c>
      <c r="G710">
        <v>143.19999999999999</v>
      </c>
      <c r="H710">
        <v>34.299999999999997</v>
      </c>
      <c r="I710">
        <v>12.9</v>
      </c>
      <c r="J710">
        <v>0.1</v>
      </c>
      <c r="K710">
        <v>7.3</v>
      </c>
      <c r="L710">
        <v>23</v>
      </c>
      <c r="M710">
        <v>74.400000000000006</v>
      </c>
      <c r="N710">
        <v>1.9</v>
      </c>
      <c r="O710">
        <v>187</v>
      </c>
      <c r="P710" t="s">
        <v>33</v>
      </c>
    </row>
    <row r="711" spans="1:16" x14ac:dyDescent="0.25">
      <c r="A711" t="s">
        <v>771</v>
      </c>
      <c r="B711" s="2">
        <v>45936</v>
      </c>
      <c r="C711" t="s">
        <v>26</v>
      </c>
      <c r="D711" t="s">
        <v>23</v>
      </c>
      <c r="E711" t="s">
        <v>19</v>
      </c>
      <c r="F711">
        <v>86.2</v>
      </c>
      <c r="G711">
        <v>56</v>
      </c>
      <c r="H711">
        <v>25.5</v>
      </c>
      <c r="I711">
        <v>6.1</v>
      </c>
      <c r="J711">
        <v>0.81</v>
      </c>
      <c r="K711">
        <v>31.8</v>
      </c>
      <c r="L711">
        <v>24.8</v>
      </c>
      <c r="M711">
        <v>72.2</v>
      </c>
      <c r="N711">
        <v>2.1</v>
      </c>
      <c r="O711">
        <v>234</v>
      </c>
      <c r="P711" t="s">
        <v>28</v>
      </c>
    </row>
    <row r="712" spans="1:16" x14ac:dyDescent="0.25">
      <c r="A712" t="s">
        <v>772</v>
      </c>
      <c r="B712" s="2">
        <v>45787</v>
      </c>
      <c r="C712" t="s">
        <v>93</v>
      </c>
      <c r="D712" t="s">
        <v>36</v>
      </c>
      <c r="E712" t="s">
        <v>91</v>
      </c>
      <c r="F712">
        <v>29.1</v>
      </c>
      <c r="G712">
        <v>37.799999999999997</v>
      </c>
      <c r="H712">
        <v>13.6</v>
      </c>
      <c r="I712">
        <v>17.899999999999999</v>
      </c>
      <c r="J712">
        <v>0.23</v>
      </c>
      <c r="K712">
        <v>52.8</v>
      </c>
      <c r="L712">
        <v>18.600000000000001</v>
      </c>
      <c r="M712">
        <v>51.3</v>
      </c>
      <c r="N712">
        <v>1.8</v>
      </c>
      <c r="O712">
        <v>124</v>
      </c>
      <c r="P712" t="s">
        <v>33</v>
      </c>
    </row>
    <row r="713" spans="1:16" x14ac:dyDescent="0.25">
      <c r="A713" t="s">
        <v>773</v>
      </c>
      <c r="B713" s="2">
        <v>45892</v>
      </c>
      <c r="C713" t="s">
        <v>30</v>
      </c>
      <c r="D713" t="s">
        <v>31</v>
      </c>
      <c r="E713" t="s">
        <v>61</v>
      </c>
      <c r="F713">
        <v>35.9</v>
      </c>
      <c r="G713">
        <v>49.8</v>
      </c>
      <c r="H713">
        <v>38.4</v>
      </c>
      <c r="I713">
        <v>8.4</v>
      </c>
      <c r="J713">
        <v>1.38</v>
      </c>
      <c r="K713">
        <v>94.8</v>
      </c>
      <c r="L713">
        <v>29.8</v>
      </c>
      <c r="M713">
        <v>54.6</v>
      </c>
      <c r="N713">
        <v>0.9</v>
      </c>
      <c r="O713">
        <v>204</v>
      </c>
      <c r="P713" t="s">
        <v>28</v>
      </c>
    </row>
    <row r="714" spans="1:16" x14ac:dyDescent="0.25">
      <c r="A714" t="s">
        <v>774</v>
      </c>
      <c r="B714" s="2">
        <v>45895</v>
      </c>
      <c r="C714" t="s">
        <v>30</v>
      </c>
      <c r="D714" t="s">
        <v>31</v>
      </c>
      <c r="E714" t="s">
        <v>24</v>
      </c>
      <c r="F714">
        <v>36.200000000000003</v>
      </c>
      <c r="G714">
        <v>48.4</v>
      </c>
      <c r="H714">
        <v>35.4</v>
      </c>
      <c r="I714">
        <v>3.1</v>
      </c>
      <c r="J714">
        <v>0.69</v>
      </c>
      <c r="K714">
        <v>41.5</v>
      </c>
      <c r="L714">
        <v>30.8</v>
      </c>
      <c r="M714">
        <v>78.7</v>
      </c>
      <c r="N714">
        <v>1.1000000000000001</v>
      </c>
      <c r="O714">
        <v>156</v>
      </c>
      <c r="P714" t="s">
        <v>33</v>
      </c>
    </row>
    <row r="715" spans="1:16" x14ac:dyDescent="0.25">
      <c r="A715" t="s">
        <v>775</v>
      </c>
      <c r="B715" s="2">
        <v>45789</v>
      </c>
      <c r="C715" t="s">
        <v>64</v>
      </c>
      <c r="D715" t="s">
        <v>36</v>
      </c>
      <c r="E715" t="s">
        <v>97</v>
      </c>
      <c r="F715">
        <v>65.7</v>
      </c>
      <c r="G715">
        <v>160.80000000000001</v>
      </c>
      <c r="H715">
        <v>9.6999999999999993</v>
      </c>
      <c r="I715">
        <v>12.4</v>
      </c>
      <c r="J715">
        <v>2.4</v>
      </c>
      <c r="K715">
        <v>21</v>
      </c>
      <c r="L715">
        <v>25.9</v>
      </c>
      <c r="M715">
        <v>33.200000000000003</v>
      </c>
      <c r="N715">
        <v>1.2</v>
      </c>
      <c r="O715">
        <v>296</v>
      </c>
      <c r="P715" t="s">
        <v>28</v>
      </c>
    </row>
    <row r="716" spans="1:16" x14ac:dyDescent="0.25">
      <c r="A716" t="s">
        <v>776</v>
      </c>
      <c r="B716" s="2">
        <v>45751</v>
      </c>
      <c r="C716" t="s">
        <v>35</v>
      </c>
      <c r="D716" t="s">
        <v>36</v>
      </c>
      <c r="E716" t="s">
        <v>70</v>
      </c>
      <c r="F716">
        <v>49.7</v>
      </c>
      <c r="G716">
        <v>174.9</v>
      </c>
      <c r="H716">
        <v>13</v>
      </c>
      <c r="I716">
        <v>3.3</v>
      </c>
      <c r="J716">
        <v>0.95</v>
      </c>
      <c r="K716">
        <v>5.6</v>
      </c>
      <c r="L716">
        <v>34.5</v>
      </c>
      <c r="M716">
        <v>67.5</v>
      </c>
      <c r="N716">
        <v>3.1</v>
      </c>
      <c r="O716">
        <v>232</v>
      </c>
      <c r="P716" t="s">
        <v>28</v>
      </c>
    </row>
    <row r="717" spans="1:16" x14ac:dyDescent="0.25">
      <c r="A717" t="s">
        <v>777</v>
      </c>
      <c r="B717" s="2">
        <v>45707</v>
      </c>
      <c r="C717" t="s">
        <v>38</v>
      </c>
      <c r="D717" t="s">
        <v>39</v>
      </c>
      <c r="E717" t="s">
        <v>45</v>
      </c>
      <c r="F717">
        <v>71.7</v>
      </c>
      <c r="G717">
        <v>100</v>
      </c>
      <c r="H717">
        <v>31.2</v>
      </c>
      <c r="I717">
        <v>7.5</v>
      </c>
      <c r="J717">
        <v>0.32</v>
      </c>
      <c r="K717">
        <v>25.2</v>
      </c>
      <c r="L717">
        <v>22.8</v>
      </c>
      <c r="M717">
        <v>75.599999999999994</v>
      </c>
      <c r="N717">
        <v>3.4</v>
      </c>
      <c r="O717">
        <v>229</v>
      </c>
      <c r="P717" t="s">
        <v>28</v>
      </c>
    </row>
    <row r="718" spans="1:16" x14ac:dyDescent="0.25">
      <c r="A718" t="s">
        <v>778</v>
      </c>
      <c r="B718" s="2">
        <v>45824</v>
      </c>
      <c r="C718" t="s">
        <v>35</v>
      </c>
      <c r="D718" t="s">
        <v>36</v>
      </c>
      <c r="E718" t="s">
        <v>61</v>
      </c>
      <c r="F718">
        <v>20.399999999999999</v>
      </c>
      <c r="G718">
        <v>35</v>
      </c>
      <c r="H718">
        <v>25.3</v>
      </c>
      <c r="I718">
        <v>9.8000000000000007</v>
      </c>
      <c r="J718">
        <v>0.71</v>
      </c>
      <c r="K718">
        <v>28.1</v>
      </c>
      <c r="L718">
        <v>22.6</v>
      </c>
      <c r="M718">
        <v>28.9</v>
      </c>
      <c r="N718">
        <v>1.8</v>
      </c>
      <c r="O718">
        <v>113</v>
      </c>
      <c r="P718" t="s">
        <v>33</v>
      </c>
    </row>
    <row r="719" spans="1:16" x14ac:dyDescent="0.25">
      <c r="A719" t="s">
        <v>779</v>
      </c>
      <c r="B719" s="2">
        <v>45875</v>
      </c>
      <c r="C719" t="s">
        <v>64</v>
      </c>
      <c r="D719" t="s">
        <v>36</v>
      </c>
      <c r="E719" t="s">
        <v>43</v>
      </c>
      <c r="F719">
        <v>60.6</v>
      </c>
      <c r="G719">
        <v>65.8</v>
      </c>
      <c r="H719">
        <v>30.3</v>
      </c>
      <c r="I719">
        <v>8.3000000000000007</v>
      </c>
      <c r="J719">
        <v>1.3</v>
      </c>
      <c r="K719">
        <v>19.899999999999999</v>
      </c>
      <c r="L719">
        <v>30.4</v>
      </c>
      <c r="M719">
        <v>66.900000000000006</v>
      </c>
      <c r="N719">
        <v>0.6</v>
      </c>
      <c r="O719">
        <v>211</v>
      </c>
      <c r="P719" t="s">
        <v>28</v>
      </c>
    </row>
    <row r="720" spans="1:16" x14ac:dyDescent="0.25">
      <c r="A720" t="s">
        <v>780</v>
      </c>
      <c r="B720" s="2">
        <v>45921</v>
      </c>
      <c r="C720" t="s">
        <v>35</v>
      </c>
      <c r="D720" t="s">
        <v>36</v>
      </c>
      <c r="E720" t="s">
        <v>58</v>
      </c>
      <c r="F720">
        <v>41.3</v>
      </c>
      <c r="G720">
        <v>138.9</v>
      </c>
      <c r="H720">
        <v>37.5</v>
      </c>
      <c r="I720">
        <v>3.8</v>
      </c>
      <c r="J720">
        <v>0.82</v>
      </c>
      <c r="K720">
        <v>6.7</v>
      </c>
      <c r="L720">
        <v>29.3</v>
      </c>
      <c r="M720">
        <v>78.2</v>
      </c>
      <c r="N720">
        <v>2.1</v>
      </c>
      <c r="O720">
        <v>213</v>
      </c>
      <c r="P720" t="s">
        <v>28</v>
      </c>
    </row>
    <row r="721" spans="1:16" x14ac:dyDescent="0.25">
      <c r="A721" t="s">
        <v>781</v>
      </c>
      <c r="B721" s="2">
        <v>45732</v>
      </c>
      <c r="C721" t="s">
        <v>81</v>
      </c>
      <c r="D721" t="s">
        <v>39</v>
      </c>
      <c r="E721" t="s">
        <v>40</v>
      </c>
      <c r="F721">
        <v>44.5</v>
      </c>
      <c r="G721">
        <v>63.2</v>
      </c>
      <c r="H721">
        <v>38.700000000000003</v>
      </c>
      <c r="I721">
        <v>22.8</v>
      </c>
      <c r="J721">
        <v>0.93</v>
      </c>
      <c r="K721">
        <v>88</v>
      </c>
      <c r="L721">
        <v>35.799999999999997</v>
      </c>
      <c r="M721">
        <v>45.8</v>
      </c>
      <c r="N721">
        <v>1.2</v>
      </c>
      <c r="O721">
        <v>222</v>
      </c>
      <c r="P721" t="s">
        <v>28</v>
      </c>
    </row>
    <row r="722" spans="1:16" x14ac:dyDescent="0.25">
      <c r="A722" t="s">
        <v>782</v>
      </c>
      <c r="B722" s="2">
        <v>45891</v>
      </c>
      <c r="C722" t="s">
        <v>81</v>
      </c>
      <c r="D722" t="s">
        <v>39</v>
      </c>
      <c r="E722" t="s">
        <v>74</v>
      </c>
      <c r="F722">
        <v>69.3</v>
      </c>
      <c r="G722">
        <v>178.6</v>
      </c>
      <c r="H722">
        <v>22.3</v>
      </c>
      <c r="I722">
        <v>7.5</v>
      </c>
      <c r="J722">
        <v>0.68</v>
      </c>
      <c r="K722">
        <v>6.1</v>
      </c>
      <c r="L722">
        <v>36.9</v>
      </c>
      <c r="M722">
        <v>58.5</v>
      </c>
      <c r="N722">
        <v>0.9</v>
      </c>
      <c r="O722">
        <v>270</v>
      </c>
      <c r="P722" t="s">
        <v>28</v>
      </c>
    </row>
    <row r="723" spans="1:16" x14ac:dyDescent="0.25">
      <c r="A723" t="s">
        <v>783</v>
      </c>
      <c r="B723" s="2">
        <v>45978</v>
      </c>
      <c r="C723" t="s">
        <v>30</v>
      </c>
      <c r="D723" t="s">
        <v>31</v>
      </c>
      <c r="E723" t="s">
        <v>24</v>
      </c>
      <c r="F723">
        <v>21.7</v>
      </c>
      <c r="G723">
        <v>127.7</v>
      </c>
      <c r="H723">
        <v>10</v>
      </c>
      <c r="I723">
        <v>2</v>
      </c>
      <c r="J723">
        <v>0.32</v>
      </c>
      <c r="K723">
        <v>34.9</v>
      </c>
      <c r="L723">
        <v>34.9</v>
      </c>
      <c r="M723">
        <v>41.6</v>
      </c>
      <c r="N723">
        <v>0.4</v>
      </c>
      <c r="O723">
        <v>151</v>
      </c>
      <c r="P723" t="s">
        <v>33</v>
      </c>
    </row>
    <row r="724" spans="1:16" x14ac:dyDescent="0.25">
      <c r="A724" t="s">
        <v>784</v>
      </c>
      <c r="B724" s="2">
        <v>45939</v>
      </c>
      <c r="C724" t="s">
        <v>93</v>
      </c>
      <c r="D724" t="s">
        <v>36</v>
      </c>
      <c r="E724" t="s">
        <v>61</v>
      </c>
      <c r="F724">
        <v>37.200000000000003</v>
      </c>
      <c r="G724">
        <v>189.4</v>
      </c>
      <c r="H724">
        <v>14.1</v>
      </c>
      <c r="I724">
        <v>5.4</v>
      </c>
      <c r="J724">
        <v>0.05</v>
      </c>
      <c r="K724">
        <v>109.3</v>
      </c>
      <c r="L724">
        <v>26.4</v>
      </c>
      <c r="M724">
        <v>41.6</v>
      </c>
      <c r="N724">
        <v>2.8</v>
      </c>
      <c r="O724">
        <v>248</v>
      </c>
      <c r="P724" t="s">
        <v>28</v>
      </c>
    </row>
    <row r="725" spans="1:16" x14ac:dyDescent="0.25">
      <c r="A725" t="s">
        <v>785</v>
      </c>
      <c r="B725" s="2">
        <v>45978</v>
      </c>
      <c r="C725" t="s">
        <v>22</v>
      </c>
      <c r="D725" t="s">
        <v>23</v>
      </c>
      <c r="E725" t="s">
        <v>97</v>
      </c>
      <c r="F725">
        <v>28.1</v>
      </c>
      <c r="G725">
        <v>31.9</v>
      </c>
      <c r="H725">
        <v>7.9</v>
      </c>
      <c r="I725">
        <v>8.5</v>
      </c>
      <c r="J725">
        <v>0.34</v>
      </c>
      <c r="K725">
        <v>39.9</v>
      </c>
      <c r="L725">
        <v>23.4</v>
      </c>
      <c r="M725">
        <v>63.1</v>
      </c>
      <c r="N725">
        <v>1.8</v>
      </c>
      <c r="O725">
        <v>104</v>
      </c>
      <c r="P725" t="s">
        <v>33</v>
      </c>
    </row>
    <row r="726" spans="1:16" x14ac:dyDescent="0.25">
      <c r="A726" t="s">
        <v>786</v>
      </c>
      <c r="B726" s="2">
        <v>45948</v>
      </c>
      <c r="C726" t="s">
        <v>35</v>
      </c>
      <c r="D726" t="s">
        <v>36</v>
      </c>
      <c r="E726" t="s">
        <v>97</v>
      </c>
      <c r="F726">
        <v>76.2</v>
      </c>
      <c r="G726">
        <v>97.3</v>
      </c>
      <c r="H726">
        <v>8.3000000000000007</v>
      </c>
      <c r="I726">
        <v>19.899999999999999</v>
      </c>
      <c r="J726">
        <v>0.94</v>
      </c>
      <c r="K726">
        <v>81.400000000000006</v>
      </c>
      <c r="L726">
        <v>21.3</v>
      </c>
      <c r="M726">
        <v>66.599999999999994</v>
      </c>
      <c r="N726">
        <v>2.2000000000000002</v>
      </c>
      <c r="O726">
        <v>266</v>
      </c>
      <c r="P726" t="s">
        <v>28</v>
      </c>
    </row>
    <row r="727" spans="1:16" x14ac:dyDescent="0.25">
      <c r="A727" t="s">
        <v>787</v>
      </c>
      <c r="B727" s="2">
        <v>45838</v>
      </c>
      <c r="C727" t="s">
        <v>50</v>
      </c>
      <c r="D727" t="s">
        <v>31</v>
      </c>
      <c r="E727" t="s">
        <v>97</v>
      </c>
      <c r="F727">
        <v>73.099999999999994</v>
      </c>
      <c r="G727">
        <v>185.4</v>
      </c>
      <c r="H727">
        <v>48.6</v>
      </c>
      <c r="I727">
        <v>15.5</v>
      </c>
      <c r="J727">
        <v>0.59</v>
      </c>
      <c r="K727">
        <v>36.799999999999997</v>
      </c>
      <c r="L727">
        <v>25.2</v>
      </c>
      <c r="M727">
        <v>45.6</v>
      </c>
      <c r="N727">
        <v>3.8</v>
      </c>
      <c r="O727">
        <v>319</v>
      </c>
      <c r="P727" t="s">
        <v>20</v>
      </c>
    </row>
    <row r="728" spans="1:16" x14ac:dyDescent="0.25">
      <c r="A728" t="s">
        <v>788</v>
      </c>
      <c r="B728" s="2">
        <v>46020</v>
      </c>
      <c r="C728" t="s">
        <v>17</v>
      </c>
      <c r="D728" t="s">
        <v>18</v>
      </c>
      <c r="E728" t="s">
        <v>19</v>
      </c>
      <c r="F728">
        <v>16.3</v>
      </c>
      <c r="G728">
        <v>73</v>
      </c>
      <c r="H728">
        <v>40.299999999999997</v>
      </c>
      <c r="I728">
        <v>2.1</v>
      </c>
      <c r="J728">
        <v>0.93</v>
      </c>
      <c r="K728">
        <v>14.8</v>
      </c>
      <c r="L728">
        <v>25.1</v>
      </c>
      <c r="M728">
        <v>45</v>
      </c>
      <c r="N728">
        <v>0.7</v>
      </c>
      <c r="O728">
        <v>137</v>
      </c>
      <c r="P728" t="s">
        <v>33</v>
      </c>
    </row>
    <row r="729" spans="1:16" x14ac:dyDescent="0.25">
      <c r="A729" t="s">
        <v>789</v>
      </c>
      <c r="B729" s="2">
        <v>45909</v>
      </c>
      <c r="C729" t="s">
        <v>50</v>
      </c>
      <c r="D729" t="s">
        <v>31</v>
      </c>
      <c r="E729" t="s">
        <v>68</v>
      </c>
      <c r="F729">
        <v>32</v>
      </c>
      <c r="G729">
        <v>136.30000000000001</v>
      </c>
      <c r="H729">
        <v>25</v>
      </c>
      <c r="I729">
        <v>9.4</v>
      </c>
      <c r="J729">
        <v>1.54</v>
      </c>
      <c r="K729">
        <v>71</v>
      </c>
      <c r="L729">
        <v>32</v>
      </c>
      <c r="M729">
        <v>63.9</v>
      </c>
      <c r="N729">
        <v>1.6</v>
      </c>
      <c r="O729">
        <v>237</v>
      </c>
      <c r="P729" t="s">
        <v>28</v>
      </c>
    </row>
    <row r="730" spans="1:16" x14ac:dyDescent="0.25">
      <c r="A730" t="s">
        <v>790</v>
      </c>
      <c r="B730" s="2">
        <v>45826</v>
      </c>
      <c r="C730" t="s">
        <v>99</v>
      </c>
      <c r="D730" t="s">
        <v>36</v>
      </c>
      <c r="E730" t="s">
        <v>43</v>
      </c>
      <c r="F730">
        <v>35.299999999999997</v>
      </c>
      <c r="G730">
        <v>112.5</v>
      </c>
      <c r="H730">
        <v>29.4</v>
      </c>
      <c r="I730">
        <v>1.6</v>
      </c>
      <c r="J730">
        <v>0.4</v>
      </c>
      <c r="K730">
        <v>29.1</v>
      </c>
      <c r="L730">
        <v>34.299999999999997</v>
      </c>
      <c r="M730">
        <v>76</v>
      </c>
      <c r="N730">
        <v>2.7</v>
      </c>
      <c r="O730">
        <v>177</v>
      </c>
      <c r="P730" t="s">
        <v>33</v>
      </c>
    </row>
    <row r="731" spans="1:16" x14ac:dyDescent="0.25">
      <c r="A731" t="s">
        <v>791</v>
      </c>
      <c r="B731" s="2">
        <v>45923</v>
      </c>
      <c r="C731" t="s">
        <v>67</v>
      </c>
      <c r="D731" t="s">
        <v>18</v>
      </c>
      <c r="E731" t="s">
        <v>70</v>
      </c>
      <c r="F731">
        <v>19.3</v>
      </c>
      <c r="G731">
        <v>26.2</v>
      </c>
      <c r="H731">
        <v>21</v>
      </c>
      <c r="I731">
        <v>25.7</v>
      </c>
      <c r="J731">
        <v>0.11</v>
      </c>
      <c r="K731">
        <v>77.5</v>
      </c>
      <c r="L731">
        <v>22.4</v>
      </c>
      <c r="M731">
        <v>30.3</v>
      </c>
      <c r="N731">
        <v>2.8</v>
      </c>
      <c r="O731">
        <v>120</v>
      </c>
      <c r="P731" t="s">
        <v>33</v>
      </c>
    </row>
    <row r="732" spans="1:16" x14ac:dyDescent="0.25">
      <c r="A732" t="s">
        <v>792</v>
      </c>
      <c r="B732" s="2">
        <v>46001</v>
      </c>
      <c r="C732" t="s">
        <v>77</v>
      </c>
      <c r="D732" t="s">
        <v>39</v>
      </c>
      <c r="E732" t="s">
        <v>45</v>
      </c>
      <c r="F732">
        <v>31.6</v>
      </c>
      <c r="G732">
        <v>42.5</v>
      </c>
      <c r="H732">
        <v>14.6</v>
      </c>
      <c r="I732">
        <v>18.600000000000001</v>
      </c>
      <c r="J732">
        <v>2.12</v>
      </c>
      <c r="K732">
        <v>20</v>
      </c>
      <c r="L732">
        <v>31.3</v>
      </c>
      <c r="M732">
        <v>67.2</v>
      </c>
      <c r="N732">
        <v>2.9</v>
      </c>
      <c r="O732">
        <v>165</v>
      </c>
      <c r="P732" t="s">
        <v>33</v>
      </c>
    </row>
    <row r="733" spans="1:16" x14ac:dyDescent="0.25">
      <c r="A733" t="s">
        <v>793</v>
      </c>
      <c r="B733" s="2">
        <v>45783</v>
      </c>
      <c r="C733" t="s">
        <v>99</v>
      </c>
      <c r="D733" t="s">
        <v>36</v>
      </c>
      <c r="E733" t="s">
        <v>45</v>
      </c>
      <c r="F733">
        <v>41.6</v>
      </c>
      <c r="G733">
        <v>47.8</v>
      </c>
      <c r="H733">
        <v>94.6</v>
      </c>
      <c r="I733">
        <v>17.7</v>
      </c>
      <c r="J733">
        <v>0.81</v>
      </c>
      <c r="K733">
        <v>37.9</v>
      </c>
      <c r="L733">
        <v>26.1</v>
      </c>
      <c r="M733">
        <v>62.3</v>
      </c>
      <c r="N733">
        <v>0.9</v>
      </c>
      <c r="O733">
        <v>223</v>
      </c>
      <c r="P733" t="s">
        <v>28</v>
      </c>
    </row>
    <row r="734" spans="1:16" x14ac:dyDescent="0.25">
      <c r="A734" t="s">
        <v>794</v>
      </c>
      <c r="B734" s="2">
        <v>45662</v>
      </c>
      <c r="C734" t="s">
        <v>77</v>
      </c>
      <c r="D734" t="s">
        <v>39</v>
      </c>
      <c r="E734" t="s">
        <v>70</v>
      </c>
      <c r="F734">
        <v>122.4</v>
      </c>
      <c r="G734">
        <v>70.8</v>
      </c>
      <c r="H734">
        <v>49.8</v>
      </c>
      <c r="I734">
        <v>16</v>
      </c>
      <c r="J734">
        <v>0.51</v>
      </c>
      <c r="K734">
        <v>27.7</v>
      </c>
      <c r="L734">
        <v>31.7</v>
      </c>
      <c r="M734">
        <v>63.6</v>
      </c>
      <c r="N734">
        <v>3.9</v>
      </c>
      <c r="O734">
        <v>318</v>
      </c>
      <c r="P734" t="s">
        <v>20</v>
      </c>
    </row>
    <row r="735" spans="1:16" x14ac:dyDescent="0.25">
      <c r="A735" t="s">
        <v>795</v>
      </c>
      <c r="B735" s="2">
        <v>45714</v>
      </c>
      <c r="C735" t="s">
        <v>17</v>
      </c>
      <c r="D735" t="s">
        <v>18</v>
      </c>
      <c r="E735" t="s">
        <v>45</v>
      </c>
      <c r="F735">
        <v>64.900000000000006</v>
      </c>
      <c r="G735">
        <v>101</v>
      </c>
      <c r="H735">
        <v>50</v>
      </c>
      <c r="I735">
        <v>6.1</v>
      </c>
      <c r="J735">
        <v>1.01</v>
      </c>
      <c r="K735">
        <v>4.5999999999999996</v>
      </c>
      <c r="L735">
        <v>22.4</v>
      </c>
      <c r="M735">
        <v>65.8</v>
      </c>
      <c r="N735">
        <v>0.1</v>
      </c>
      <c r="O735">
        <v>241</v>
      </c>
      <c r="P735" t="s">
        <v>28</v>
      </c>
    </row>
    <row r="736" spans="1:16" x14ac:dyDescent="0.25">
      <c r="A736" t="s">
        <v>796</v>
      </c>
      <c r="B736" s="2">
        <v>45924</v>
      </c>
      <c r="C736" t="s">
        <v>99</v>
      </c>
      <c r="D736" t="s">
        <v>36</v>
      </c>
      <c r="E736" t="s">
        <v>45</v>
      </c>
      <c r="F736">
        <v>40.1</v>
      </c>
      <c r="G736">
        <v>72.599999999999994</v>
      </c>
      <c r="H736">
        <v>37.700000000000003</v>
      </c>
      <c r="I736">
        <v>30.9</v>
      </c>
      <c r="J736">
        <v>0.1</v>
      </c>
      <c r="K736">
        <v>40.9</v>
      </c>
      <c r="L736">
        <v>27.6</v>
      </c>
      <c r="M736">
        <v>79.400000000000006</v>
      </c>
      <c r="N736">
        <v>2.2999999999999998</v>
      </c>
      <c r="O736">
        <v>184</v>
      </c>
      <c r="P736" t="s">
        <v>33</v>
      </c>
    </row>
    <row r="737" spans="1:16" x14ac:dyDescent="0.25">
      <c r="A737" t="s">
        <v>797</v>
      </c>
      <c r="B737" s="2">
        <v>45814</v>
      </c>
      <c r="C737" t="s">
        <v>42</v>
      </c>
      <c r="D737" t="s">
        <v>23</v>
      </c>
      <c r="E737" t="s">
        <v>97</v>
      </c>
      <c r="F737">
        <v>102.5</v>
      </c>
      <c r="G737">
        <v>67.3</v>
      </c>
      <c r="H737">
        <v>19.899999999999999</v>
      </c>
      <c r="I737">
        <v>9.5</v>
      </c>
      <c r="J737">
        <v>0.28999999999999998</v>
      </c>
      <c r="K737">
        <v>53.1</v>
      </c>
      <c r="L737">
        <v>38.799999999999997</v>
      </c>
      <c r="M737">
        <v>77.7</v>
      </c>
      <c r="N737">
        <v>2.5</v>
      </c>
      <c r="O737">
        <v>261</v>
      </c>
      <c r="P737" t="s">
        <v>28</v>
      </c>
    </row>
    <row r="738" spans="1:16" x14ac:dyDescent="0.25">
      <c r="A738" t="s">
        <v>798</v>
      </c>
      <c r="B738" s="2">
        <v>45669</v>
      </c>
      <c r="C738" t="s">
        <v>64</v>
      </c>
      <c r="D738" t="s">
        <v>36</v>
      </c>
      <c r="E738" t="s">
        <v>58</v>
      </c>
      <c r="F738">
        <v>31.1</v>
      </c>
      <c r="G738">
        <v>135</v>
      </c>
      <c r="H738">
        <v>41</v>
      </c>
      <c r="I738">
        <v>9</v>
      </c>
      <c r="J738">
        <v>0.17</v>
      </c>
      <c r="K738">
        <v>20.9</v>
      </c>
      <c r="L738">
        <v>22.8</v>
      </c>
      <c r="M738">
        <v>79.099999999999994</v>
      </c>
      <c r="N738">
        <v>4.9000000000000004</v>
      </c>
      <c r="O738">
        <v>190</v>
      </c>
      <c r="P738" t="s">
        <v>33</v>
      </c>
    </row>
    <row r="739" spans="1:16" x14ac:dyDescent="0.25">
      <c r="A739" t="s">
        <v>799</v>
      </c>
      <c r="B739" s="2">
        <v>45841</v>
      </c>
      <c r="C739" t="s">
        <v>67</v>
      </c>
      <c r="D739" t="s">
        <v>18</v>
      </c>
      <c r="E739" t="s">
        <v>43</v>
      </c>
      <c r="F739">
        <v>32.1</v>
      </c>
      <c r="G739">
        <v>214.6</v>
      </c>
      <c r="H739">
        <v>30.6</v>
      </c>
      <c r="I739">
        <v>3.5</v>
      </c>
      <c r="J739">
        <v>0.47</v>
      </c>
      <c r="K739">
        <v>12.8</v>
      </c>
      <c r="L739">
        <v>21.3</v>
      </c>
      <c r="M739">
        <v>64.8</v>
      </c>
      <c r="N739">
        <v>2</v>
      </c>
      <c r="O739">
        <v>235</v>
      </c>
      <c r="P739" t="s">
        <v>28</v>
      </c>
    </row>
    <row r="740" spans="1:16" x14ac:dyDescent="0.25">
      <c r="A740" t="s">
        <v>800</v>
      </c>
      <c r="B740" s="2">
        <v>45988</v>
      </c>
      <c r="C740" t="s">
        <v>38</v>
      </c>
      <c r="D740" t="s">
        <v>39</v>
      </c>
      <c r="E740" t="s">
        <v>74</v>
      </c>
      <c r="F740">
        <v>51.6</v>
      </c>
      <c r="G740">
        <v>23.1</v>
      </c>
      <c r="H740">
        <v>29.2</v>
      </c>
      <c r="I740">
        <v>7.5</v>
      </c>
      <c r="J740">
        <v>0.33</v>
      </c>
      <c r="K740">
        <v>38.5</v>
      </c>
      <c r="L740">
        <v>28.3</v>
      </c>
      <c r="M740">
        <v>48.1</v>
      </c>
      <c r="N740">
        <v>3.2</v>
      </c>
      <c r="O740">
        <v>152</v>
      </c>
      <c r="P740" t="s">
        <v>33</v>
      </c>
    </row>
    <row r="741" spans="1:16" x14ac:dyDescent="0.25">
      <c r="A741" t="s">
        <v>801</v>
      </c>
      <c r="B741" s="2">
        <v>45911</v>
      </c>
      <c r="C741" t="s">
        <v>93</v>
      </c>
      <c r="D741" t="s">
        <v>36</v>
      </c>
      <c r="E741" t="s">
        <v>27</v>
      </c>
      <c r="F741">
        <v>66.3</v>
      </c>
      <c r="G741">
        <v>186.8</v>
      </c>
      <c r="H741">
        <v>52.2</v>
      </c>
      <c r="I741">
        <v>23.4</v>
      </c>
      <c r="J741">
        <v>0.08</v>
      </c>
      <c r="K741">
        <v>20.7</v>
      </c>
      <c r="L741">
        <v>25.3</v>
      </c>
      <c r="M741">
        <v>46.8</v>
      </c>
      <c r="N741">
        <v>3.1</v>
      </c>
      <c r="O741">
        <v>297</v>
      </c>
      <c r="P741" t="s">
        <v>28</v>
      </c>
    </row>
    <row r="742" spans="1:16" x14ac:dyDescent="0.25">
      <c r="A742" t="s">
        <v>802</v>
      </c>
      <c r="B742" s="2">
        <v>46000</v>
      </c>
      <c r="C742" t="s">
        <v>54</v>
      </c>
      <c r="D742" t="s">
        <v>18</v>
      </c>
      <c r="E742" t="s">
        <v>97</v>
      </c>
      <c r="F742">
        <v>23.4</v>
      </c>
      <c r="G742">
        <v>82.6</v>
      </c>
      <c r="H742">
        <v>14.5</v>
      </c>
      <c r="I742">
        <v>2.2000000000000002</v>
      </c>
      <c r="J742">
        <v>1.56</v>
      </c>
      <c r="K742">
        <v>32.5</v>
      </c>
      <c r="L742">
        <v>30.8</v>
      </c>
      <c r="M742">
        <v>73.5</v>
      </c>
      <c r="N742">
        <v>2.1</v>
      </c>
      <c r="O742">
        <v>158</v>
      </c>
      <c r="P742" t="s">
        <v>33</v>
      </c>
    </row>
    <row r="743" spans="1:16" x14ac:dyDescent="0.25">
      <c r="A743" t="s">
        <v>803</v>
      </c>
      <c r="B743" s="2">
        <v>45907</v>
      </c>
      <c r="C743" t="s">
        <v>35</v>
      </c>
      <c r="D743" t="s">
        <v>36</v>
      </c>
      <c r="E743" t="s">
        <v>70</v>
      </c>
      <c r="F743">
        <v>47.4</v>
      </c>
      <c r="G743">
        <v>82.9</v>
      </c>
      <c r="H743">
        <v>25.8</v>
      </c>
      <c r="I743">
        <v>15.9</v>
      </c>
      <c r="J743">
        <v>1.01</v>
      </c>
      <c r="K743">
        <v>29.2</v>
      </c>
      <c r="L743">
        <v>29.6</v>
      </c>
      <c r="M743">
        <v>73.8</v>
      </c>
      <c r="N743">
        <v>2.4</v>
      </c>
      <c r="O743">
        <v>200</v>
      </c>
      <c r="P743" t="s">
        <v>33</v>
      </c>
    </row>
    <row r="744" spans="1:16" x14ac:dyDescent="0.25">
      <c r="A744" t="s">
        <v>804</v>
      </c>
      <c r="B744" s="2">
        <v>45681</v>
      </c>
      <c r="C744" t="s">
        <v>35</v>
      </c>
      <c r="D744" t="s">
        <v>36</v>
      </c>
      <c r="E744" t="s">
        <v>74</v>
      </c>
      <c r="F744">
        <v>34.700000000000003</v>
      </c>
      <c r="G744">
        <v>192.5</v>
      </c>
      <c r="H744">
        <v>55.2</v>
      </c>
      <c r="I744">
        <v>13.7</v>
      </c>
      <c r="J744">
        <v>0.31</v>
      </c>
      <c r="K744">
        <v>17.3</v>
      </c>
      <c r="L744">
        <v>28.7</v>
      </c>
      <c r="M744">
        <v>88.4</v>
      </c>
      <c r="N744">
        <v>1.7</v>
      </c>
      <c r="O744">
        <v>250</v>
      </c>
      <c r="P744" t="s">
        <v>28</v>
      </c>
    </row>
    <row r="745" spans="1:16" x14ac:dyDescent="0.25">
      <c r="A745" t="s">
        <v>805</v>
      </c>
      <c r="B745" s="2">
        <v>45678</v>
      </c>
      <c r="C745" t="s">
        <v>42</v>
      </c>
      <c r="D745" t="s">
        <v>23</v>
      </c>
      <c r="E745" t="s">
        <v>55</v>
      </c>
      <c r="F745">
        <v>62</v>
      </c>
      <c r="G745">
        <v>87.5</v>
      </c>
      <c r="H745">
        <v>14.1</v>
      </c>
      <c r="I745">
        <v>3.9</v>
      </c>
      <c r="J745">
        <v>0.52</v>
      </c>
      <c r="K745">
        <v>8.4</v>
      </c>
      <c r="L745">
        <v>15.9</v>
      </c>
      <c r="M745">
        <v>57.4</v>
      </c>
      <c r="N745">
        <v>2.6</v>
      </c>
      <c r="O745">
        <v>187</v>
      </c>
      <c r="P745" t="s">
        <v>33</v>
      </c>
    </row>
    <row r="746" spans="1:16" x14ac:dyDescent="0.25">
      <c r="A746" t="s">
        <v>806</v>
      </c>
      <c r="B746" s="2">
        <v>45947</v>
      </c>
      <c r="C746" t="s">
        <v>67</v>
      </c>
      <c r="D746" t="s">
        <v>18</v>
      </c>
      <c r="E746" t="s">
        <v>58</v>
      </c>
      <c r="F746">
        <v>97.7</v>
      </c>
      <c r="G746">
        <v>108.2</v>
      </c>
      <c r="H746">
        <v>45.6</v>
      </c>
      <c r="I746">
        <v>8.5</v>
      </c>
      <c r="J746">
        <v>0.2</v>
      </c>
      <c r="K746">
        <v>76.099999999999994</v>
      </c>
      <c r="L746">
        <v>26.6</v>
      </c>
      <c r="M746">
        <v>69.599999999999994</v>
      </c>
      <c r="N746">
        <v>2</v>
      </c>
      <c r="O746">
        <v>308</v>
      </c>
      <c r="P746" t="s">
        <v>20</v>
      </c>
    </row>
    <row r="747" spans="1:16" x14ac:dyDescent="0.25">
      <c r="A747" t="s">
        <v>807</v>
      </c>
      <c r="B747" s="2">
        <v>45994</v>
      </c>
      <c r="C747" t="s">
        <v>17</v>
      </c>
      <c r="D747" t="s">
        <v>18</v>
      </c>
      <c r="E747" t="s">
        <v>68</v>
      </c>
      <c r="F747">
        <v>55</v>
      </c>
      <c r="G747">
        <v>123.3</v>
      </c>
      <c r="H747">
        <v>34.200000000000003</v>
      </c>
      <c r="I747">
        <v>9.6999999999999993</v>
      </c>
      <c r="J747">
        <v>0.3</v>
      </c>
      <c r="K747">
        <v>8.1999999999999993</v>
      </c>
      <c r="L747">
        <v>35.5</v>
      </c>
      <c r="M747">
        <v>38.9</v>
      </c>
      <c r="N747">
        <v>1.6</v>
      </c>
      <c r="O747">
        <v>213</v>
      </c>
      <c r="P747" t="s">
        <v>28</v>
      </c>
    </row>
    <row r="748" spans="1:16" x14ac:dyDescent="0.25">
      <c r="A748" t="s">
        <v>808</v>
      </c>
      <c r="B748" s="2">
        <v>45853</v>
      </c>
      <c r="C748" t="s">
        <v>99</v>
      </c>
      <c r="D748" t="s">
        <v>36</v>
      </c>
      <c r="E748" t="s">
        <v>27</v>
      </c>
      <c r="F748">
        <v>78.599999999999994</v>
      </c>
      <c r="G748">
        <v>28.4</v>
      </c>
      <c r="H748">
        <v>15.1</v>
      </c>
      <c r="I748">
        <v>28.7</v>
      </c>
      <c r="J748">
        <v>0.77</v>
      </c>
      <c r="K748">
        <v>38.1</v>
      </c>
      <c r="L748">
        <v>33.1</v>
      </c>
      <c r="M748">
        <v>78.8</v>
      </c>
      <c r="N748">
        <v>2.8</v>
      </c>
      <c r="O748">
        <v>213</v>
      </c>
      <c r="P748" t="s">
        <v>28</v>
      </c>
    </row>
    <row r="749" spans="1:16" x14ac:dyDescent="0.25">
      <c r="A749" t="s">
        <v>809</v>
      </c>
      <c r="B749" s="2">
        <v>45732</v>
      </c>
      <c r="C749" t="s">
        <v>38</v>
      </c>
      <c r="D749" t="s">
        <v>39</v>
      </c>
      <c r="E749" t="s">
        <v>45</v>
      </c>
      <c r="F749">
        <v>21.5</v>
      </c>
      <c r="G749">
        <v>36.299999999999997</v>
      </c>
      <c r="H749">
        <v>24.5</v>
      </c>
      <c r="I749">
        <v>5.7</v>
      </c>
      <c r="J749">
        <v>1.99</v>
      </c>
      <c r="K749">
        <v>24.4</v>
      </c>
      <c r="L749">
        <v>26.7</v>
      </c>
      <c r="M749">
        <v>72.900000000000006</v>
      </c>
      <c r="N749">
        <v>1.8</v>
      </c>
      <c r="O749">
        <v>142</v>
      </c>
      <c r="P749" t="s">
        <v>33</v>
      </c>
    </row>
    <row r="750" spans="1:16" x14ac:dyDescent="0.25">
      <c r="A750" t="s">
        <v>810</v>
      </c>
      <c r="B750" s="2">
        <v>45966</v>
      </c>
      <c r="C750" t="s">
        <v>64</v>
      </c>
      <c r="D750" t="s">
        <v>36</v>
      </c>
      <c r="E750" t="s">
        <v>45</v>
      </c>
      <c r="F750">
        <v>16</v>
      </c>
      <c r="G750">
        <v>92.8</v>
      </c>
      <c r="H750">
        <v>14.4</v>
      </c>
      <c r="I750">
        <v>5.5</v>
      </c>
      <c r="J750">
        <v>0.62</v>
      </c>
      <c r="K750">
        <v>17.899999999999999</v>
      </c>
      <c r="L750">
        <v>40.799999999999997</v>
      </c>
      <c r="M750">
        <v>53.2</v>
      </c>
      <c r="N750">
        <v>0.2</v>
      </c>
      <c r="O750">
        <v>125</v>
      </c>
      <c r="P750" t="s">
        <v>33</v>
      </c>
    </row>
    <row r="751" spans="1:16" x14ac:dyDescent="0.25">
      <c r="A751" t="s">
        <v>811</v>
      </c>
      <c r="B751" s="2">
        <v>45743</v>
      </c>
      <c r="C751" t="s">
        <v>67</v>
      </c>
      <c r="D751" t="s">
        <v>18</v>
      </c>
      <c r="E751" t="s">
        <v>40</v>
      </c>
      <c r="F751">
        <v>29.9</v>
      </c>
      <c r="G751">
        <v>39.6</v>
      </c>
      <c r="H751">
        <v>27.7</v>
      </c>
      <c r="I751">
        <v>11.5</v>
      </c>
      <c r="J751">
        <v>0.6</v>
      </c>
      <c r="K751">
        <v>10.6</v>
      </c>
      <c r="L751">
        <v>23.5</v>
      </c>
      <c r="M751">
        <v>71.2</v>
      </c>
      <c r="N751">
        <v>0.5</v>
      </c>
      <c r="O751">
        <v>124</v>
      </c>
      <c r="P751" t="s">
        <v>33</v>
      </c>
    </row>
    <row r="752" spans="1:16" x14ac:dyDescent="0.25">
      <c r="A752" t="s">
        <v>812</v>
      </c>
      <c r="B752" s="2">
        <v>45944</v>
      </c>
      <c r="C752" t="s">
        <v>54</v>
      </c>
      <c r="D752" t="s">
        <v>18</v>
      </c>
      <c r="E752" t="s">
        <v>97</v>
      </c>
      <c r="F752">
        <v>113.4</v>
      </c>
      <c r="G752">
        <v>86.8</v>
      </c>
      <c r="H752">
        <v>5.9</v>
      </c>
      <c r="I752">
        <v>16.399999999999999</v>
      </c>
      <c r="J752">
        <v>0.42</v>
      </c>
      <c r="K752">
        <v>58.1</v>
      </c>
      <c r="L752">
        <v>21.5</v>
      </c>
      <c r="M752">
        <v>78.900000000000006</v>
      </c>
      <c r="N752">
        <v>1.4</v>
      </c>
      <c r="O752">
        <v>291</v>
      </c>
      <c r="P752" t="s">
        <v>28</v>
      </c>
    </row>
    <row r="753" spans="1:16" x14ac:dyDescent="0.25">
      <c r="A753" t="s">
        <v>813</v>
      </c>
      <c r="B753" s="2">
        <v>45690</v>
      </c>
      <c r="C753" t="s">
        <v>22</v>
      </c>
      <c r="D753" t="s">
        <v>23</v>
      </c>
      <c r="E753" t="s">
        <v>19</v>
      </c>
      <c r="F753">
        <v>35.6</v>
      </c>
      <c r="G753">
        <v>42.9</v>
      </c>
      <c r="H753">
        <v>11.6</v>
      </c>
      <c r="I753">
        <v>16.600000000000001</v>
      </c>
      <c r="J753">
        <v>0.89</v>
      </c>
      <c r="K753">
        <v>55.9</v>
      </c>
      <c r="L753">
        <v>20.5</v>
      </c>
      <c r="M753">
        <v>87.2</v>
      </c>
      <c r="N753">
        <v>4</v>
      </c>
      <c r="O753">
        <v>153</v>
      </c>
      <c r="P753" t="s">
        <v>33</v>
      </c>
    </row>
    <row r="754" spans="1:16" x14ac:dyDescent="0.25">
      <c r="A754" t="s">
        <v>814</v>
      </c>
      <c r="B754" s="2">
        <v>45819</v>
      </c>
      <c r="C754" t="s">
        <v>93</v>
      </c>
      <c r="D754" t="s">
        <v>36</v>
      </c>
      <c r="E754" t="s">
        <v>68</v>
      </c>
      <c r="F754">
        <v>40.6</v>
      </c>
      <c r="G754">
        <v>47.6</v>
      </c>
      <c r="H754">
        <v>33.299999999999997</v>
      </c>
      <c r="I754">
        <v>13.7</v>
      </c>
      <c r="J754">
        <v>0.38</v>
      </c>
      <c r="K754">
        <v>34.1</v>
      </c>
      <c r="L754">
        <v>23.1</v>
      </c>
      <c r="M754">
        <v>62.5</v>
      </c>
      <c r="N754">
        <v>3</v>
      </c>
      <c r="O754">
        <v>157</v>
      </c>
      <c r="P754" t="s">
        <v>33</v>
      </c>
    </row>
    <row r="755" spans="1:16" x14ac:dyDescent="0.25">
      <c r="A755" t="s">
        <v>815</v>
      </c>
      <c r="B755" s="2">
        <v>45839</v>
      </c>
      <c r="C755" t="s">
        <v>54</v>
      </c>
      <c r="D755" t="s">
        <v>18</v>
      </c>
      <c r="E755" t="s">
        <v>24</v>
      </c>
      <c r="F755">
        <v>63.5</v>
      </c>
      <c r="G755">
        <v>51.2</v>
      </c>
      <c r="H755">
        <v>14.4</v>
      </c>
      <c r="I755">
        <v>35.799999999999997</v>
      </c>
      <c r="J755">
        <v>0.92</v>
      </c>
      <c r="K755">
        <v>61.1</v>
      </c>
      <c r="L755">
        <v>32.4</v>
      </c>
      <c r="M755">
        <v>54</v>
      </c>
      <c r="N755">
        <v>1.2</v>
      </c>
      <c r="O755">
        <v>222</v>
      </c>
      <c r="P755" t="s">
        <v>28</v>
      </c>
    </row>
    <row r="756" spans="1:16" x14ac:dyDescent="0.25">
      <c r="A756" t="s">
        <v>816</v>
      </c>
      <c r="B756" s="2">
        <v>45865</v>
      </c>
      <c r="C756" t="s">
        <v>93</v>
      </c>
      <c r="D756" t="s">
        <v>36</v>
      </c>
      <c r="E756" t="s">
        <v>70</v>
      </c>
      <c r="F756">
        <v>69.900000000000006</v>
      </c>
      <c r="G756">
        <v>182.4</v>
      </c>
      <c r="H756">
        <v>8.1999999999999993</v>
      </c>
      <c r="I756">
        <v>10.199999999999999</v>
      </c>
      <c r="J756">
        <v>0.43</v>
      </c>
      <c r="K756">
        <v>25.9</v>
      </c>
      <c r="L756">
        <v>35</v>
      </c>
      <c r="M756">
        <v>63.1</v>
      </c>
      <c r="N756">
        <v>1.8</v>
      </c>
      <c r="O756">
        <v>267</v>
      </c>
      <c r="P756" t="s">
        <v>28</v>
      </c>
    </row>
    <row r="757" spans="1:16" x14ac:dyDescent="0.25">
      <c r="A757" t="s">
        <v>817</v>
      </c>
      <c r="B757" s="2">
        <v>45995</v>
      </c>
      <c r="C757" t="s">
        <v>35</v>
      </c>
      <c r="D757" t="s">
        <v>36</v>
      </c>
      <c r="E757" t="s">
        <v>91</v>
      </c>
      <c r="F757">
        <v>31.7</v>
      </c>
      <c r="G757">
        <v>110.8</v>
      </c>
      <c r="H757">
        <v>22.5</v>
      </c>
      <c r="I757">
        <v>14.4</v>
      </c>
      <c r="J757">
        <v>1.2</v>
      </c>
      <c r="K757">
        <v>17.600000000000001</v>
      </c>
      <c r="L757">
        <v>21.6</v>
      </c>
      <c r="M757">
        <v>61.2</v>
      </c>
      <c r="N757">
        <v>3.2</v>
      </c>
      <c r="O757">
        <v>189</v>
      </c>
      <c r="P757" t="s">
        <v>33</v>
      </c>
    </row>
    <row r="758" spans="1:16" x14ac:dyDescent="0.25">
      <c r="A758" t="s">
        <v>818</v>
      </c>
      <c r="B758" s="2">
        <v>45887</v>
      </c>
      <c r="C758" t="s">
        <v>50</v>
      </c>
      <c r="D758" t="s">
        <v>31</v>
      </c>
      <c r="E758" t="s">
        <v>91</v>
      </c>
      <c r="F758">
        <v>57.6</v>
      </c>
      <c r="G758">
        <v>40.5</v>
      </c>
      <c r="H758">
        <v>16.399999999999999</v>
      </c>
      <c r="I758">
        <v>2.8</v>
      </c>
      <c r="J758">
        <v>0.13</v>
      </c>
      <c r="K758">
        <v>67.8</v>
      </c>
      <c r="L758">
        <v>29</v>
      </c>
      <c r="M758">
        <v>98</v>
      </c>
      <c r="N758">
        <v>1.8</v>
      </c>
      <c r="O758">
        <v>167</v>
      </c>
      <c r="P758" t="s">
        <v>33</v>
      </c>
    </row>
    <row r="759" spans="1:16" x14ac:dyDescent="0.25">
      <c r="A759" t="s">
        <v>819</v>
      </c>
      <c r="B759" s="2">
        <v>45899</v>
      </c>
      <c r="C759" t="s">
        <v>93</v>
      </c>
      <c r="D759" t="s">
        <v>36</v>
      </c>
      <c r="E759" t="s">
        <v>97</v>
      </c>
      <c r="F759">
        <v>26</v>
      </c>
      <c r="G759">
        <v>220.1</v>
      </c>
      <c r="H759">
        <v>44.5</v>
      </c>
      <c r="I759">
        <v>2.4</v>
      </c>
      <c r="J759">
        <v>0.75</v>
      </c>
      <c r="K759">
        <v>42.2</v>
      </c>
      <c r="L759">
        <v>31.1</v>
      </c>
      <c r="M759">
        <v>66.2</v>
      </c>
      <c r="N759">
        <v>3.6</v>
      </c>
      <c r="O759">
        <v>260</v>
      </c>
      <c r="P759" t="s">
        <v>28</v>
      </c>
    </row>
    <row r="760" spans="1:16" x14ac:dyDescent="0.25">
      <c r="A760" t="s">
        <v>820</v>
      </c>
      <c r="B760" s="2">
        <v>45959</v>
      </c>
      <c r="C760" t="s">
        <v>17</v>
      </c>
      <c r="D760" t="s">
        <v>18</v>
      </c>
      <c r="E760" t="s">
        <v>32</v>
      </c>
      <c r="F760">
        <v>19.899999999999999</v>
      </c>
      <c r="G760">
        <v>62.8</v>
      </c>
      <c r="H760">
        <v>14.9</v>
      </c>
      <c r="I760">
        <v>9.3000000000000007</v>
      </c>
      <c r="J760">
        <v>0.44</v>
      </c>
      <c r="K760">
        <v>44.2</v>
      </c>
      <c r="L760">
        <v>20.6</v>
      </c>
      <c r="M760">
        <v>57.7</v>
      </c>
      <c r="N760">
        <v>3.7</v>
      </c>
      <c r="O760">
        <v>122</v>
      </c>
      <c r="P760" t="s">
        <v>33</v>
      </c>
    </row>
    <row r="761" spans="1:16" x14ac:dyDescent="0.25">
      <c r="A761" t="s">
        <v>821</v>
      </c>
      <c r="B761" s="2">
        <v>45837</v>
      </c>
      <c r="C761" t="s">
        <v>30</v>
      </c>
      <c r="D761" t="s">
        <v>31</v>
      </c>
      <c r="E761" t="s">
        <v>55</v>
      </c>
      <c r="F761">
        <v>37.700000000000003</v>
      </c>
      <c r="G761">
        <v>32.200000000000003</v>
      </c>
      <c r="H761">
        <v>36.799999999999997</v>
      </c>
      <c r="I761">
        <v>5.4</v>
      </c>
      <c r="J761">
        <v>0.82</v>
      </c>
      <c r="K761">
        <v>29.6</v>
      </c>
      <c r="L761">
        <v>19.3</v>
      </c>
      <c r="M761">
        <v>71.900000000000006</v>
      </c>
      <c r="N761">
        <v>0.1</v>
      </c>
      <c r="O761">
        <v>148</v>
      </c>
      <c r="P761" t="s">
        <v>33</v>
      </c>
    </row>
    <row r="762" spans="1:16" x14ac:dyDescent="0.25">
      <c r="A762" t="s">
        <v>822</v>
      </c>
      <c r="B762" s="2">
        <v>45920</v>
      </c>
      <c r="C762" t="s">
        <v>22</v>
      </c>
      <c r="D762" t="s">
        <v>23</v>
      </c>
      <c r="E762" t="s">
        <v>61</v>
      </c>
      <c r="F762">
        <v>65.7</v>
      </c>
      <c r="G762">
        <v>121.4</v>
      </c>
      <c r="H762">
        <v>72.900000000000006</v>
      </c>
      <c r="I762">
        <v>4.2</v>
      </c>
      <c r="J762">
        <v>0.67</v>
      </c>
      <c r="K762">
        <v>48.5</v>
      </c>
      <c r="L762">
        <v>25.8</v>
      </c>
      <c r="M762">
        <v>51.5</v>
      </c>
      <c r="N762">
        <v>2.6</v>
      </c>
      <c r="O762">
        <v>284</v>
      </c>
      <c r="P762" t="s">
        <v>28</v>
      </c>
    </row>
    <row r="763" spans="1:16" x14ac:dyDescent="0.25">
      <c r="A763" t="s">
        <v>823</v>
      </c>
      <c r="B763" s="2">
        <v>45971</v>
      </c>
      <c r="C763" t="s">
        <v>26</v>
      </c>
      <c r="D763" t="s">
        <v>23</v>
      </c>
      <c r="E763" t="s">
        <v>40</v>
      </c>
      <c r="F763">
        <v>58.6</v>
      </c>
      <c r="G763">
        <v>89.6</v>
      </c>
      <c r="H763">
        <v>28.7</v>
      </c>
      <c r="I763">
        <v>10</v>
      </c>
      <c r="J763">
        <v>0.93</v>
      </c>
      <c r="K763">
        <v>22.7</v>
      </c>
      <c r="L763">
        <v>25.9</v>
      </c>
      <c r="M763">
        <v>81.400000000000006</v>
      </c>
      <c r="N763">
        <v>1.8</v>
      </c>
      <c r="O763">
        <v>215</v>
      </c>
      <c r="P763" t="s">
        <v>28</v>
      </c>
    </row>
    <row r="764" spans="1:16" x14ac:dyDescent="0.25">
      <c r="A764" t="s">
        <v>824</v>
      </c>
      <c r="B764" s="2">
        <v>45666</v>
      </c>
      <c r="C764" t="s">
        <v>22</v>
      </c>
      <c r="D764" t="s">
        <v>23</v>
      </c>
      <c r="E764" t="s">
        <v>43</v>
      </c>
      <c r="F764">
        <v>52.6</v>
      </c>
      <c r="G764">
        <v>89.6</v>
      </c>
      <c r="H764">
        <v>43.5</v>
      </c>
      <c r="I764">
        <v>4.9000000000000004</v>
      </c>
      <c r="J764">
        <v>0.76</v>
      </c>
      <c r="K764">
        <v>9</v>
      </c>
      <c r="L764">
        <v>31.7</v>
      </c>
      <c r="M764">
        <v>56.9</v>
      </c>
      <c r="N764">
        <v>2.5</v>
      </c>
      <c r="O764">
        <v>204</v>
      </c>
      <c r="P764" t="s">
        <v>28</v>
      </c>
    </row>
    <row r="765" spans="1:16" x14ac:dyDescent="0.25">
      <c r="A765" t="s">
        <v>825</v>
      </c>
      <c r="B765" s="2">
        <v>46004</v>
      </c>
      <c r="C765" t="s">
        <v>81</v>
      </c>
      <c r="D765" t="s">
        <v>39</v>
      </c>
      <c r="E765" t="s">
        <v>19</v>
      </c>
      <c r="F765">
        <v>11.6</v>
      </c>
      <c r="G765">
        <v>174.8</v>
      </c>
      <c r="H765">
        <v>24.3</v>
      </c>
      <c r="I765">
        <v>22.8</v>
      </c>
      <c r="J765">
        <v>0.57999999999999996</v>
      </c>
      <c r="K765">
        <v>27.4</v>
      </c>
      <c r="L765">
        <v>24.7</v>
      </c>
      <c r="M765">
        <v>66.400000000000006</v>
      </c>
      <c r="N765">
        <v>1.1000000000000001</v>
      </c>
      <c r="O765">
        <v>194</v>
      </c>
      <c r="P765" t="s">
        <v>33</v>
      </c>
    </row>
    <row r="766" spans="1:16" x14ac:dyDescent="0.25">
      <c r="A766" t="s">
        <v>826</v>
      </c>
      <c r="B766" s="2">
        <v>45973</v>
      </c>
      <c r="C766" t="s">
        <v>67</v>
      </c>
      <c r="D766" t="s">
        <v>18</v>
      </c>
      <c r="E766" t="s">
        <v>24</v>
      </c>
      <c r="F766">
        <v>47.3</v>
      </c>
      <c r="G766">
        <v>136.30000000000001</v>
      </c>
      <c r="H766">
        <v>19.2</v>
      </c>
      <c r="I766">
        <v>16.5</v>
      </c>
      <c r="J766">
        <v>1.82</v>
      </c>
      <c r="K766">
        <v>26.8</v>
      </c>
      <c r="L766">
        <v>31</v>
      </c>
      <c r="M766">
        <v>50.7</v>
      </c>
      <c r="N766">
        <v>3</v>
      </c>
      <c r="O766">
        <v>249</v>
      </c>
      <c r="P766" t="s">
        <v>28</v>
      </c>
    </row>
    <row r="767" spans="1:16" x14ac:dyDescent="0.25">
      <c r="A767" t="s">
        <v>827</v>
      </c>
      <c r="B767" s="2">
        <v>45862</v>
      </c>
      <c r="C767" t="s">
        <v>38</v>
      </c>
      <c r="D767" t="s">
        <v>39</v>
      </c>
      <c r="E767" t="s">
        <v>61</v>
      </c>
      <c r="F767">
        <v>58</v>
      </c>
      <c r="G767">
        <v>103.5</v>
      </c>
      <c r="H767">
        <v>2.1</v>
      </c>
      <c r="I767">
        <v>9.4</v>
      </c>
      <c r="J767">
        <v>1.61</v>
      </c>
      <c r="K767">
        <v>35.799999999999997</v>
      </c>
      <c r="L767">
        <v>18.899999999999999</v>
      </c>
      <c r="M767">
        <v>49.8</v>
      </c>
      <c r="N767">
        <v>1.4</v>
      </c>
      <c r="O767">
        <v>225</v>
      </c>
      <c r="P767" t="s">
        <v>28</v>
      </c>
    </row>
    <row r="768" spans="1:16" x14ac:dyDescent="0.25">
      <c r="A768" t="s">
        <v>828</v>
      </c>
      <c r="B768" s="2">
        <v>45892</v>
      </c>
      <c r="C768" t="s">
        <v>22</v>
      </c>
      <c r="D768" t="s">
        <v>23</v>
      </c>
      <c r="E768" t="s">
        <v>58</v>
      </c>
      <c r="F768">
        <v>47</v>
      </c>
      <c r="G768">
        <v>56.9</v>
      </c>
      <c r="H768">
        <v>15.8</v>
      </c>
      <c r="I768">
        <v>14.1</v>
      </c>
      <c r="J768">
        <v>1.32</v>
      </c>
      <c r="K768">
        <v>25.5</v>
      </c>
      <c r="L768">
        <v>25.5</v>
      </c>
      <c r="M768">
        <v>82</v>
      </c>
      <c r="N768">
        <v>2.8</v>
      </c>
      <c r="O768">
        <v>179</v>
      </c>
      <c r="P768" t="s">
        <v>33</v>
      </c>
    </row>
    <row r="769" spans="1:16" x14ac:dyDescent="0.25">
      <c r="A769" t="s">
        <v>829</v>
      </c>
      <c r="B769" s="2">
        <v>45947</v>
      </c>
      <c r="C769" t="s">
        <v>26</v>
      </c>
      <c r="D769" t="s">
        <v>23</v>
      </c>
      <c r="E769" t="s">
        <v>74</v>
      </c>
      <c r="F769">
        <v>56.3</v>
      </c>
      <c r="G769">
        <v>161.5</v>
      </c>
      <c r="H769">
        <v>30.4</v>
      </c>
      <c r="I769">
        <v>21.5</v>
      </c>
      <c r="J769">
        <v>0.2</v>
      </c>
      <c r="K769">
        <v>17.2</v>
      </c>
      <c r="L769">
        <v>29.7</v>
      </c>
      <c r="M769">
        <v>71.8</v>
      </c>
      <c r="N769">
        <v>2.9</v>
      </c>
      <c r="O769">
        <v>247</v>
      </c>
      <c r="P769" t="s">
        <v>28</v>
      </c>
    </row>
    <row r="770" spans="1:16" x14ac:dyDescent="0.25">
      <c r="A770" t="s">
        <v>830</v>
      </c>
      <c r="B770" s="2">
        <v>45883</v>
      </c>
      <c r="C770" t="s">
        <v>93</v>
      </c>
      <c r="D770" t="s">
        <v>36</v>
      </c>
      <c r="E770" t="s">
        <v>55</v>
      </c>
      <c r="F770">
        <v>67.7</v>
      </c>
      <c r="G770">
        <v>39.200000000000003</v>
      </c>
      <c r="H770">
        <v>22.7</v>
      </c>
      <c r="I770">
        <v>9.3000000000000007</v>
      </c>
      <c r="J770">
        <v>1.18</v>
      </c>
      <c r="K770">
        <v>43.7</v>
      </c>
      <c r="L770">
        <v>19.7</v>
      </c>
      <c r="M770">
        <v>75.8</v>
      </c>
      <c r="N770">
        <v>2.6</v>
      </c>
      <c r="O770">
        <v>208</v>
      </c>
      <c r="P770" t="s">
        <v>28</v>
      </c>
    </row>
    <row r="771" spans="1:16" x14ac:dyDescent="0.25">
      <c r="A771" t="s">
        <v>831</v>
      </c>
      <c r="B771" s="2">
        <v>46016</v>
      </c>
      <c r="C771" t="s">
        <v>99</v>
      </c>
      <c r="D771" t="s">
        <v>36</v>
      </c>
      <c r="E771" t="s">
        <v>58</v>
      </c>
      <c r="F771">
        <v>80.5</v>
      </c>
      <c r="G771">
        <v>50.6</v>
      </c>
      <c r="H771">
        <v>51.7</v>
      </c>
      <c r="I771">
        <v>7.5</v>
      </c>
      <c r="J771">
        <v>0.43</v>
      </c>
      <c r="K771">
        <v>17.2</v>
      </c>
      <c r="L771">
        <v>14.4</v>
      </c>
      <c r="M771">
        <v>40.6</v>
      </c>
      <c r="N771">
        <v>3.4</v>
      </c>
      <c r="O771">
        <v>227</v>
      </c>
      <c r="P771" t="s">
        <v>28</v>
      </c>
    </row>
    <row r="772" spans="1:16" x14ac:dyDescent="0.25">
      <c r="A772" t="s">
        <v>832</v>
      </c>
      <c r="B772" s="2">
        <v>45895</v>
      </c>
      <c r="C772" t="s">
        <v>38</v>
      </c>
      <c r="D772" t="s">
        <v>39</v>
      </c>
      <c r="E772" t="s">
        <v>61</v>
      </c>
      <c r="F772">
        <v>52.3</v>
      </c>
      <c r="G772">
        <v>75.5</v>
      </c>
      <c r="H772">
        <v>27.1</v>
      </c>
      <c r="I772">
        <v>1.5</v>
      </c>
      <c r="J772">
        <v>1.55</v>
      </c>
      <c r="K772">
        <v>29.1</v>
      </c>
      <c r="L772">
        <v>21.4</v>
      </c>
      <c r="M772">
        <v>40.9</v>
      </c>
      <c r="N772">
        <v>1.8</v>
      </c>
      <c r="O772">
        <v>207</v>
      </c>
      <c r="P772" t="s">
        <v>28</v>
      </c>
    </row>
    <row r="773" spans="1:16" x14ac:dyDescent="0.25">
      <c r="A773" t="s">
        <v>833</v>
      </c>
      <c r="B773" s="2">
        <v>45668</v>
      </c>
      <c r="C773" t="s">
        <v>64</v>
      </c>
      <c r="D773" t="s">
        <v>36</v>
      </c>
      <c r="E773" t="s">
        <v>27</v>
      </c>
      <c r="F773">
        <v>48.7</v>
      </c>
      <c r="G773">
        <v>103.7</v>
      </c>
      <c r="H773">
        <v>61.6</v>
      </c>
      <c r="I773">
        <v>3.9</v>
      </c>
      <c r="J773">
        <v>0.44</v>
      </c>
      <c r="K773">
        <v>44.2</v>
      </c>
      <c r="L773">
        <v>27.9</v>
      </c>
      <c r="M773">
        <v>82.8</v>
      </c>
      <c r="N773">
        <v>3.9</v>
      </c>
      <c r="O773">
        <v>228</v>
      </c>
      <c r="P773" t="s">
        <v>28</v>
      </c>
    </row>
    <row r="774" spans="1:16" x14ac:dyDescent="0.25">
      <c r="A774" t="s">
        <v>834</v>
      </c>
      <c r="B774" s="2">
        <v>45762</v>
      </c>
      <c r="C774" t="s">
        <v>77</v>
      </c>
      <c r="D774" t="s">
        <v>39</v>
      </c>
      <c r="E774" t="s">
        <v>27</v>
      </c>
      <c r="F774">
        <v>111.5</v>
      </c>
      <c r="G774">
        <v>109.1</v>
      </c>
      <c r="H774">
        <v>31.5</v>
      </c>
      <c r="I774">
        <v>14.9</v>
      </c>
      <c r="J774">
        <v>0.27</v>
      </c>
      <c r="K774">
        <v>16.600000000000001</v>
      </c>
      <c r="L774">
        <v>28.8</v>
      </c>
      <c r="M774">
        <v>73.099999999999994</v>
      </c>
      <c r="N774">
        <v>1</v>
      </c>
      <c r="O774">
        <v>299</v>
      </c>
      <c r="P774" t="s">
        <v>28</v>
      </c>
    </row>
    <row r="775" spans="1:16" x14ac:dyDescent="0.25">
      <c r="A775" t="s">
        <v>835</v>
      </c>
      <c r="B775" s="2">
        <v>45871</v>
      </c>
      <c r="C775" t="s">
        <v>93</v>
      </c>
      <c r="D775" t="s">
        <v>36</v>
      </c>
      <c r="E775" t="s">
        <v>61</v>
      </c>
      <c r="F775">
        <v>53.3</v>
      </c>
      <c r="G775">
        <v>72.8</v>
      </c>
      <c r="H775">
        <v>19.8</v>
      </c>
      <c r="I775">
        <v>39.1</v>
      </c>
      <c r="J775">
        <v>0.54</v>
      </c>
      <c r="K775">
        <v>5.2</v>
      </c>
      <c r="L775">
        <v>26.3</v>
      </c>
      <c r="M775">
        <v>81</v>
      </c>
      <c r="N775">
        <v>1.5</v>
      </c>
      <c r="O775">
        <v>192</v>
      </c>
      <c r="P775" t="s">
        <v>33</v>
      </c>
    </row>
    <row r="776" spans="1:16" x14ac:dyDescent="0.25">
      <c r="A776" t="s">
        <v>836</v>
      </c>
      <c r="B776" s="2">
        <v>45890</v>
      </c>
      <c r="C776" t="s">
        <v>64</v>
      </c>
      <c r="D776" t="s">
        <v>36</v>
      </c>
      <c r="E776" t="s">
        <v>91</v>
      </c>
      <c r="F776">
        <v>26.8</v>
      </c>
      <c r="G776">
        <v>58.3</v>
      </c>
      <c r="H776">
        <v>27</v>
      </c>
      <c r="I776">
        <v>0.9</v>
      </c>
      <c r="J776">
        <v>0.4</v>
      </c>
      <c r="K776">
        <v>19.2</v>
      </c>
      <c r="L776">
        <v>35.799999999999997</v>
      </c>
      <c r="M776">
        <v>53.4</v>
      </c>
      <c r="N776">
        <v>3.8</v>
      </c>
      <c r="O776">
        <v>122</v>
      </c>
      <c r="P776" t="s">
        <v>33</v>
      </c>
    </row>
    <row r="777" spans="1:16" x14ac:dyDescent="0.25">
      <c r="A777" t="s">
        <v>837</v>
      </c>
      <c r="B777" s="2">
        <v>45909</v>
      </c>
      <c r="C777" t="s">
        <v>54</v>
      </c>
      <c r="D777" t="s">
        <v>18</v>
      </c>
      <c r="E777" t="s">
        <v>24</v>
      </c>
      <c r="F777">
        <v>36.4</v>
      </c>
      <c r="G777">
        <v>107.9</v>
      </c>
      <c r="H777">
        <v>28.2</v>
      </c>
      <c r="I777">
        <v>21.4</v>
      </c>
      <c r="J777">
        <v>0.34</v>
      </c>
      <c r="K777">
        <v>37.1</v>
      </c>
      <c r="L777">
        <v>35.9</v>
      </c>
      <c r="M777">
        <v>39</v>
      </c>
      <c r="N777">
        <v>3.1</v>
      </c>
      <c r="O777">
        <v>191</v>
      </c>
      <c r="P777" t="s">
        <v>33</v>
      </c>
    </row>
    <row r="778" spans="1:16" x14ac:dyDescent="0.25">
      <c r="A778" t="s">
        <v>838</v>
      </c>
      <c r="B778" s="2">
        <v>45926</v>
      </c>
      <c r="C778" t="s">
        <v>81</v>
      </c>
      <c r="D778" t="s">
        <v>39</v>
      </c>
      <c r="E778" t="s">
        <v>32</v>
      </c>
      <c r="F778">
        <v>49.2</v>
      </c>
      <c r="G778">
        <v>100.9</v>
      </c>
      <c r="H778">
        <v>46.3</v>
      </c>
      <c r="I778">
        <v>2.5</v>
      </c>
      <c r="J778">
        <v>0.59</v>
      </c>
      <c r="K778">
        <v>46.6</v>
      </c>
      <c r="L778">
        <v>26.7</v>
      </c>
      <c r="M778">
        <v>71.3</v>
      </c>
      <c r="N778">
        <v>1.2</v>
      </c>
      <c r="O778">
        <v>219</v>
      </c>
      <c r="P778" t="s">
        <v>28</v>
      </c>
    </row>
    <row r="779" spans="1:16" x14ac:dyDescent="0.25">
      <c r="A779" t="s">
        <v>839</v>
      </c>
      <c r="B779" s="2">
        <v>45856</v>
      </c>
      <c r="C779" t="s">
        <v>77</v>
      </c>
      <c r="D779" t="s">
        <v>39</v>
      </c>
      <c r="E779" t="s">
        <v>19</v>
      </c>
      <c r="F779">
        <v>81.5</v>
      </c>
      <c r="G779">
        <v>71.900000000000006</v>
      </c>
      <c r="H779">
        <v>47.1</v>
      </c>
      <c r="I779">
        <v>14.5</v>
      </c>
      <c r="J779">
        <v>0.21</v>
      </c>
      <c r="K779">
        <v>14.3</v>
      </c>
      <c r="L779">
        <v>26.9</v>
      </c>
      <c r="M779">
        <v>60.4</v>
      </c>
      <c r="N779">
        <v>2.4</v>
      </c>
      <c r="O779">
        <v>237</v>
      </c>
      <c r="P779" t="s">
        <v>28</v>
      </c>
    </row>
    <row r="780" spans="1:16" x14ac:dyDescent="0.25">
      <c r="A780" t="s">
        <v>840</v>
      </c>
      <c r="B780" s="2">
        <v>45695</v>
      </c>
      <c r="C780" t="s">
        <v>77</v>
      </c>
      <c r="D780" t="s">
        <v>39</v>
      </c>
      <c r="E780" t="s">
        <v>43</v>
      </c>
      <c r="F780">
        <v>41.8</v>
      </c>
      <c r="G780">
        <v>31.4</v>
      </c>
      <c r="H780">
        <v>7.5</v>
      </c>
      <c r="I780">
        <v>14.9</v>
      </c>
      <c r="J780">
        <v>0.45</v>
      </c>
      <c r="K780">
        <v>21.1</v>
      </c>
      <c r="L780">
        <v>14.6</v>
      </c>
      <c r="M780">
        <v>62.4</v>
      </c>
      <c r="N780">
        <v>2.7</v>
      </c>
      <c r="O780">
        <v>124</v>
      </c>
      <c r="P780" t="s">
        <v>33</v>
      </c>
    </row>
    <row r="781" spans="1:16" x14ac:dyDescent="0.25">
      <c r="A781" t="s">
        <v>841</v>
      </c>
      <c r="B781" s="2">
        <v>45768</v>
      </c>
      <c r="C781" t="s">
        <v>22</v>
      </c>
      <c r="D781" t="s">
        <v>23</v>
      </c>
      <c r="E781" t="s">
        <v>45</v>
      </c>
      <c r="F781">
        <v>80.7</v>
      </c>
      <c r="G781">
        <v>82.2</v>
      </c>
      <c r="H781">
        <v>18.100000000000001</v>
      </c>
      <c r="I781">
        <v>26.2</v>
      </c>
      <c r="J781">
        <v>0.74</v>
      </c>
      <c r="K781">
        <v>29.7</v>
      </c>
      <c r="L781">
        <v>26</v>
      </c>
      <c r="M781">
        <v>53.3</v>
      </c>
      <c r="N781">
        <v>2.7</v>
      </c>
      <c r="O781">
        <v>247</v>
      </c>
      <c r="P781" t="s">
        <v>28</v>
      </c>
    </row>
    <row r="782" spans="1:16" x14ac:dyDescent="0.25">
      <c r="A782" t="s">
        <v>842</v>
      </c>
      <c r="B782" s="2">
        <v>45857</v>
      </c>
      <c r="C782" t="s">
        <v>77</v>
      </c>
      <c r="D782" t="s">
        <v>39</v>
      </c>
      <c r="E782" t="s">
        <v>91</v>
      </c>
      <c r="F782">
        <v>39.9</v>
      </c>
      <c r="G782">
        <v>103.5</v>
      </c>
      <c r="H782">
        <v>3.2</v>
      </c>
      <c r="I782">
        <v>20.9</v>
      </c>
      <c r="J782">
        <v>1.0900000000000001</v>
      </c>
      <c r="K782">
        <v>46.4</v>
      </c>
      <c r="L782">
        <v>29.5</v>
      </c>
      <c r="M782">
        <v>54.3</v>
      </c>
      <c r="N782">
        <v>0.6</v>
      </c>
      <c r="O782">
        <v>196</v>
      </c>
      <c r="P782" t="s">
        <v>33</v>
      </c>
    </row>
    <row r="783" spans="1:16" x14ac:dyDescent="0.25">
      <c r="A783" t="s">
        <v>843</v>
      </c>
      <c r="B783" s="2">
        <v>45755</v>
      </c>
      <c r="C783" t="s">
        <v>50</v>
      </c>
      <c r="D783" t="s">
        <v>31</v>
      </c>
      <c r="E783" t="s">
        <v>27</v>
      </c>
      <c r="F783">
        <v>38.6</v>
      </c>
      <c r="G783">
        <v>78.7</v>
      </c>
      <c r="H783">
        <v>31.3</v>
      </c>
      <c r="I783">
        <v>31.5</v>
      </c>
      <c r="J783">
        <v>1.46</v>
      </c>
      <c r="K783">
        <v>20.100000000000001</v>
      </c>
      <c r="L783">
        <v>32.799999999999997</v>
      </c>
      <c r="M783">
        <v>90.9</v>
      </c>
      <c r="N783">
        <v>1.2</v>
      </c>
      <c r="O783">
        <v>206</v>
      </c>
      <c r="P783" t="s">
        <v>28</v>
      </c>
    </row>
    <row r="784" spans="1:16" x14ac:dyDescent="0.25">
      <c r="A784" t="s">
        <v>844</v>
      </c>
      <c r="B784" s="2">
        <v>45832</v>
      </c>
      <c r="C784" t="s">
        <v>26</v>
      </c>
      <c r="D784" t="s">
        <v>23</v>
      </c>
      <c r="E784" t="s">
        <v>70</v>
      </c>
      <c r="F784">
        <v>78.099999999999994</v>
      </c>
      <c r="G784">
        <v>99.8</v>
      </c>
      <c r="H784">
        <v>35.9</v>
      </c>
      <c r="I784">
        <v>1.4</v>
      </c>
      <c r="J784">
        <v>0.83</v>
      </c>
      <c r="K784">
        <v>18.899999999999999</v>
      </c>
      <c r="L784">
        <v>18.8</v>
      </c>
      <c r="M784">
        <v>57.9</v>
      </c>
      <c r="N784">
        <v>2.1</v>
      </c>
      <c r="O784">
        <v>249</v>
      </c>
      <c r="P784" t="s">
        <v>28</v>
      </c>
    </row>
    <row r="785" spans="1:16" x14ac:dyDescent="0.25">
      <c r="A785" t="s">
        <v>845</v>
      </c>
      <c r="B785" s="2">
        <v>45981</v>
      </c>
      <c r="C785" t="s">
        <v>35</v>
      </c>
      <c r="D785" t="s">
        <v>36</v>
      </c>
      <c r="E785" t="s">
        <v>68</v>
      </c>
      <c r="F785">
        <v>24.2</v>
      </c>
      <c r="G785">
        <v>55.1</v>
      </c>
      <c r="H785">
        <v>26</v>
      </c>
      <c r="I785">
        <v>18.899999999999999</v>
      </c>
      <c r="J785">
        <v>0.28000000000000003</v>
      </c>
      <c r="K785">
        <v>49.4</v>
      </c>
      <c r="L785">
        <v>37.6</v>
      </c>
      <c r="M785">
        <v>44.3</v>
      </c>
      <c r="N785">
        <v>2.6</v>
      </c>
      <c r="O785">
        <v>138</v>
      </c>
      <c r="P785" t="s">
        <v>33</v>
      </c>
    </row>
    <row r="786" spans="1:16" x14ac:dyDescent="0.25">
      <c r="A786" t="s">
        <v>846</v>
      </c>
      <c r="B786" s="2">
        <v>45754</v>
      </c>
      <c r="C786" t="s">
        <v>64</v>
      </c>
      <c r="D786" t="s">
        <v>36</v>
      </c>
      <c r="E786" t="s">
        <v>58</v>
      </c>
      <c r="F786">
        <v>95.4</v>
      </c>
      <c r="G786">
        <v>97.4</v>
      </c>
      <c r="H786">
        <v>20.3</v>
      </c>
      <c r="I786">
        <v>35</v>
      </c>
      <c r="J786">
        <v>1.25</v>
      </c>
      <c r="K786">
        <v>7.8</v>
      </c>
      <c r="L786">
        <v>36.1</v>
      </c>
      <c r="M786">
        <v>67.900000000000006</v>
      </c>
      <c r="N786">
        <v>2</v>
      </c>
      <c r="O786">
        <v>291</v>
      </c>
      <c r="P786" t="s">
        <v>28</v>
      </c>
    </row>
    <row r="787" spans="1:16" x14ac:dyDescent="0.25">
      <c r="A787" t="s">
        <v>847</v>
      </c>
      <c r="B787" s="2">
        <v>45979</v>
      </c>
      <c r="C787" t="s">
        <v>77</v>
      </c>
      <c r="D787" t="s">
        <v>39</v>
      </c>
      <c r="E787" t="s">
        <v>55</v>
      </c>
      <c r="F787">
        <v>43.6</v>
      </c>
      <c r="G787">
        <v>109.8</v>
      </c>
      <c r="H787">
        <v>4</v>
      </c>
      <c r="I787">
        <v>17</v>
      </c>
      <c r="J787">
        <v>1.0900000000000001</v>
      </c>
      <c r="K787">
        <v>23.2</v>
      </c>
      <c r="L787">
        <v>29.3</v>
      </c>
      <c r="M787">
        <v>72.5</v>
      </c>
      <c r="N787">
        <v>2.4</v>
      </c>
      <c r="O787">
        <v>194</v>
      </c>
      <c r="P787" t="s">
        <v>33</v>
      </c>
    </row>
    <row r="788" spans="1:16" x14ac:dyDescent="0.25">
      <c r="A788" t="s">
        <v>848</v>
      </c>
      <c r="B788" s="2">
        <v>46014</v>
      </c>
      <c r="C788" t="s">
        <v>54</v>
      </c>
      <c r="D788" t="s">
        <v>18</v>
      </c>
      <c r="E788" t="s">
        <v>27</v>
      </c>
      <c r="F788">
        <v>185.3</v>
      </c>
      <c r="G788">
        <v>73.900000000000006</v>
      </c>
      <c r="H788">
        <v>42.6</v>
      </c>
      <c r="I788">
        <v>23.9</v>
      </c>
      <c r="J788">
        <v>1.9</v>
      </c>
      <c r="K788">
        <v>113.3</v>
      </c>
      <c r="L788">
        <v>27</v>
      </c>
      <c r="M788">
        <v>68.5</v>
      </c>
      <c r="N788">
        <v>1.9</v>
      </c>
      <c r="O788">
        <v>494</v>
      </c>
      <c r="P788" t="s">
        <v>20</v>
      </c>
    </row>
    <row r="789" spans="1:16" x14ac:dyDescent="0.25">
      <c r="A789" t="s">
        <v>849</v>
      </c>
      <c r="B789" s="2">
        <v>45708</v>
      </c>
      <c r="C789" t="s">
        <v>99</v>
      </c>
      <c r="D789" t="s">
        <v>36</v>
      </c>
      <c r="E789" t="s">
        <v>43</v>
      </c>
      <c r="F789">
        <v>33.799999999999997</v>
      </c>
      <c r="G789">
        <v>83.6</v>
      </c>
      <c r="H789">
        <v>16.5</v>
      </c>
      <c r="I789">
        <v>6.5</v>
      </c>
      <c r="J789">
        <v>0.64</v>
      </c>
      <c r="K789">
        <v>22.2</v>
      </c>
      <c r="L789">
        <v>24.4</v>
      </c>
      <c r="M789">
        <v>90.5</v>
      </c>
      <c r="N789">
        <v>2.7</v>
      </c>
      <c r="O789">
        <v>152</v>
      </c>
      <c r="P789" t="s">
        <v>33</v>
      </c>
    </row>
    <row r="790" spans="1:16" x14ac:dyDescent="0.25">
      <c r="A790" t="s">
        <v>850</v>
      </c>
      <c r="B790" s="2">
        <v>45989</v>
      </c>
      <c r="C790" t="s">
        <v>42</v>
      </c>
      <c r="D790" t="s">
        <v>23</v>
      </c>
      <c r="E790" t="s">
        <v>40</v>
      </c>
      <c r="F790">
        <v>36.4</v>
      </c>
      <c r="G790">
        <v>37.6</v>
      </c>
      <c r="H790">
        <v>48.8</v>
      </c>
      <c r="I790">
        <v>10.5</v>
      </c>
      <c r="J790">
        <v>0.88</v>
      </c>
      <c r="K790">
        <v>23.4</v>
      </c>
      <c r="L790">
        <v>33.4</v>
      </c>
      <c r="M790">
        <v>90.8</v>
      </c>
      <c r="N790">
        <v>0.9</v>
      </c>
      <c r="O790">
        <v>162</v>
      </c>
      <c r="P790" t="s">
        <v>33</v>
      </c>
    </row>
    <row r="791" spans="1:16" x14ac:dyDescent="0.25">
      <c r="A791" t="s">
        <v>851</v>
      </c>
      <c r="B791" s="2">
        <v>45929</v>
      </c>
      <c r="C791" t="s">
        <v>30</v>
      </c>
      <c r="D791" t="s">
        <v>31</v>
      </c>
      <c r="E791" t="s">
        <v>55</v>
      </c>
      <c r="F791">
        <v>34.9</v>
      </c>
      <c r="G791">
        <v>71.8</v>
      </c>
      <c r="H791">
        <v>37.200000000000003</v>
      </c>
      <c r="I791">
        <v>7.2</v>
      </c>
      <c r="J791">
        <v>1.58</v>
      </c>
      <c r="K791">
        <v>27.3</v>
      </c>
      <c r="L791">
        <v>31.7</v>
      </c>
      <c r="M791">
        <v>80.3</v>
      </c>
      <c r="N791">
        <v>2.4</v>
      </c>
      <c r="O791">
        <v>189</v>
      </c>
      <c r="P791" t="s">
        <v>33</v>
      </c>
    </row>
    <row r="792" spans="1:16" x14ac:dyDescent="0.25">
      <c r="A792" t="s">
        <v>852</v>
      </c>
      <c r="B792" s="2">
        <v>45800</v>
      </c>
      <c r="C792" t="s">
        <v>64</v>
      </c>
      <c r="D792" t="s">
        <v>36</v>
      </c>
      <c r="E792" t="s">
        <v>55</v>
      </c>
      <c r="F792">
        <v>30.8</v>
      </c>
      <c r="G792">
        <v>39.5</v>
      </c>
      <c r="H792">
        <v>17.5</v>
      </c>
      <c r="I792">
        <v>21.6</v>
      </c>
      <c r="J792">
        <v>0.9</v>
      </c>
      <c r="K792">
        <v>36.5</v>
      </c>
      <c r="L792">
        <v>26.8</v>
      </c>
      <c r="M792">
        <v>77.8</v>
      </c>
      <c r="N792">
        <v>2.7</v>
      </c>
      <c r="O792">
        <v>143</v>
      </c>
      <c r="P792" t="s">
        <v>33</v>
      </c>
    </row>
    <row r="793" spans="1:16" x14ac:dyDescent="0.25">
      <c r="A793" t="s">
        <v>853</v>
      </c>
      <c r="B793" s="2">
        <v>45913</v>
      </c>
      <c r="C793" t="s">
        <v>30</v>
      </c>
      <c r="D793" t="s">
        <v>31</v>
      </c>
      <c r="E793" t="s">
        <v>45</v>
      </c>
      <c r="F793">
        <v>24</v>
      </c>
      <c r="G793">
        <v>67.5</v>
      </c>
      <c r="H793">
        <v>105</v>
      </c>
      <c r="I793">
        <v>13.2</v>
      </c>
      <c r="J793">
        <v>1.29</v>
      </c>
      <c r="K793">
        <v>42.7</v>
      </c>
      <c r="L793">
        <v>23.8</v>
      </c>
      <c r="M793">
        <v>69.400000000000006</v>
      </c>
      <c r="N793">
        <v>2.9</v>
      </c>
      <c r="O793">
        <v>227</v>
      </c>
      <c r="P793" t="s">
        <v>28</v>
      </c>
    </row>
    <row r="794" spans="1:16" x14ac:dyDescent="0.25">
      <c r="A794" t="s">
        <v>854</v>
      </c>
      <c r="B794" s="2">
        <v>45701</v>
      </c>
      <c r="C794" t="s">
        <v>22</v>
      </c>
      <c r="D794" t="s">
        <v>23</v>
      </c>
      <c r="E794" t="s">
        <v>19</v>
      </c>
      <c r="F794">
        <v>43.5</v>
      </c>
      <c r="G794">
        <v>96.6</v>
      </c>
      <c r="H794">
        <v>41.5</v>
      </c>
      <c r="I794">
        <v>6.9</v>
      </c>
      <c r="J794">
        <v>0.68</v>
      </c>
      <c r="K794">
        <v>45.9</v>
      </c>
      <c r="L794">
        <v>25</v>
      </c>
      <c r="M794">
        <v>26.1</v>
      </c>
      <c r="N794">
        <v>2.2000000000000002</v>
      </c>
      <c r="O794">
        <v>208</v>
      </c>
      <c r="P794" t="s">
        <v>28</v>
      </c>
    </row>
    <row r="795" spans="1:16" x14ac:dyDescent="0.25">
      <c r="A795" t="s">
        <v>855</v>
      </c>
      <c r="B795" s="2">
        <v>45826</v>
      </c>
      <c r="C795" t="s">
        <v>64</v>
      </c>
      <c r="D795" t="s">
        <v>36</v>
      </c>
      <c r="E795" t="s">
        <v>58</v>
      </c>
      <c r="F795">
        <v>115.2</v>
      </c>
      <c r="G795">
        <v>164.1</v>
      </c>
      <c r="H795">
        <v>10.7</v>
      </c>
      <c r="I795">
        <v>12.9</v>
      </c>
      <c r="J795">
        <v>1.1599999999999999</v>
      </c>
      <c r="K795">
        <v>31.1</v>
      </c>
      <c r="L795">
        <v>35.299999999999997</v>
      </c>
      <c r="M795">
        <v>43.9</v>
      </c>
      <c r="N795">
        <v>1.9</v>
      </c>
      <c r="O795">
        <v>352</v>
      </c>
      <c r="P795" t="s">
        <v>20</v>
      </c>
    </row>
    <row r="796" spans="1:16" x14ac:dyDescent="0.25">
      <c r="A796" t="s">
        <v>856</v>
      </c>
      <c r="B796" s="2">
        <v>45793</v>
      </c>
      <c r="C796" t="s">
        <v>99</v>
      </c>
      <c r="D796" t="s">
        <v>36</v>
      </c>
      <c r="E796" t="s">
        <v>43</v>
      </c>
      <c r="F796">
        <v>46.3</v>
      </c>
      <c r="G796">
        <v>131.9</v>
      </c>
      <c r="H796">
        <v>9.1999999999999993</v>
      </c>
      <c r="I796">
        <v>22.4</v>
      </c>
      <c r="J796">
        <v>1.29</v>
      </c>
      <c r="K796">
        <v>48.4</v>
      </c>
      <c r="L796">
        <v>32.200000000000003</v>
      </c>
      <c r="M796">
        <v>68.3</v>
      </c>
      <c r="N796">
        <v>1.1000000000000001</v>
      </c>
      <c r="O796">
        <v>237</v>
      </c>
      <c r="P796" t="s">
        <v>28</v>
      </c>
    </row>
    <row r="797" spans="1:16" x14ac:dyDescent="0.25">
      <c r="A797" t="s">
        <v>857</v>
      </c>
      <c r="B797" s="2">
        <v>45803</v>
      </c>
      <c r="C797" t="s">
        <v>17</v>
      </c>
      <c r="D797" t="s">
        <v>18</v>
      </c>
      <c r="E797" t="s">
        <v>97</v>
      </c>
      <c r="F797">
        <v>25.1</v>
      </c>
      <c r="G797">
        <v>102.7</v>
      </c>
      <c r="H797">
        <v>19.399999999999999</v>
      </c>
      <c r="I797">
        <v>10.4</v>
      </c>
      <c r="J797">
        <v>0.47</v>
      </c>
      <c r="K797">
        <v>30.1</v>
      </c>
      <c r="L797">
        <v>30.9</v>
      </c>
      <c r="M797">
        <v>54.2</v>
      </c>
      <c r="N797">
        <v>3.3</v>
      </c>
      <c r="O797">
        <v>155</v>
      </c>
      <c r="P797" t="s">
        <v>33</v>
      </c>
    </row>
    <row r="798" spans="1:16" x14ac:dyDescent="0.25">
      <c r="A798" t="s">
        <v>858</v>
      </c>
      <c r="B798" s="2">
        <v>45956</v>
      </c>
      <c r="C798" t="s">
        <v>81</v>
      </c>
      <c r="D798" t="s">
        <v>39</v>
      </c>
      <c r="E798" t="s">
        <v>68</v>
      </c>
      <c r="F798">
        <v>30.8</v>
      </c>
      <c r="G798">
        <v>75.5</v>
      </c>
      <c r="H798">
        <v>65.3</v>
      </c>
      <c r="I798">
        <v>23.7</v>
      </c>
      <c r="J798">
        <v>0.11</v>
      </c>
      <c r="K798">
        <v>11.8</v>
      </c>
      <c r="L798">
        <v>24.3</v>
      </c>
      <c r="M798">
        <v>61.4</v>
      </c>
      <c r="N798">
        <v>2.9</v>
      </c>
      <c r="O798">
        <v>175</v>
      </c>
      <c r="P798" t="s">
        <v>33</v>
      </c>
    </row>
    <row r="799" spans="1:16" x14ac:dyDescent="0.25">
      <c r="A799" t="s">
        <v>859</v>
      </c>
      <c r="B799" s="2">
        <v>45776</v>
      </c>
      <c r="C799" t="s">
        <v>77</v>
      </c>
      <c r="D799" t="s">
        <v>39</v>
      </c>
      <c r="E799" t="s">
        <v>55</v>
      </c>
      <c r="F799">
        <v>24.6</v>
      </c>
      <c r="G799">
        <v>59.1</v>
      </c>
      <c r="H799">
        <v>13.3</v>
      </c>
      <c r="I799">
        <v>23.2</v>
      </c>
      <c r="J799">
        <v>1.46</v>
      </c>
      <c r="K799">
        <v>45.4</v>
      </c>
      <c r="L799">
        <v>25</v>
      </c>
      <c r="M799">
        <v>51</v>
      </c>
      <c r="N799">
        <v>1.4</v>
      </c>
      <c r="O799">
        <v>162</v>
      </c>
      <c r="P799" t="s">
        <v>33</v>
      </c>
    </row>
    <row r="800" spans="1:16" x14ac:dyDescent="0.25">
      <c r="A800" t="s">
        <v>860</v>
      </c>
      <c r="B800" s="2">
        <v>45869</v>
      </c>
      <c r="C800" t="s">
        <v>52</v>
      </c>
      <c r="D800" t="s">
        <v>31</v>
      </c>
      <c r="E800" t="s">
        <v>40</v>
      </c>
      <c r="F800">
        <v>53.6</v>
      </c>
      <c r="G800">
        <v>90.7</v>
      </c>
      <c r="H800">
        <v>26.5</v>
      </c>
      <c r="I800">
        <v>5.6</v>
      </c>
      <c r="J800">
        <v>0.56999999999999995</v>
      </c>
      <c r="K800">
        <v>40.200000000000003</v>
      </c>
      <c r="L800">
        <v>29.7</v>
      </c>
      <c r="M800">
        <v>33</v>
      </c>
      <c r="N800">
        <v>2.9</v>
      </c>
      <c r="O800">
        <v>202</v>
      </c>
      <c r="P800" t="s">
        <v>28</v>
      </c>
    </row>
    <row r="801" spans="1:16" x14ac:dyDescent="0.25">
      <c r="A801" t="s">
        <v>861</v>
      </c>
      <c r="B801" s="2">
        <v>45919</v>
      </c>
      <c r="C801" t="s">
        <v>77</v>
      </c>
      <c r="D801" t="s">
        <v>39</v>
      </c>
      <c r="E801" t="s">
        <v>70</v>
      </c>
      <c r="F801">
        <v>61.2</v>
      </c>
      <c r="G801">
        <v>93.5</v>
      </c>
      <c r="H801">
        <v>15.3</v>
      </c>
      <c r="I801">
        <v>10.5</v>
      </c>
      <c r="J801">
        <v>0.17</v>
      </c>
      <c r="K801">
        <v>52.4</v>
      </c>
      <c r="L801">
        <v>25.3</v>
      </c>
      <c r="M801">
        <v>55.7</v>
      </c>
      <c r="N801">
        <v>2.9</v>
      </c>
      <c r="O801">
        <v>206</v>
      </c>
      <c r="P801" t="s">
        <v>28</v>
      </c>
    </row>
    <row r="802" spans="1:16" x14ac:dyDescent="0.25">
      <c r="A802" t="s">
        <v>862</v>
      </c>
      <c r="B802" s="2">
        <v>45946</v>
      </c>
      <c r="C802" t="s">
        <v>54</v>
      </c>
      <c r="D802" t="s">
        <v>18</v>
      </c>
      <c r="E802" t="s">
        <v>91</v>
      </c>
      <c r="F802">
        <v>46</v>
      </c>
      <c r="G802">
        <v>120.3</v>
      </c>
      <c r="H802">
        <v>20</v>
      </c>
      <c r="I802">
        <v>6.6</v>
      </c>
      <c r="J802">
        <v>0.36</v>
      </c>
      <c r="K802">
        <v>20.3</v>
      </c>
      <c r="L802">
        <v>25.3</v>
      </c>
      <c r="M802">
        <v>42.3</v>
      </c>
      <c r="N802">
        <v>0.9</v>
      </c>
      <c r="O802">
        <v>191</v>
      </c>
      <c r="P802" t="s">
        <v>33</v>
      </c>
    </row>
    <row r="803" spans="1:16" x14ac:dyDescent="0.25">
      <c r="A803" t="s">
        <v>863</v>
      </c>
      <c r="B803" s="2">
        <v>45823</v>
      </c>
      <c r="C803" t="s">
        <v>93</v>
      </c>
      <c r="D803" t="s">
        <v>36</v>
      </c>
      <c r="E803" t="s">
        <v>61</v>
      </c>
      <c r="F803">
        <v>44.5</v>
      </c>
      <c r="G803">
        <v>49.5</v>
      </c>
      <c r="H803">
        <v>33.200000000000003</v>
      </c>
      <c r="I803">
        <v>1.8</v>
      </c>
      <c r="J803">
        <v>0.41</v>
      </c>
      <c r="K803">
        <v>43.1</v>
      </c>
      <c r="L803">
        <v>18.600000000000001</v>
      </c>
      <c r="M803">
        <v>60.5</v>
      </c>
      <c r="N803">
        <v>1.3</v>
      </c>
      <c r="O803">
        <v>161</v>
      </c>
      <c r="P803" t="s">
        <v>33</v>
      </c>
    </row>
    <row r="804" spans="1:16" x14ac:dyDescent="0.25">
      <c r="A804" t="s">
        <v>864</v>
      </c>
      <c r="B804" s="2">
        <v>45943</v>
      </c>
      <c r="C804" t="s">
        <v>30</v>
      </c>
      <c r="D804" t="s">
        <v>31</v>
      </c>
      <c r="E804" t="s">
        <v>45</v>
      </c>
      <c r="F804">
        <v>98</v>
      </c>
      <c r="G804">
        <v>56.1</v>
      </c>
      <c r="H804">
        <v>11.9</v>
      </c>
      <c r="I804">
        <v>14</v>
      </c>
      <c r="J804">
        <v>2.0099999999999998</v>
      </c>
      <c r="K804">
        <v>48.1</v>
      </c>
      <c r="L804">
        <v>17.899999999999999</v>
      </c>
      <c r="M804">
        <v>56.9</v>
      </c>
      <c r="N804">
        <v>1.9</v>
      </c>
      <c r="O804">
        <v>284</v>
      </c>
      <c r="P804" t="s">
        <v>28</v>
      </c>
    </row>
    <row r="805" spans="1:16" x14ac:dyDescent="0.25">
      <c r="A805" t="s">
        <v>865</v>
      </c>
      <c r="B805" s="2">
        <v>45905</v>
      </c>
      <c r="C805" t="s">
        <v>64</v>
      </c>
      <c r="D805" t="s">
        <v>36</v>
      </c>
      <c r="E805" t="s">
        <v>61</v>
      </c>
      <c r="F805">
        <v>47.7</v>
      </c>
      <c r="G805">
        <v>34.6</v>
      </c>
      <c r="H805">
        <v>13.9</v>
      </c>
      <c r="I805">
        <v>14</v>
      </c>
      <c r="J805">
        <v>0.25</v>
      </c>
      <c r="K805">
        <v>52.6</v>
      </c>
      <c r="L805">
        <v>32.1</v>
      </c>
      <c r="M805">
        <v>77.099999999999994</v>
      </c>
      <c r="N805">
        <v>3.2</v>
      </c>
      <c r="O805">
        <v>150</v>
      </c>
      <c r="P805" t="s">
        <v>33</v>
      </c>
    </row>
    <row r="806" spans="1:16" x14ac:dyDescent="0.25">
      <c r="A806" t="s">
        <v>866</v>
      </c>
      <c r="B806" s="2">
        <v>45722</v>
      </c>
      <c r="C806" t="s">
        <v>81</v>
      </c>
      <c r="D806" t="s">
        <v>39</v>
      </c>
      <c r="E806" t="s">
        <v>68</v>
      </c>
      <c r="F806">
        <v>29.5</v>
      </c>
      <c r="G806">
        <v>117.3</v>
      </c>
      <c r="H806">
        <v>25.6</v>
      </c>
      <c r="I806">
        <v>16.7</v>
      </c>
      <c r="J806">
        <v>1.73</v>
      </c>
      <c r="K806">
        <v>20.9</v>
      </c>
      <c r="L806">
        <v>29.1</v>
      </c>
      <c r="M806">
        <v>49.1</v>
      </c>
      <c r="N806">
        <v>4.3</v>
      </c>
      <c r="O806">
        <v>208</v>
      </c>
      <c r="P806" t="s">
        <v>28</v>
      </c>
    </row>
    <row r="807" spans="1:16" x14ac:dyDescent="0.25">
      <c r="A807" t="s">
        <v>867</v>
      </c>
      <c r="B807" s="2">
        <v>45913</v>
      </c>
      <c r="C807" t="s">
        <v>99</v>
      </c>
      <c r="D807" t="s">
        <v>36</v>
      </c>
      <c r="E807" t="s">
        <v>70</v>
      </c>
      <c r="F807">
        <v>41.3</v>
      </c>
      <c r="G807">
        <v>78.8</v>
      </c>
      <c r="H807">
        <v>28</v>
      </c>
      <c r="I807">
        <v>16.2</v>
      </c>
      <c r="J807">
        <v>0.14000000000000001</v>
      </c>
      <c r="K807">
        <v>73.2</v>
      </c>
      <c r="L807">
        <v>37.299999999999997</v>
      </c>
      <c r="M807">
        <v>54.8</v>
      </c>
      <c r="N807">
        <v>3.6</v>
      </c>
      <c r="O807">
        <v>187</v>
      </c>
      <c r="P807" t="s">
        <v>33</v>
      </c>
    </row>
    <row r="808" spans="1:16" x14ac:dyDescent="0.25">
      <c r="A808" t="s">
        <v>868</v>
      </c>
      <c r="B808" s="2">
        <v>45790</v>
      </c>
      <c r="C808" t="s">
        <v>54</v>
      </c>
      <c r="D808" t="s">
        <v>18</v>
      </c>
      <c r="E808" t="s">
        <v>27</v>
      </c>
      <c r="F808">
        <v>61.7</v>
      </c>
      <c r="G808">
        <v>69.2</v>
      </c>
      <c r="H808">
        <v>54.8</v>
      </c>
      <c r="I808">
        <v>0.8</v>
      </c>
      <c r="J808">
        <v>0.28000000000000003</v>
      </c>
      <c r="K808">
        <v>47.7</v>
      </c>
      <c r="L808">
        <v>22.3</v>
      </c>
      <c r="M808">
        <v>50.7</v>
      </c>
      <c r="N808">
        <v>2.7</v>
      </c>
      <c r="O808">
        <v>217</v>
      </c>
      <c r="P808" t="s">
        <v>28</v>
      </c>
    </row>
    <row r="809" spans="1:16" x14ac:dyDescent="0.25">
      <c r="A809" t="s">
        <v>869</v>
      </c>
      <c r="B809" s="2">
        <v>46016</v>
      </c>
      <c r="C809" t="s">
        <v>26</v>
      </c>
      <c r="D809" t="s">
        <v>23</v>
      </c>
      <c r="E809" t="s">
        <v>68</v>
      </c>
      <c r="F809">
        <v>28.7</v>
      </c>
      <c r="G809">
        <v>161.69999999999999</v>
      </c>
      <c r="H809">
        <v>38.700000000000003</v>
      </c>
      <c r="I809">
        <v>4.0999999999999996</v>
      </c>
      <c r="J809">
        <v>0.85</v>
      </c>
      <c r="K809">
        <v>41.7</v>
      </c>
      <c r="L809">
        <v>20.8</v>
      </c>
      <c r="M809">
        <v>73.2</v>
      </c>
      <c r="N809">
        <v>2</v>
      </c>
      <c r="O809">
        <v>225</v>
      </c>
      <c r="P809" t="s">
        <v>28</v>
      </c>
    </row>
    <row r="810" spans="1:16" x14ac:dyDescent="0.25">
      <c r="A810" t="s">
        <v>870</v>
      </c>
      <c r="B810" s="2">
        <v>45952</v>
      </c>
      <c r="C810" t="s">
        <v>81</v>
      </c>
      <c r="D810" t="s">
        <v>39</v>
      </c>
      <c r="E810" t="s">
        <v>32</v>
      </c>
      <c r="F810">
        <v>80.900000000000006</v>
      </c>
      <c r="G810">
        <v>55.8</v>
      </c>
      <c r="H810">
        <v>21.7</v>
      </c>
      <c r="I810">
        <v>8.5</v>
      </c>
      <c r="J810">
        <v>0.16</v>
      </c>
      <c r="K810">
        <v>28.7</v>
      </c>
      <c r="L810">
        <v>23.9</v>
      </c>
      <c r="M810">
        <v>76.5</v>
      </c>
      <c r="N810">
        <v>1.8</v>
      </c>
      <c r="O810">
        <v>206</v>
      </c>
      <c r="P810" t="s">
        <v>28</v>
      </c>
    </row>
    <row r="811" spans="1:16" x14ac:dyDescent="0.25">
      <c r="A811" t="s">
        <v>871</v>
      </c>
      <c r="B811" s="2">
        <v>45907</v>
      </c>
      <c r="C811" t="s">
        <v>26</v>
      </c>
      <c r="D811" t="s">
        <v>23</v>
      </c>
      <c r="E811" t="s">
        <v>61</v>
      </c>
      <c r="F811">
        <v>36.9</v>
      </c>
      <c r="G811">
        <v>198.3</v>
      </c>
      <c r="H811">
        <v>34.299999999999997</v>
      </c>
      <c r="I811">
        <v>4</v>
      </c>
      <c r="J811">
        <v>0.25</v>
      </c>
      <c r="K811">
        <v>55.9</v>
      </c>
      <c r="L811">
        <v>25.8</v>
      </c>
      <c r="M811">
        <v>65.8</v>
      </c>
      <c r="N811">
        <v>1.4</v>
      </c>
      <c r="O811">
        <v>250</v>
      </c>
      <c r="P811" t="s">
        <v>28</v>
      </c>
    </row>
    <row r="812" spans="1:16" x14ac:dyDescent="0.25">
      <c r="A812" t="s">
        <v>872</v>
      </c>
      <c r="B812" s="2">
        <v>45911</v>
      </c>
      <c r="C812" t="s">
        <v>35</v>
      </c>
      <c r="D812" t="s">
        <v>36</v>
      </c>
      <c r="E812" t="s">
        <v>43</v>
      </c>
      <c r="F812">
        <v>61.2</v>
      </c>
      <c r="G812">
        <v>164.4</v>
      </c>
      <c r="H812">
        <v>16.399999999999999</v>
      </c>
      <c r="I812">
        <v>3.7</v>
      </c>
      <c r="J812">
        <v>0.31</v>
      </c>
      <c r="K812">
        <v>46</v>
      </c>
      <c r="L812">
        <v>29.7</v>
      </c>
      <c r="M812">
        <v>43.5</v>
      </c>
      <c r="N812">
        <v>1.8</v>
      </c>
      <c r="O812">
        <v>249</v>
      </c>
      <c r="P812" t="s">
        <v>28</v>
      </c>
    </row>
    <row r="813" spans="1:16" x14ac:dyDescent="0.25">
      <c r="A813" t="s">
        <v>873</v>
      </c>
      <c r="B813" s="2">
        <v>45686</v>
      </c>
      <c r="C813" t="s">
        <v>30</v>
      </c>
      <c r="D813" t="s">
        <v>31</v>
      </c>
      <c r="E813" t="s">
        <v>27</v>
      </c>
      <c r="F813">
        <v>40.200000000000003</v>
      </c>
      <c r="G813">
        <v>61.9</v>
      </c>
      <c r="H813">
        <v>17.399999999999999</v>
      </c>
      <c r="I813">
        <v>17.7</v>
      </c>
      <c r="J813">
        <v>0.97</v>
      </c>
      <c r="K813">
        <v>8.5</v>
      </c>
      <c r="L813">
        <v>28.1</v>
      </c>
      <c r="M813">
        <v>77.2</v>
      </c>
      <c r="N813">
        <v>1.5</v>
      </c>
      <c r="O813">
        <v>159</v>
      </c>
      <c r="P813" t="s">
        <v>33</v>
      </c>
    </row>
    <row r="814" spans="1:16" x14ac:dyDescent="0.25">
      <c r="A814" t="s">
        <v>874</v>
      </c>
      <c r="B814" s="2">
        <v>45957</v>
      </c>
      <c r="C814" t="s">
        <v>93</v>
      </c>
      <c r="D814" t="s">
        <v>36</v>
      </c>
      <c r="E814" t="s">
        <v>45</v>
      </c>
      <c r="F814">
        <v>31.4</v>
      </c>
      <c r="G814">
        <v>46.4</v>
      </c>
      <c r="H814">
        <v>12.8</v>
      </c>
      <c r="I814">
        <v>28.6</v>
      </c>
      <c r="J814">
        <v>0.43</v>
      </c>
      <c r="K814">
        <v>24.1</v>
      </c>
      <c r="L814">
        <v>16.899999999999999</v>
      </c>
      <c r="M814">
        <v>29.2</v>
      </c>
      <c r="N814">
        <v>3.2</v>
      </c>
      <c r="O814">
        <v>132</v>
      </c>
      <c r="P814" t="s">
        <v>33</v>
      </c>
    </row>
    <row r="815" spans="1:16" x14ac:dyDescent="0.25">
      <c r="A815" t="s">
        <v>875</v>
      </c>
      <c r="B815" s="2">
        <v>45738</v>
      </c>
      <c r="C815" t="s">
        <v>35</v>
      </c>
      <c r="D815" t="s">
        <v>36</v>
      </c>
      <c r="E815" t="s">
        <v>43</v>
      </c>
      <c r="F815">
        <v>46.1</v>
      </c>
      <c r="G815">
        <v>111.8</v>
      </c>
      <c r="H815">
        <v>19.5</v>
      </c>
      <c r="I815">
        <v>10.6</v>
      </c>
      <c r="J815">
        <v>1.84</v>
      </c>
      <c r="K815">
        <v>46.1</v>
      </c>
      <c r="L815">
        <v>28.3</v>
      </c>
      <c r="M815">
        <v>44.5</v>
      </c>
      <c r="N815">
        <v>3.5</v>
      </c>
      <c r="O815">
        <v>236</v>
      </c>
      <c r="P815" t="s">
        <v>28</v>
      </c>
    </row>
    <row r="816" spans="1:16" x14ac:dyDescent="0.25">
      <c r="A816" t="s">
        <v>876</v>
      </c>
      <c r="B816" s="2">
        <v>45933</v>
      </c>
      <c r="C816" t="s">
        <v>30</v>
      </c>
      <c r="D816" t="s">
        <v>31</v>
      </c>
      <c r="E816" t="s">
        <v>97</v>
      </c>
      <c r="F816">
        <v>53.6</v>
      </c>
      <c r="G816">
        <v>54.6</v>
      </c>
      <c r="H816">
        <v>49.5</v>
      </c>
      <c r="I816">
        <v>17.2</v>
      </c>
      <c r="J816">
        <v>1.47</v>
      </c>
      <c r="K816">
        <v>31.5</v>
      </c>
      <c r="L816">
        <v>31.8</v>
      </c>
      <c r="M816">
        <v>38.6</v>
      </c>
      <c r="N816">
        <v>3.3</v>
      </c>
      <c r="O816">
        <v>224</v>
      </c>
      <c r="P816" t="s">
        <v>28</v>
      </c>
    </row>
    <row r="817" spans="1:16" x14ac:dyDescent="0.25">
      <c r="A817" t="s">
        <v>877</v>
      </c>
      <c r="B817" s="2">
        <v>45872</v>
      </c>
      <c r="C817" t="s">
        <v>52</v>
      </c>
      <c r="D817" t="s">
        <v>31</v>
      </c>
      <c r="E817" t="s">
        <v>32</v>
      </c>
      <c r="F817">
        <v>23.5</v>
      </c>
      <c r="G817">
        <v>74.5</v>
      </c>
      <c r="H817">
        <v>5.6</v>
      </c>
      <c r="I817">
        <v>21.1</v>
      </c>
      <c r="J817">
        <v>0.72</v>
      </c>
      <c r="K817">
        <v>18.8</v>
      </c>
      <c r="L817">
        <v>27.5</v>
      </c>
      <c r="M817">
        <v>47.2</v>
      </c>
      <c r="N817">
        <v>4.2</v>
      </c>
      <c r="O817">
        <v>132</v>
      </c>
      <c r="P817" t="s">
        <v>33</v>
      </c>
    </row>
    <row r="818" spans="1:16" x14ac:dyDescent="0.25">
      <c r="A818" t="s">
        <v>878</v>
      </c>
      <c r="B818" s="2">
        <v>46017</v>
      </c>
      <c r="C818" t="s">
        <v>30</v>
      </c>
      <c r="D818" t="s">
        <v>31</v>
      </c>
      <c r="E818" t="s">
        <v>61</v>
      </c>
      <c r="F818">
        <v>44.9</v>
      </c>
      <c r="G818">
        <v>74.2</v>
      </c>
      <c r="H818">
        <v>22.7</v>
      </c>
      <c r="I818">
        <v>21.2</v>
      </c>
      <c r="J818">
        <v>0.45</v>
      </c>
      <c r="K818">
        <v>28.6</v>
      </c>
      <c r="L818">
        <v>29.5</v>
      </c>
      <c r="M818">
        <v>48.5</v>
      </c>
      <c r="N818">
        <v>2.6</v>
      </c>
      <c r="O818">
        <v>177</v>
      </c>
      <c r="P818" t="s">
        <v>33</v>
      </c>
    </row>
    <row r="819" spans="1:16" x14ac:dyDescent="0.25">
      <c r="A819" t="s">
        <v>879</v>
      </c>
      <c r="B819" s="2">
        <v>45667</v>
      </c>
      <c r="C819" t="s">
        <v>42</v>
      </c>
      <c r="D819" t="s">
        <v>23</v>
      </c>
      <c r="E819" t="s">
        <v>40</v>
      </c>
      <c r="F819">
        <v>18.600000000000001</v>
      </c>
      <c r="G819">
        <v>48.6</v>
      </c>
      <c r="H819">
        <v>42.4</v>
      </c>
      <c r="I819">
        <v>10.8</v>
      </c>
      <c r="J819">
        <v>0.27</v>
      </c>
      <c r="K819">
        <v>54.9</v>
      </c>
      <c r="L819">
        <v>30.9</v>
      </c>
      <c r="M819">
        <v>68.8</v>
      </c>
      <c r="N819">
        <v>4.2</v>
      </c>
      <c r="O819">
        <v>134</v>
      </c>
      <c r="P819" t="s">
        <v>33</v>
      </c>
    </row>
    <row r="820" spans="1:16" x14ac:dyDescent="0.25">
      <c r="A820" t="s">
        <v>880</v>
      </c>
      <c r="B820" s="2">
        <v>45898</v>
      </c>
      <c r="C820" t="s">
        <v>35</v>
      </c>
      <c r="D820" t="s">
        <v>36</v>
      </c>
      <c r="E820" t="s">
        <v>32</v>
      </c>
      <c r="F820">
        <v>35.1</v>
      </c>
      <c r="G820">
        <v>173.7</v>
      </c>
      <c r="H820">
        <v>27.8</v>
      </c>
      <c r="I820">
        <v>2.8</v>
      </c>
      <c r="J820">
        <v>2.76</v>
      </c>
      <c r="K820">
        <v>42.8</v>
      </c>
      <c r="L820">
        <v>25.3</v>
      </c>
      <c r="M820">
        <v>75.8</v>
      </c>
      <c r="N820">
        <v>2.9</v>
      </c>
      <c r="O820">
        <v>282</v>
      </c>
      <c r="P820" t="s">
        <v>28</v>
      </c>
    </row>
    <row r="821" spans="1:16" x14ac:dyDescent="0.25">
      <c r="A821" t="s">
        <v>881</v>
      </c>
      <c r="B821" s="2">
        <v>45823</v>
      </c>
      <c r="C821" t="s">
        <v>52</v>
      </c>
      <c r="D821" t="s">
        <v>31</v>
      </c>
      <c r="E821" t="s">
        <v>68</v>
      </c>
      <c r="F821">
        <v>55.5</v>
      </c>
      <c r="G821">
        <v>66.7</v>
      </c>
      <c r="H821">
        <v>12</v>
      </c>
      <c r="I821">
        <v>13.7</v>
      </c>
      <c r="J821">
        <v>0.95</v>
      </c>
      <c r="K821">
        <v>54.8</v>
      </c>
      <c r="L821">
        <v>29.9</v>
      </c>
      <c r="M821">
        <v>66.599999999999994</v>
      </c>
      <c r="N821">
        <v>2.8</v>
      </c>
      <c r="O821">
        <v>200</v>
      </c>
      <c r="P821" t="s">
        <v>33</v>
      </c>
    </row>
    <row r="822" spans="1:16" x14ac:dyDescent="0.25">
      <c r="A822" t="s">
        <v>882</v>
      </c>
      <c r="B822" s="2">
        <v>45864</v>
      </c>
      <c r="C822" t="s">
        <v>17</v>
      </c>
      <c r="D822" t="s">
        <v>18</v>
      </c>
      <c r="E822" t="s">
        <v>40</v>
      </c>
      <c r="F822">
        <v>19.899999999999999</v>
      </c>
      <c r="G822">
        <v>44.7</v>
      </c>
      <c r="H822">
        <v>25.9</v>
      </c>
      <c r="I822">
        <v>10.8</v>
      </c>
      <c r="J822">
        <v>1.05</v>
      </c>
      <c r="K822">
        <v>35.299999999999997</v>
      </c>
      <c r="L822">
        <v>27</v>
      </c>
      <c r="M822">
        <v>52</v>
      </c>
      <c r="N822">
        <v>2</v>
      </c>
      <c r="O822">
        <v>131</v>
      </c>
      <c r="P822" t="s">
        <v>33</v>
      </c>
    </row>
    <row r="823" spans="1:16" x14ac:dyDescent="0.25">
      <c r="A823" t="s">
        <v>883</v>
      </c>
      <c r="B823" s="2">
        <v>45769</v>
      </c>
      <c r="C823" t="s">
        <v>93</v>
      </c>
      <c r="D823" t="s">
        <v>36</v>
      </c>
      <c r="E823" t="s">
        <v>43</v>
      </c>
      <c r="F823">
        <v>56.7</v>
      </c>
      <c r="G823">
        <v>127.3</v>
      </c>
      <c r="H823">
        <v>46.8</v>
      </c>
      <c r="I823">
        <v>2.8</v>
      </c>
      <c r="J823">
        <v>1.24</v>
      </c>
      <c r="K823">
        <v>7.2</v>
      </c>
      <c r="L823">
        <v>27.1</v>
      </c>
      <c r="M823">
        <v>65.5</v>
      </c>
      <c r="N823">
        <v>2.5</v>
      </c>
      <c r="O823">
        <v>247</v>
      </c>
      <c r="P823" t="s">
        <v>28</v>
      </c>
    </row>
    <row r="824" spans="1:16" x14ac:dyDescent="0.25">
      <c r="A824" t="s">
        <v>884</v>
      </c>
      <c r="B824" s="2">
        <v>45906</v>
      </c>
      <c r="C824" t="s">
        <v>99</v>
      </c>
      <c r="D824" t="s">
        <v>36</v>
      </c>
      <c r="E824" t="s">
        <v>74</v>
      </c>
      <c r="F824">
        <v>11.2</v>
      </c>
      <c r="G824">
        <v>143.30000000000001</v>
      </c>
      <c r="H824">
        <v>31.3</v>
      </c>
      <c r="I824">
        <v>16.8</v>
      </c>
      <c r="J824">
        <v>0.44</v>
      </c>
      <c r="K824">
        <v>23.2</v>
      </c>
      <c r="L824">
        <v>37.5</v>
      </c>
      <c r="M824">
        <v>77.7</v>
      </c>
      <c r="N824">
        <v>1.3</v>
      </c>
      <c r="O824">
        <v>169</v>
      </c>
      <c r="P824" t="s">
        <v>33</v>
      </c>
    </row>
    <row r="825" spans="1:16" x14ac:dyDescent="0.25">
      <c r="A825" t="s">
        <v>885</v>
      </c>
      <c r="B825" s="2">
        <v>45723</v>
      </c>
      <c r="C825" t="s">
        <v>17</v>
      </c>
      <c r="D825" t="s">
        <v>18</v>
      </c>
      <c r="E825" t="s">
        <v>19</v>
      </c>
      <c r="F825">
        <v>53.5</v>
      </c>
      <c r="G825">
        <v>92.8</v>
      </c>
      <c r="H825">
        <v>10.1</v>
      </c>
      <c r="I825">
        <v>7.8</v>
      </c>
      <c r="J825">
        <v>0.56000000000000005</v>
      </c>
      <c r="K825">
        <v>24</v>
      </c>
      <c r="L825">
        <v>28.1</v>
      </c>
      <c r="M825">
        <v>68.400000000000006</v>
      </c>
      <c r="N825">
        <v>2.2000000000000002</v>
      </c>
      <c r="O825">
        <v>184</v>
      </c>
      <c r="P825" t="s">
        <v>33</v>
      </c>
    </row>
    <row r="826" spans="1:16" x14ac:dyDescent="0.25">
      <c r="A826" t="s">
        <v>886</v>
      </c>
      <c r="B826" s="2">
        <v>45709</v>
      </c>
      <c r="C826" t="s">
        <v>42</v>
      </c>
      <c r="D826" t="s">
        <v>23</v>
      </c>
      <c r="E826" t="s">
        <v>55</v>
      </c>
      <c r="F826">
        <v>10.9</v>
      </c>
      <c r="G826">
        <v>96.6</v>
      </c>
      <c r="H826">
        <v>7.7</v>
      </c>
      <c r="I826">
        <v>45.5</v>
      </c>
      <c r="J826">
        <v>0.82</v>
      </c>
      <c r="K826">
        <v>39.299999999999997</v>
      </c>
      <c r="L826">
        <v>20.3</v>
      </c>
      <c r="M826">
        <v>41.3</v>
      </c>
      <c r="N826">
        <v>1.8</v>
      </c>
      <c r="O826">
        <v>156</v>
      </c>
      <c r="P826" t="s">
        <v>33</v>
      </c>
    </row>
    <row r="827" spans="1:16" x14ac:dyDescent="0.25">
      <c r="A827" t="s">
        <v>887</v>
      </c>
      <c r="B827" s="2">
        <v>45674</v>
      </c>
      <c r="C827" t="s">
        <v>54</v>
      </c>
      <c r="D827" t="s">
        <v>18</v>
      </c>
      <c r="E827" t="s">
        <v>27</v>
      </c>
      <c r="F827">
        <v>84.8</v>
      </c>
      <c r="G827">
        <v>88.9</v>
      </c>
      <c r="H827">
        <v>27.8</v>
      </c>
      <c r="I827">
        <v>10.4</v>
      </c>
      <c r="J827">
        <v>1.51</v>
      </c>
      <c r="K827">
        <v>32.700000000000003</v>
      </c>
      <c r="L827">
        <v>21.8</v>
      </c>
      <c r="M827">
        <v>52.3</v>
      </c>
      <c r="N827">
        <v>2.6</v>
      </c>
      <c r="O827">
        <v>275</v>
      </c>
      <c r="P827" t="s">
        <v>28</v>
      </c>
    </row>
    <row r="828" spans="1:16" x14ac:dyDescent="0.25">
      <c r="A828" t="s">
        <v>888</v>
      </c>
      <c r="B828" s="2">
        <v>45692</v>
      </c>
      <c r="C828" t="s">
        <v>99</v>
      </c>
      <c r="D828" t="s">
        <v>36</v>
      </c>
      <c r="E828" t="s">
        <v>55</v>
      </c>
      <c r="F828">
        <v>48.6</v>
      </c>
      <c r="G828">
        <v>74.8</v>
      </c>
      <c r="H828">
        <v>42</v>
      </c>
      <c r="I828">
        <v>20.8</v>
      </c>
      <c r="J828">
        <v>0.92</v>
      </c>
      <c r="K828">
        <v>70.400000000000006</v>
      </c>
      <c r="L828">
        <v>24.1</v>
      </c>
      <c r="M828">
        <v>54.4</v>
      </c>
      <c r="N828">
        <v>2.9</v>
      </c>
      <c r="O828">
        <v>229</v>
      </c>
      <c r="P828" t="s">
        <v>28</v>
      </c>
    </row>
    <row r="829" spans="1:16" x14ac:dyDescent="0.25">
      <c r="A829" t="s">
        <v>889</v>
      </c>
      <c r="B829" s="2">
        <v>45664</v>
      </c>
      <c r="C829" t="s">
        <v>52</v>
      </c>
      <c r="D829" t="s">
        <v>31</v>
      </c>
      <c r="E829" t="s">
        <v>91</v>
      </c>
      <c r="F829">
        <v>33.799999999999997</v>
      </c>
      <c r="G829">
        <v>71</v>
      </c>
      <c r="H829">
        <v>30.5</v>
      </c>
      <c r="I829">
        <v>9</v>
      </c>
      <c r="J829">
        <v>1.65</v>
      </c>
      <c r="K829">
        <v>20.100000000000001</v>
      </c>
      <c r="L829">
        <v>28</v>
      </c>
      <c r="M829">
        <v>71.599999999999994</v>
      </c>
      <c r="N829">
        <v>2.8</v>
      </c>
      <c r="O829">
        <v>181</v>
      </c>
      <c r="P829" t="s">
        <v>33</v>
      </c>
    </row>
    <row r="830" spans="1:16" x14ac:dyDescent="0.25">
      <c r="A830" t="s">
        <v>890</v>
      </c>
      <c r="B830" s="2">
        <v>45784</v>
      </c>
      <c r="C830" t="s">
        <v>38</v>
      </c>
      <c r="D830" t="s">
        <v>39</v>
      </c>
      <c r="E830" t="s">
        <v>91</v>
      </c>
      <c r="F830">
        <v>74.099999999999994</v>
      </c>
      <c r="G830">
        <v>114.4</v>
      </c>
      <c r="H830">
        <v>50.2</v>
      </c>
      <c r="I830">
        <v>2.9</v>
      </c>
      <c r="J830">
        <v>0.5</v>
      </c>
      <c r="K830">
        <v>32.799999999999997</v>
      </c>
      <c r="L830">
        <v>25.1</v>
      </c>
      <c r="M830">
        <v>57.2</v>
      </c>
      <c r="N830">
        <v>2.6</v>
      </c>
      <c r="O830">
        <v>262</v>
      </c>
      <c r="P830" t="s">
        <v>28</v>
      </c>
    </row>
    <row r="831" spans="1:16" x14ac:dyDescent="0.25">
      <c r="A831" t="s">
        <v>891</v>
      </c>
      <c r="B831" s="2">
        <v>45720</v>
      </c>
      <c r="C831" t="s">
        <v>99</v>
      </c>
      <c r="D831" t="s">
        <v>36</v>
      </c>
      <c r="E831" t="s">
        <v>58</v>
      </c>
      <c r="F831">
        <v>65.3</v>
      </c>
      <c r="G831">
        <v>80.5</v>
      </c>
      <c r="H831">
        <v>38.299999999999997</v>
      </c>
      <c r="I831">
        <v>9.1999999999999993</v>
      </c>
      <c r="J831">
        <v>0.83</v>
      </c>
      <c r="K831">
        <v>36.799999999999997</v>
      </c>
      <c r="L831">
        <v>32.9</v>
      </c>
      <c r="M831">
        <v>48.9</v>
      </c>
      <c r="N831">
        <v>2</v>
      </c>
      <c r="O831">
        <v>231</v>
      </c>
      <c r="P831" t="s">
        <v>28</v>
      </c>
    </row>
    <row r="832" spans="1:16" x14ac:dyDescent="0.25">
      <c r="A832" t="s">
        <v>892</v>
      </c>
      <c r="B832" s="2">
        <v>45906</v>
      </c>
      <c r="C832" t="s">
        <v>99</v>
      </c>
      <c r="D832" t="s">
        <v>36</v>
      </c>
      <c r="E832" t="s">
        <v>27</v>
      </c>
      <c r="F832">
        <v>57.6</v>
      </c>
      <c r="G832">
        <v>74.099999999999994</v>
      </c>
      <c r="H832">
        <v>63.4</v>
      </c>
      <c r="I832">
        <v>6.5</v>
      </c>
      <c r="J832">
        <v>1.03</v>
      </c>
      <c r="K832">
        <v>56</v>
      </c>
      <c r="L832">
        <v>36.700000000000003</v>
      </c>
      <c r="M832">
        <v>39.1</v>
      </c>
      <c r="N832">
        <v>0.1</v>
      </c>
      <c r="O832">
        <v>247</v>
      </c>
      <c r="P832" t="s">
        <v>28</v>
      </c>
    </row>
    <row r="833" spans="1:16" x14ac:dyDescent="0.25">
      <c r="A833" t="s">
        <v>893</v>
      </c>
      <c r="B833" s="2">
        <v>46000</v>
      </c>
      <c r="C833" t="s">
        <v>26</v>
      </c>
      <c r="D833" t="s">
        <v>23</v>
      </c>
      <c r="E833" t="s">
        <v>91</v>
      </c>
      <c r="F833">
        <v>73.900000000000006</v>
      </c>
      <c r="G833">
        <v>105.7</v>
      </c>
      <c r="H833">
        <v>33.299999999999997</v>
      </c>
      <c r="I833">
        <v>16.899999999999999</v>
      </c>
      <c r="J833">
        <v>1.55</v>
      </c>
      <c r="K833">
        <v>37.200000000000003</v>
      </c>
      <c r="L833">
        <v>37.299999999999997</v>
      </c>
      <c r="M833">
        <v>81.400000000000006</v>
      </c>
      <c r="N833">
        <v>3.4</v>
      </c>
      <c r="O833">
        <v>281</v>
      </c>
      <c r="P833" t="s">
        <v>28</v>
      </c>
    </row>
    <row r="834" spans="1:16" x14ac:dyDescent="0.25">
      <c r="A834" t="s">
        <v>894</v>
      </c>
      <c r="B834" s="2">
        <v>46016</v>
      </c>
      <c r="C834" t="s">
        <v>54</v>
      </c>
      <c r="D834" t="s">
        <v>18</v>
      </c>
      <c r="E834" t="s">
        <v>32</v>
      </c>
      <c r="F834">
        <v>18.100000000000001</v>
      </c>
      <c r="G834">
        <v>50.2</v>
      </c>
      <c r="H834">
        <v>38.5</v>
      </c>
      <c r="I834">
        <v>16.7</v>
      </c>
      <c r="J834">
        <v>1.1599999999999999</v>
      </c>
      <c r="K834">
        <v>11.5</v>
      </c>
      <c r="L834">
        <v>22.2</v>
      </c>
      <c r="M834">
        <v>77.2</v>
      </c>
      <c r="N834">
        <v>0.8</v>
      </c>
      <c r="O834">
        <v>138</v>
      </c>
      <c r="P834" t="s">
        <v>33</v>
      </c>
    </row>
    <row r="835" spans="1:16" x14ac:dyDescent="0.25">
      <c r="A835" t="s">
        <v>895</v>
      </c>
      <c r="B835" s="2">
        <v>45777</v>
      </c>
      <c r="C835" t="s">
        <v>50</v>
      </c>
      <c r="D835" t="s">
        <v>31</v>
      </c>
      <c r="E835" t="s">
        <v>24</v>
      </c>
      <c r="F835">
        <v>71.900000000000006</v>
      </c>
      <c r="G835">
        <v>43.5</v>
      </c>
      <c r="H835">
        <v>12</v>
      </c>
      <c r="I835">
        <v>15.9</v>
      </c>
      <c r="J835">
        <v>0.46</v>
      </c>
      <c r="K835">
        <v>31.8</v>
      </c>
      <c r="L835">
        <v>28.3</v>
      </c>
      <c r="M835">
        <v>62</v>
      </c>
      <c r="N835">
        <v>2.9</v>
      </c>
      <c r="O835">
        <v>190</v>
      </c>
      <c r="P835" t="s">
        <v>33</v>
      </c>
    </row>
    <row r="836" spans="1:16" x14ac:dyDescent="0.25">
      <c r="A836" t="s">
        <v>896</v>
      </c>
      <c r="B836" s="2">
        <v>45980</v>
      </c>
      <c r="C836" t="s">
        <v>54</v>
      </c>
      <c r="D836" t="s">
        <v>18</v>
      </c>
      <c r="E836" t="s">
        <v>43</v>
      </c>
      <c r="F836">
        <v>1.2</v>
      </c>
      <c r="G836">
        <v>19.7</v>
      </c>
      <c r="H836">
        <v>10</v>
      </c>
      <c r="I836">
        <v>9.4</v>
      </c>
      <c r="J836">
        <v>1.92</v>
      </c>
      <c r="K836">
        <v>35.700000000000003</v>
      </c>
      <c r="L836">
        <v>34.4</v>
      </c>
      <c r="M836">
        <v>82.3</v>
      </c>
      <c r="N836">
        <v>2.5</v>
      </c>
      <c r="O836">
        <v>93</v>
      </c>
      <c r="P836" t="s">
        <v>71</v>
      </c>
    </row>
    <row r="837" spans="1:16" x14ac:dyDescent="0.25">
      <c r="A837" t="s">
        <v>897</v>
      </c>
      <c r="B837" s="2">
        <v>46000</v>
      </c>
      <c r="C837" t="s">
        <v>77</v>
      </c>
      <c r="D837" t="s">
        <v>39</v>
      </c>
      <c r="E837" t="s">
        <v>19</v>
      </c>
      <c r="F837">
        <v>83.8</v>
      </c>
      <c r="G837">
        <v>76.2</v>
      </c>
      <c r="H837">
        <v>35.700000000000003</v>
      </c>
      <c r="I837">
        <v>18.899999999999999</v>
      </c>
      <c r="J837">
        <v>0.44</v>
      </c>
      <c r="K837">
        <v>22.4</v>
      </c>
      <c r="L837">
        <v>31.7</v>
      </c>
      <c r="M837">
        <v>20</v>
      </c>
      <c r="N837">
        <v>2.6</v>
      </c>
      <c r="O837">
        <v>246</v>
      </c>
      <c r="P837" t="s">
        <v>28</v>
      </c>
    </row>
    <row r="838" spans="1:16" x14ac:dyDescent="0.25">
      <c r="A838" t="s">
        <v>898</v>
      </c>
      <c r="B838" s="2">
        <v>45873</v>
      </c>
      <c r="C838" t="s">
        <v>67</v>
      </c>
      <c r="D838" t="s">
        <v>18</v>
      </c>
      <c r="E838" t="s">
        <v>45</v>
      </c>
      <c r="F838">
        <v>50.6</v>
      </c>
      <c r="G838">
        <v>102.7</v>
      </c>
      <c r="H838">
        <v>12.2</v>
      </c>
      <c r="I838">
        <v>4.5</v>
      </c>
      <c r="J838">
        <v>0.54</v>
      </c>
      <c r="K838">
        <v>4.9000000000000004</v>
      </c>
      <c r="L838">
        <v>28.9</v>
      </c>
      <c r="M838">
        <v>76</v>
      </c>
      <c r="N838">
        <v>2.4</v>
      </c>
      <c r="O838">
        <v>176</v>
      </c>
      <c r="P838" t="s">
        <v>33</v>
      </c>
    </row>
    <row r="839" spans="1:16" x14ac:dyDescent="0.25">
      <c r="A839" t="s">
        <v>899</v>
      </c>
      <c r="B839" s="2">
        <v>45693</v>
      </c>
      <c r="C839" t="s">
        <v>42</v>
      </c>
      <c r="D839" t="s">
        <v>23</v>
      </c>
      <c r="E839" t="s">
        <v>74</v>
      </c>
      <c r="F839">
        <v>83</v>
      </c>
      <c r="G839">
        <v>113.3</v>
      </c>
      <c r="H839">
        <v>133.1</v>
      </c>
      <c r="I839">
        <v>11.3</v>
      </c>
      <c r="J839">
        <v>0.55000000000000004</v>
      </c>
      <c r="K839">
        <v>9</v>
      </c>
      <c r="L839">
        <v>13.6</v>
      </c>
      <c r="M839">
        <v>65.900000000000006</v>
      </c>
      <c r="N839">
        <v>2.9</v>
      </c>
      <c r="O839">
        <v>339</v>
      </c>
      <c r="P839" t="s">
        <v>20</v>
      </c>
    </row>
    <row r="840" spans="1:16" x14ac:dyDescent="0.25">
      <c r="A840" t="s">
        <v>900</v>
      </c>
      <c r="B840" s="2">
        <v>45679</v>
      </c>
      <c r="C840" t="s">
        <v>35</v>
      </c>
      <c r="D840" t="s">
        <v>36</v>
      </c>
      <c r="E840" t="s">
        <v>68</v>
      </c>
      <c r="F840">
        <v>159.80000000000001</v>
      </c>
      <c r="G840">
        <v>92.7</v>
      </c>
      <c r="H840">
        <v>39.200000000000003</v>
      </c>
      <c r="I840">
        <v>9.8000000000000007</v>
      </c>
      <c r="J840">
        <v>0.19</v>
      </c>
      <c r="K840">
        <v>33.6</v>
      </c>
      <c r="L840">
        <v>26.8</v>
      </c>
      <c r="M840">
        <v>45.1</v>
      </c>
      <c r="N840">
        <v>3.1</v>
      </c>
      <c r="O840">
        <v>374</v>
      </c>
      <c r="P840" t="s">
        <v>20</v>
      </c>
    </row>
    <row r="841" spans="1:16" x14ac:dyDescent="0.25">
      <c r="A841" t="s">
        <v>901</v>
      </c>
      <c r="B841" s="2">
        <v>45878</v>
      </c>
      <c r="C841" t="s">
        <v>77</v>
      </c>
      <c r="D841" t="s">
        <v>39</v>
      </c>
      <c r="E841" t="s">
        <v>40</v>
      </c>
      <c r="F841">
        <v>51</v>
      </c>
      <c r="G841">
        <v>118.9</v>
      </c>
      <c r="H841">
        <v>55.4</v>
      </c>
      <c r="I841">
        <v>21.5</v>
      </c>
      <c r="J841">
        <v>0.44</v>
      </c>
      <c r="K841">
        <v>18.100000000000001</v>
      </c>
      <c r="L841">
        <v>39.9</v>
      </c>
      <c r="M841">
        <v>65.599999999999994</v>
      </c>
      <c r="N841">
        <v>3.8</v>
      </c>
      <c r="O841">
        <v>237</v>
      </c>
      <c r="P841" t="s">
        <v>28</v>
      </c>
    </row>
    <row r="842" spans="1:16" x14ac:dyDescent="0.25">
      <c r="A842" t="s">
        <v>902</v>
      </c>
      <c r="B842" s="2">
        <v>45880</v>
      </c>
      <c r="C842" t="s">
        <v>38</v>
      </c>
      <c r="D842" t="s">
        <v>39</v>
      </c>
      <c r="E842" t="s">
        <v>61</v>
      </c>
      <c r="F842">
        <v>21.8</v>
      </c>
      <c r="G842">
        <v>59.3</v>
      </c>
      <c r="H842">
        <v>29.6</v>
      </c>
      <c r="I842">
        <v>21.8</v>
      </c>
      <c r="J842">
        <v>0.76</v>
      </c>
      <c r="K842">
        <v>13.1</v>
      </c>
      <c r="L842">
        <v>31.7</v>
      </c>
      <c r="M842">
        <v>60</v>
      </c>
      <c r="N842">
        <v>1.5</v>
      </c>
      <c r="O842">
        <v>137</v>
      </c>
      <c r="P842" t="s">
        <v>33</v>
      </c>
    </row>
    <row r="843" spans="1:16" x14ac:dyDescent="0.25">
      <c r="A843" t="s">
        <v>903</v>
      </c>
      <c r="B843" s="2">
        <v>45851</v>
      </c>
      <c r="C843" t="s">
        <v>26</v>
      </c>
      <c r="D843" t="s">
        <v>23</v>
      </c>
      <c r="E843" t="s">
        <v>45</v>
      </c>
      <c r="F843">
        <v>69</v>
      </c>
      <c r="G843">
        <v>109.2</v>
      </c>
      <c r="H843">
        <v>11.6</v>
      </c>
      <c r="I843">
        <v>8.4</v>
      </c>
      <c r="J843">
        <v>1.1299999999999999</v>
      </c>
      <c r="K843">
        <v>48.9</v>
      </c>
      <c r="L843">
        <v>28</v>
      </c>
      <c r="M843">
        <v>57</v>
      </c>
      <c r="N843">
        <v>3</v>
      </c>
      <c r="O843">
        <v>247</v>
      </c>
      <c r="P843" t="s">
        <v>28</v>
      </c>
    </row>
    <row r="844" spans="1:16" x14ac:dyDescent="0.25">
      <c r="A844" t="s">
        <v>904</v>
      </c>
      <c r="B844" s="2">
        <v>45871</v>
      </c>
      <c r="C844" t="s">
        <v>42</v>
      </c>
      <c r="D844" t="s">
        <v>23</v>
      </c>
      <c r="E844" t="s">
        <v>58</v>
      </c>
      <c r="F844">
        <v>33.700000000000003</v>
      </c>
      <c r="G844">
        <v>117.6</v>
      </c>
      <c r="H844">
        <v>57.9</v>
      </c>
      <c r="I844">
        <v>13</v>
      </c>
      <c r="J844">
        <v>0.35</v>
      </c>
      <c r="K844">
        <v>35.9</v>
      </c>
      <c r="L844">
        <v>23.7</v>
      </c>
      <c r="M844">
        <v>71.400000000000006</v>
      </c>
      <c r="N844">
        <v>1.1000000000000001</v>
      </c>
      <c r="O844">
        <v>211</v>
      </c>
      <c r="P844" t="s">
        <v>28</v>
      </c>
    </row>
    <row r="845" spans="1:16" x14ac:dyDescent="0.25">
      <c r="A845" t="s">
        <v>905</v>
      </c>
      <c r="B845" s="2">
        <v>45889</v>
      </c>
      <c r="C845" t="s">
        <v>38</v>
      </c>
      <c r="D845" t="s">
        <v>39</v>
      </c>
      <c r="E845" t="s">
        <v>32</v>
      </c>
      <c r="F845">
        <v>20.8</v>
      </c>
      <c r="G845">
        <v>89.6</v>
      </c>
      <c r="H845">
        <v>36.5</v>
      </c>
      <c r="I845">
        <v>37.700000000000003</v>
      </c>
      <c r="J845">
        <v>1.02</v>
      </c>
      <c r="K845">
        <v>14.6</v>
      </c>
      <c r="L845">
        <v>26.7</v>
      </c>
      <c r="M845">
        <v>92.5</v>
      </c>
      <c r="N845">
        <v>3.6</v>
      </c>
      <c r="O845">
        <v>179</v>
      </c>
      <c r="P845" t="s">
        <v>33</v>
      </c>
    </row>
    <row r="846" spans="1:16" x14ac:dyDescent="0.25">
      <c r="A846" t="s">
        <v>906</v>
      </c>
      <c r="B846" s="2">
        <v>45791</v>
      </c>
      <c r="C846" t="s">
        <v>17</v>
      </c>
      <c r="D846" t="s">
        <v>18</v>
      </c>
      <c r="E846" t="s">
        <v>40</v>
      </c>
      <c r="F846">
        <v>85.2</v>
      </c>
      <c r="G846">
        <v>51</v>
      </c>
      <c r="H846">
        <v>26</v>
      </c>
      <c r="I846">
        <v>1</v>
      </c>
      <c r="J846">
        <v>0.6</v>
      </c>
      <c r="K846">
        <v>29.9</v>
      </c>
      <c r="L846">
        <v>23.9</v>
      </c>
      <c r="M846">
        <v>63</v>
      </c>
      <c r="N846">
        <v>3.3</v>
      </c>
      <c r="O846">
        <v>219</v>
      </c>
      <c r="P846" t="s">
        <v>28</v>
      </c>
    </row>
    <row r="847" spans="1:16" x14ac:dyDescent="0.25">
      <c r="A847" t="s">
        <v>907</v>
      </c>
      <c r="B847" s="2">
        <v>45967</v>
      </c>
      <c r="C847" t="s">
        <v>77</v>
      </c>
      <c r="D847" t="s">
        <v>39</v>
      </c>
      <c r="E847" t="s">
        <v>68</v>
      </c>
      <c r="F847">
        <v>29.6</v>
      </c>
      <c r="G847">
        <v>83.3</v>
      </c>
      <c r="H847">
        <v>19.600000000000001</v>
      </c>
      <c r="I847">
        <v>29</v>
      </c>
      <c r="J847">
        <v>0.5</v>
      </c>
      <c r="K847">
        <v>6.4</v>
      </c>
      <c r="L847">
        <v>38.4</v>
      </c>
      <c r="M847">
        <v>81.7</v>
      </c>
      <c r="N847">
        <v>0.3</v>
      </c>
      <c r="O847">
        <v>153</v>
      </c>
      <c r="P847" t="s">
        <v>33</v>
      </c>
    </row>
    <row r="848" spans="1:16" x14ac:dyDescent="0.25">
      <c r="A848" t="s">
        <v>908</v>
      </c>
      <c r="B848" s="2">
        <v>45923</v>
      </c>
      <c r="C848" t="s">
        <v>64</v>
      </c>
      <c r="D848" t="s">
        <v>36</v>
      </c>
      <c r="E848" t="s">
        <v>27</v>
      </c>
      <c r="F848">
        <v>21.1</v>
      </c>
      <c r="G848">
        <v>67.099999999999994</v>
      </c>
      <c r="H848">
        <v>16.899999999999999</v>
      </c>
      <c r="I848">
        <v>11.4</v>
      </c>
      <c r="J848">
        <v>0.38</v>
      </c>
      <c r="K848">
        <v>31.4</v>
      </c>
      <c r="L848">
        <v>24.6</v>
      </c>
      <c r="M848">
        <v>48.8</v>
      </c>
      <c r="N848">
        <v>3.4</v>
      </c>
      <c r="O848">
        <v>123</v>
      </c>
      <c r="P848" t="s">
        <v>33</v>
      </c>
    </row>
    <row r="849" spans="1:16" x14ac:dyDescent="0.25">
      <c r="A849" t="s">
        <v>909</v>
      </c>
      <c r="B849" s="2">
        <v>45800</v>
      </c>
      <c r="C849" t="s">
        <v>50</v>
      </c>
      <c r="D849" t="s">
        <v>31</v>
      </c>
      <c r="E849" t="s">
        <v>24</v>
      </c>
      <c r="F849">
        <v>15.9</v>
      </c>
      <c r="G849">
        <v>16</v>
      </c>
      <c r="H849">
        <v>15.7</v>
      </c>
      <c r="I849">
        <v>5.4</v>
      </c>
      <c r="J849">
        <v>0.2</v>
      </c>
      <c r="K849">
        <v>50.9</v>
      </c>
      <c r="L849">
        <v>15.1</v>
      </c>
      <c r="M849">
        <v>60.7</v>
      </c>
      <c r="N849">
        <v>2.8</v>
      </c>
      <c r="O849">
        <v>80</v>
      </c>
      <c r="P849" t="s">
        <v>71</v>
      </c>
    </row>
    <row r="850" spans="1:16" x14ac:dyDescent="0.25">
      <c r="A850" t="s">
        <v>910</v>
      </c>
      <c r="B850" s="2">
        <v>45922</v>
      </c>
      <c r="C850" t="s">
        <v>54</v>
      </c>
      <c r="D850" t="s">
        <v>18</v>
      </c>
      <c r="E850" t="s">
        <v>74</v>
      </c>
      <c r="F850">
        <v>69.2</v>
      </c>
      <c r="G850">
        <v>192.4</v>
      </c>
      <c r="H850">
        <v>17.5</v>
      </c>
      <c r="I850">
        <v>4.0999999999999996</v>
      </c>
      <c r="J850">
        <v>0.98</v>
      </c>
      <c r="K850">
        <v>28</v>
      </c>
      <c r="L850">
        <v>19.399999999999999</v>
      </c>
      <c r="M850">
        <v>54.5</v>
      </c>
      <c r="N850">
        <v>0.9</v>
      </c>
      <c r="O850">
        <v>290</v>
      </c>
      <c r="P850" t="s">
        <v>28</v>
      </c>
    </row>
    <row r="851" spans="1:16" x14ac:dyDescent="0.25">
      <c r="A851" t="s">
        <v>911</v>
      </c>
      <c r="B851" s="2">
        <v>45900</v>
      </c>
      <c r="C851" t="s">
        <v>64</v>
      </c>
      <c r="D851" t="s">
        <v>36</v>
      </c>
      <c r="E851" t="s">
        <v>27</v>
      </c>
      <c r="F851">
        <v>54</v>
      </c>
      <c r="G851">
        <v>49.7</v>
      </c>
      <c r="H851">
        <v>7.5</v>
      </c>
      <c r="I851">
        <v>8.6</v>
      </c>
      <c r="J851">
        <v>0.85</v>
      </c>
      <c r="K851">
        <v>13.1</v>
      </c>
      <c r="L851">
        <v>14.6</v>
      </c>
      <c r="M851">
        <v>82.7</v>
      </c>
      <c r="N851">
        <v>1.3</v>
      </c>
      <c r="O851">
        <v>158</v>
      </c>
      <c r="P851" t="s">
        <v>33</v>
      </c>
    </row>
    <row r="852" spans="1:16" x14ac:dyDescent="0.25">
      <c r="A852" t="s">
        <v>912</v>
      </c>
      <c r="B852" s="2">
        <v>45765</v>
      </c>
      <c r="C852" t="s">
        <v>54</v>
      </c>
      <c r="D852" t="s">
        <v>18</v>
      </c>
      <c r="E852" t="s">
        <v>27</v>
      </c>
      <c r="F852">
        <v>102.4</v>
      </c>
      <c r="G852">
        <v>88.3</v>
      </c>
      <c r="H852">
        <v>38.700000000000003</v>
      </c>
      <c r="I852">
        <v>12.3</v>
      </c>
      <c r="J852">
        <v>0.4</v>
      </c>
      <c r="K852">
        <v>51.7</v>
      </c>
      <c r="L852">
        <v>13.6</v>
      </c>
      <c r="M852">
        <v>75.599999999999994</v>
      </c>
      <c r="N852">
        <v>1.6</v>
      </c>
      <c r="O852">
        <v>294</v>
      </c>
      <c r="P852" t="s">
        <v>28</v>
      </c>
    </row>
    <row r="853" spans="1:16" x14ac:dyDescent="0.25">
      <c r="A853" t="s">
        <v>913</v>
      </c>
      <c r="B853" s="2">
        <v>45735</v>
      </c>
      <c r="C853" t="s">
        <v>93</v>
      </c>
      <c r="D853" t="s">
        <v>36</v>
      </c>
      <c r="E853" t="s">
        <v>97</v>
      </c>
      <c r="F853">
        <v>48.2</v>
      </c>
      <c r="G853">
        <v>90.9</v>
      </c>
      <c r="H853">
        <v>29.6</v>
      </c>
      <c r="I853">
        <v>3.6</v>
      </c>
      <c r="J853">
        <v>0.51</v>
      </c>
      <c r="K853">
        <v>25</v>
      </c>
      <c r="L853">
        <v>22.2</v>
      </c>
      <c r="M853">
        <v>71.5</v>
      </c>
      <c r="N853">
        <v>4.7</v>
      </c>
      <c r="O853">
        <v>186</v>
      </c>
      <c r="P853" t="s">
        <v>33</v>
      </c>
    </row>
    <row r="854" spans="1:16" x14ac:dyDescent="0.25">
      <c r="A854" t="s">
        <v>914</v>
      </c>
      <c r="B854" s="2">
        <v>45765</v>
      </c>
      <c r="C854" t="s">
        <v>77</v>
      </c>
      <c r="D854" t="s">
        <v>39</v>
      </c>
      <c r="E854" t="s">
        <v>61</v>
      </c>
      <c r="F854">
        <v>55.8</v>
      </c>
      <c r="G854">
        <v>60.7</v>
      </c>
      <c r="H854">
        <v>56.6</v>
      </c>
      <c r="I854">
        <v>7</v>
      </c>
      <c r="J854">
        <v>0.79</v>
      </c>
      <c r="K854">
        <v>31.7</v>
      </c>
      <c r="L854">
        <v>23.5</v>
      </c>
      <c r="M854">
        <v>47.8</v>
      </c>
      <c r="N854">
        <v>1.1000000000000001</v>
      </c>
      <c r="O854">
        <v>213</v>
      </c>
      <c r="P854" t="s">
        <v>28</v>
      </c>
    </row>
    <row r="855" spans="1:16" x14ac:dyDescent="0.25">
      <c r="A855" t="s">
        <v>915</v>
      </c>
      <c r="B855" s="2">
        <v>45944</v>
      </c>
      <c r="C855" t="s">
        <v>35</v>
      </c>
      <c r="D855" t="s">
        <v>36</v>
      </c>
      <c r="E855" t="s">
        <v>61</v>
      </c>
      <c r="F855">
        <v>86.9</v>
      </c>
      <c r="G855">
        <v>59.7</v>
      </c>
      <c r="H855">
        <v>43.6</v>
      </c>
      <c r="I855">
        <v>21.3</v>
      </c>
      <c r="J855">
        <v>0.35</v>
      </c>
      <c r="K855">
        <v>54.8</v>
      </c>
      <c r="L855">
        <v>24.9</v>
      </c>
      <c r="M855">
        <v>30.4</v>
      </c>
      <c r="N855">
        <v>0.1</v>
      </c>
      <c r="O855">
        <v>261</v>
      </c>
      <c r="P855" t="s">
        <v>28</v>
      </c>
    </row>
    <row r="856" spans="1:16" x14ac:dyDescent="0.25">
      <c r="A856" t="s">
        <v>916</v>
      </c>
      <c r="B856" s="2">
        <v>45713</v>
      </c>
      <c r="C856" t="s">
        <v>52</v>
      </c>
      <c r="D856" t="s">
        <v>31</v>
      </c>
      <c r="E856" t="s">
        <v>91</v>
      </c>
      <c r="F856">
        <v>54.7</v>
      </c>
      <c r="G856">
        <v>44.6</v>
      </c>
      <c r="H856">
        <v>32.1</v>
      </c>
      <c r="I856">
        <v>4.7</v>
      </c>
      <c r="J856">
        <v>1.62</v>
      </c>
      <c r="K856">
        <v>23.9</v>
      </c>
      <c r="L856">
        <v>25.6</v>
      </c>
      <c r="M856">
        <v>58.1</v>
      </c>
      <c r="N856">
        <v>2.5</v>
      </c>
      <c r="O856">
        <v>197</v>
      </c>
      <c r="P856" t="s">
        <v>33</v>
      </c>
    </row>
    <row r="857" spans="1:16" x14ac:dyDescent="0.25">
      <c r="A857" t="s">
        <v>917</v>
      </c>
      <c r="B857" s="2">
        <v>45853</v>
      </c>
      <c r="C857" t="s">
        <v>26</v>
      </c>
      <c r="D857" t="s">
        <v>23</v>
      </c>
      <c r="E857" t="s">
        <v>58</v>
      </c>
      <c r="F857">
        <v>86.7</v>
      </c>
      <c r="G857">
        <v>67.5</v>
      </c>
      <c r="H857">
        <v>36</v>
      </c>
      <c r="I857">
        <v>23.5</v>
      </c>
      <c r="J857">
        <v>0.22</v>
      </c>
      <c r="K857">
        <v>23.3</v>
      </c>
      <c r="L857">
        <v>27.1</v>
      </c>
      <c r="M857">
        <v>79.5</v>
      </c>
      <c r="N857">
        <v>0.1</v>
      </c>
      <c r="O857">
        <v>244</v>
      </c>
      <c r="P857" t="s">
        <v>28</v>
      </c>
    </row>
    <row r="858" spans="1:16" x14ac:dyDescent="0.25">
      <c r="A858" t="s">
        <v>918</v>
      </c>
      <c r="B858" s="2">
        <v>46008</v>
      </c>
      <c r="C858" t="s">
        <v>26</v>
      </c>
      <c r="D858" t="s">
        <v>23</v>
      </c>
      <c r="E858" t="s">
        <v>19</v>
      </c>
      <c r="F858">
        <v>49.6</v>
      </c>
      <c r="G858">
        <v>21.1</v>
      </c>
      <c r="H858">
        <v>42.3</v>
      </c>
      <c r="I858">
        <v>9.1999999999999993</v>
      </c>
      <c r="J858">
        <v>0.43</v>
      </c>
      <c r="K858">
        <v>67.2</v>
      </c>
      <c r="L858">
        <v>33.5</v>
      </c>
      <c r="M858">
        <v>59.1</v>
      </c>
      <c r="N858">
        <v>1.3</v>
      </c>
      <c r="O858">
        <v>174</v>
      </c>
      <c r="P858" t="s">
        <v>33</v>
      </c>
    </row>
    <row r="859" spans="1:16" x14ac:dyDescent="0.25">
      <c r="A859" t="s">
        <v>919</v>
      </c>
      <c r="B859" s="2">
        <v>45687</v>
      </c>
      <c r="C859" t="s">
        <v>54</v>
      </c>
      <c r="D859" t="s">
        <v>18</v>
      </c>
      <c r="E859" t="s">
        <v>32</v>
      </c>
      <c r="F859">
        <v>143.9</v>
      </c>
      <c r="G859">
        <v>121.4</v>
      </c>
      <c r="H859">
        <v>38.4</v>
      </c>
      <c r="I859">
        <v>11.6</v>
      </c>
      <c r="J859">
        <v>0.51</v>
      </c>
      <c r="K859">
        <v>20</v>
      </c>
      <c r="L859">
        <v>34.200000000000003</v>
      </c>
      <c r="M859">
        <v>81.3</v>
      </c>
      <c r="N859">
        <v>1.9</v>
      </c>
      <c r="O859">
        <v>370</v>
      </c>
      <c r="P859" t="s">
        <v>20</v>
      </c>
    </row>
    <row r="860" spans="1:16" x14ac:dyDescent="0.25">
      <c r="A860" t="s">
        <v>920</v>
      </c>
      <c r="B860" s="2">
        <v>45857</v>
      </c>
      <c r="C860" t="s">
        <v>22</v>
      </c>
      <c r="D860" t="s">
        <v>23</v>
      </c>
      <c r="E860" t="s">
        <v>74</v>
      </c>
      <c r="F860">
        <v>21.8</v>
      </c>
      <c r="G860">
        <v>117.1</v>
      </c>
      <c r="H860">
        <v>52.5</v>
      </c>
      <c r="I860">
        <v>27.3</v>
      </c>
      <c r="J860">
        <v>0.64</v>
      </c>
      <c r="K860">
        <v>10.1</v>
      </c>
      <c r="L860">
        <v>29.3</v>
      </c>
      <c r="M860">
        <v>56.4</v>
      </c>
      <c r="N860">
        <v>2.6</v>
      </c>
      <c r="O860">
        <v>193</v>
      </c>
      <c r="P860" t="s">
        <v>33</v>
      </c>
    </row>
    <row r="861" spans="1:16" x14ac:dyDescent="0.25">
      <c r="A861" t="s">
        <v>921</v>
      </c>
      <c r="B861" s="2">
        <v>45764</v>
      </c>
      <c r="C861" t="s">
        <v>54</v>
      </c>
      <c r="D861" t="s">
        <v>18</v>
      </c>
      <c r="E861" t="s">
        <v>74</v>
      </c>
      <c r="F861">
        <v>10.6</v>
      </c>
      <c r="G861">
        <v>91.1</v>
      </c>
      <c r="H861">
        <v>16.600000000000001</v>
      </c>
      <c r="I861">
        <v>8.4</v>
      </c>
      <c r="J861">
        <v>1.03</v>
      </c>
      <c r="K861">
        <v>22.4</v>
      </c>
      <c r="L861">
        <v>25.7</v>
      </c>
      <c r="M861">
        <v>60</v>
      </c>
      <c r="N861">
        <v>1.7</v>
      </c>
      <c r="O861">
        <v>131</v>
      </c>
      <c r="P861" t="s">
        <v>33</v>
      </c>
    </row>
    <row r="862" spans="1:16" x14ac:dyDescent="0.25">
      <c r="A862" t="s">
        <v>922</v>
      </c>
      <c r="B862" s="2">
        <v>45962</v>
      </c>
      <c r="C862" t="s">
        <v>30</v>
      </c>
      <c r="D862" t="s">
        <v>31</v>
      </c>
      <c r="E862" t="s">
        <v>27</v>
      </c>
      <c r="F862">
        <v>31.2</v>
      </c>
      <c r="G862">
        <v>23</v>
      </c>
      <c r="H862">
        <v>28.3</v>
      </c>
      <c r="I862">
        <v>40.799999999999997</v>
      </c>
      <c r="J862">
        <v>0.84</v>
      </c>
      <c r="K862">
        <v>36.700000000000003</v>
      </c>
      <c r="L862">
        <v>35</v>
      </c>
      <c r="M862">
        <v>52.8</v>
      </c>
      <c r="N862">
        <v>2.7</v>
      </c>
      <c r="O862">
        <v>154</v>
      </c>
      <c r="P862" t="s">
        <v>33</v>
      </c>
    </row>
    <row r="863" spans="1:16" x14ac:dyDescent="0.25">
      <c r="A863" t="s">
        <v>923</v>
      </c>
      <c r="B863" s="2">
        <v>45707</v>
      </c>
      <c r="C863" t="s">
        <v>77</v>
      </c>
      <c r="D863" t="s">
        <v>39</v>
      </c>
      <c r="E863" t="s">
        <v>19</v>
      </c>
      <c r="F863">
        <v>12.8</v>
      </c>
      <c r="G863">
        <v>81.5</v>
      </c>
      <c r="H863">
        <v>29.9</v>
      </c>
      <c r="I863">
        <v>16.399999999999999</v>
      </c>
      <c r="J863">
        <v>0.93</v>
      </c>
      <c r="K863">
        <v>20.100000000000001</v>
      </c>
      <c r="L863">
        <v>24.9</v>
      </c>
      <c r="M863">
        <v>61.7</v>
      </c>
      <c r="N863">
        <v>0.3</v>
      </c>
      <c r="O863">
        <v>141</v>
      </c>
      <c r="P863" t="s">
        <v>33</v>
      </c>
    </row>
    <row r="864" spans="1:16" x14ac:dyDescent="0.25">
      <c r="A864" t="s">
        <v>924</v>
      </c>
      <c r="B864" s="2">
        <v>45876</v>
      </c>
      <c r="C864" t="s">
        <v>52</v>
      </c>
      <c r="D864" t="s">
        <v>31</v>
      </c>
      <c r="E864" t="s">
        <v>97</v>
      </c>
      <c r="F864">
        <v>18.5</v>
      </c>
      <c r="G864">
        <v>92.5</v>
      </c>
      <c r="H864">
        <v>18.5</v>
      </c>
      <c r="I864">
        <v>15.5</v>
      </c>
      <c r="J864">
        <v>1.23</v>
      </c>
      <c r="K864">
        <v>44.4</v>
      </c>
      <c r="L864">
        <v>38.1</v>
      </c>
      <c r="N864">
        <v>2.4</v>
      </c>
      <c r="O864">
        <v>166</v>
      </c>
      <c r="P864" t="s">
        <v>33</v>
      </c>
    </row>
    <row r="865" spans="1:16" x14ac:dyDescent="0.25">
      <c r="A865" t="s">
        <v>925</v>
      </c>
      <c r="B865" s="2">
        <v>45929</v>
      </c>
      <c r="C865" t="s">
        <v>42</v>
      </c>
      <c r="D865" t="s">
        <v>23</v>
      </c>
      <c r="E865" t="s">
        <v>926</v>
      </c>
      <c r="F865">
        <v>60.1</v>
      </c>
      <c r="G865">
        <v>113.1</v>
      </c>
      <c r="H865">
        <v>21.5</v>
      </c>
      <c r="I865">
        <v>20.9</v>
      </c>
      <c r="J865">
        <v>0.42</v>
      </c>
      <c r="K865">
        <v>23.6</v>
      </c>
      <c r="L865">
        <v>33.299999999999997</v>
      </c>
      <c r="M865">
        <v>76.599999999999994</v>
      </c>
      <c r="N865">
        <v>3.7</v>
      </c>
      <c r="O865">
        <v>223</v>
      </c>
      <c r="P865" t="s">
        <v>28</v>
      </c>
    </row>
    <row r="866" spans="1:16" x14ac:dyDescent="0.25">
      <c r="A866" t="s">
        <v>927</v>
      </c>
      <c r="B866" s="2">
        <v>45705</v>
      </c>
      <c r="C866" t="s">
        <v>26</v>
      </c>
      <c r="D866" t="s">
        <v>23</v>
      </c>
      <c r="E866" t="s">
        <v>45</v>
      </c>
      <c r="F866">
        <v>79.3</v>
      </c>
      <c r="G866">
        <v>53.7</v>
      </c>
      <c r="H866">
        <v>21.1</v>
      </c>
      <c r="I866">
        <v>9.8000000000000007</v>
      </c>
      <c r="J866">
        <v>1.89</v>
      </c>
      <c r="K866">
        <v>34.700000000000003</v>
      </c>
      <c r="L866">
        <v>30.6</v>
      </c>
      <c r="M866">
        <v>52.8</v>
      </c>
      <c r="N866">
        <v>1.7</v>
      </c>
      <c r="O866">
        <v>248</v>
      </c>
      <c r="P866" t="s">
        <v>28</v>
      </c>
    </row>
    <row r="867" spans="1:16" x14ac:dyDescent="0.25">
      <c r="A867" t="s">
        <v>928</v>
      </c>
      <c r="B867" s="2">
        <v>45805</v>
      </c>
      <c r="C867" t="s">
        <v>42</v>
      </c>
      <c r="D867" t="s">
        <v>23</v>
      </c>
      <c r="E867" t="s">
        <v>32</v>
      </c>
      <c r="F867">
        <v>9.1</v>
      </c>
      <c r="G867">
        <v>172.2</v>
      </c>
      <c r="H867">
        <v>14.2</v>
      </c>
      <c r="I867">
        <v>3.2</v>
      </c>
      <c r="J867">
        <v>0.22</v>
      </c>
      <c r="K867">
        <v>73.3</v>
      </c>
      <c r="L867">
        <v>16.3</v>
      </c>
      <c r="M867">
        <v>52.7</v>
      </c>
      <c r="N867">
        <v>4.5999999999999996</v>
      </c>
      <c r="O867">
        <v>179</v>
      </c>
      <c r="P867" t="s">
        <v>33</v>
      </c>
    </row>
    <row r="868" spans="1:16" x14ac:dyDescent="0.25">
      <c r="A868" t="s">
        <v>929</v>
      </c>
      <c r="B868" s="2">
        <v>45710</v>
      </c>
      <c r="C868" t="s">
        <v>26</v>
      </c>
      <c r="D868" t="s">
        <v>23</v>
      </c>
      <c r="E868" t="s">
        <v>70</v>
      </c>
      <c r="F868">
        <v>25.4</v>
      </c>
      <c r="G868">
        <v>162.9</v>
      </c>
      <c r="H868">
        <v>35</v>
      </c>
      <c r="I868">
        <v>1.3</v>
      </c>
      <c r="J868">
        <v>0.35</v>
      </c>
      <c r="K868">
        <v>11.2</v>
      </c>
      <c r="L868">
        <v>23.1</v>
      </c>
      <c r="M868">
        <v>47.8</v>
      </c>
      <c r="N868">
        <v>2.7</v>
      </c>
      <c r="O868">
        <v>189</v>
      </c>
      <c r="P868" t="s">
        <v>33</v>
      </c>
    </row>
    <row r="869" spans="1:16" x14ac:dyDescent="0.25">
      <c r="A869" t="s">
        <v>930</v>
      </c>
      <c r="B869" s="2">
        <v>45849</v>
      </c>
      <c r="C869" t="s">
        <v>54</v>
      </c>
      <c r="D869" t="s">
        <v>18</v>
      </c>
      <c r="E869" t="s">
        <v>32</v>
      </c>
      <c r="F869">
        <v>17.399999999999999</v>
      </c>
      <c r="G869">
        <v>38.4</v>
      </c>
      <c r="H869">
        <v>25.1</v>
      </c>
      <c r="I869">
        <v>1</v>
      </c>
      <c r="J869">
        <v>0.57999999999999996</v>
      </c>
      <c r="K869">
        <v>73.599999999999994</v>
      </c>
      <c r="L869">
        <v>21.5</v>
      </c>
      <c r="M869">
        <v>52.9</v>
      </c>
      <c r="N869">
        <v>1.2</v>
      </c>
      <c r="O869">
        <v>121</v>
      </c>
      <c r="P869" t="s">
        <v>33</v>
      </c>
    </row>
    <row r="870" spans="1:16" x14ac:dyDescent="0.25">
      <c r="A870" t="s">
        <v>931</v>
      </c>
      <c r="B870" s="2">
        <v>45658</v>
      </c>
      <c r="C870" t="s">
        <v>38</v>
      </c>
      <c r="D870" t="s">
        <v>39</v>
      </c>
      <c r="E870" t="s">
        <v>19</v>
      </c>
      <c r="F870">
        <v>18.8</v>
      </c>
      <c r="G870">
        <v>38.299999999999997</v>
      </c>
      <c r="H870">
        <v>40.5</v>
      </c>
      <c r="I870">
        <v>34.299999999999997</v>
      </c>
      <c r="J870">
        <v>0.95</v>
      </c>
      <c r="K870">
        <v>23</v>
      </c>
      <c r="L870">
        <v>18.5</v>
      </c>
      <c r="M870">
        <v>82.5</v>
      </c>
      <c r="N870">
        <v>1.8</v>
      </c>
      <c r="O870">
        <v>145</v>
      </c>
      <c r="P870" t="s">
        <v>33</v>
      </c>
    </row>
    <row r="871" spans="1:16" x14ac:dyDescent="0.25">
      <c r="A871" t="s">
        <v>932</v>
      </c>
      <c r="B871" s="2">
        <v>45880</v>
      </c>
      <c r="C871" t="s">
        <v>42</v>
      </c>
      <c r="D871" t="s">
        <v>23</v>
      </c>
      <c r="E871" t="s">
        <v>74</v>
      </c>
      <c r="F871">
        <v>93.5</v>
      </c>
      <c r="G871">
        <v>230.4</v>
      </c>
      <c r="H871">
        <v>52.3</v>
      </c>
      <c r="I871">
        <v>18.899999999999999</v>
      </c>
      <c r="J871">
        <v>0.7</v>
      </c>
      <c r="K871">
        <v>23.8</v>
      </c>
      <c r="L871">
        <v>23.6</v>
      </c>
      <c r="M871">
        <v>94.1</v>
      </c>
      <c r="N871">
        <v>0.8</v>
      </c>
      <c r="O871">
        <v>383</v>
      </c>
      <c r="P871" t="s">
        <v>20</v>
      </c>
    </row>
    <row r="872" spans="1:16" x14ac:dyDescent="0.25">
      <c r="A872" t="s">
        <v>933</v>
      </c>
      <c r="B872" s="2">
        <v>45766</v>
      </c>
      <c r="C872" t="s">
        <v>35</v>
      </c>
      <c r="D872" t="s">
        <v>36</v>
      </c>
      <c r="E872" t="s">
        <v>97</v>
      </c>
      <c r="F872">
        <v>49.8</v>
      </c>
      <c r="G872">
        <v>84.6</v>
      </c>
      <c r="H872">
        <v>26.1</v>
      </c>
      <c r="I872">
        <v>40.6</v>
      </c>
      <c r="J872">
        <v>1.03</v>
      </c>
      <c r="K872">
        <v>14</v>
      </c>
      <c r="L872">
        <v>27</v>
      </c>
      <c r="M872">
        <v>76</v>
      </c>
      <c r="N872">
        <v>2.8</v>
      </c>
      <c r="O872">
        <v>216</v>
      </c>
      <c r="P872" t="s">
        <v>28</v>
      </c>
    </row>
    <row r="873" spans="1:16" x14ac:dyDescent="0.25">
      <c r="A873" t="s">
        <v>934</v>
      </c>
      <c r="B873" s="2">
        <v>45794</v>
      </c>
      <c r="C873" t="s">
        <v>22</v>
      </c>
      <c r="D873" t="s">
        <v>23</v>
      </c>
      <c r="E873" t="s">
        <v>40</v>
      </c>
      <c r="F873">
        <v>126.9</v>
      </c>
      <c r="G873">
        <v>66.5</v>
      </c>
      <c r="H873">
        <v>51.9</v>
      </c>
      <c r="I873">
        <v>23.9</v>
      </c>
      <c r="J873">
        <v>2.16</v>
      </c>
      <c r="K873">
        <v>10.7</v>
      </c>
      <c r="L873">
        <v>27.5</v>
      </c>
      <c r="M873">
        <v>68.7</v>
      </c>
      <c r="N873">
        <v>1.5</v>
      </c>
      <c r="O873">
        <v>363</v>
      </c>
      <c r="P873" t="s">
        <v>20</v>
      </c>
    </row>
    <row r="874" spans="1:16" x14ac:dyDescent="0.25">
      <c r="A874" t="s">
        <v>935</v>
      </c>
      <c r="B874" s="2">
        <v>45945</v>
      </c>
      <c r="C874" t="s">
        <v>54</v>
      </c>
      <c r="D874" t="s">
        <v>18</v>
      </c>
      <c r="E874" t="s">
        <v>19</v>
      </c>
      <c r="F874">
        <v>22.2</v>
      </c>
      <c r="G874">
        <v>86</v>
      </c>
      <c r="H874">
        <v>19.8</v>
      </c>
      <c r="I874">
        <v>3.5</v>
      </c>
      <c r="J874">
        <v>0.18</v>
      </c>
      <c r="K874">
        <v>23.9</v>
      </c>
      <c r="L874">
        <v>30.3</v>
      </c>
      <c r="M874">
        <v>58.5</v>
      </c>
      <c r="N874">
        <v>1.2</v>
      </c>
      <c r="O874">
        <v>125</v>
      </c>
      <c r="P874" t="s">
        <v>33</v>
      </c>
    </row>
    <row r="875" spans="1:16" x14ac:dyDescent="0.25">
      <c r="A875" t="s">
        <v>936</v>
      </c>
      <c r="B875" s="2">
        <v>46017</v>
      </c>
      <c r="C875" t="s">
        <v>50</v>
      </c>
      <c r="D875" t="s">
        <v>31</v>
      </c>
      <c r="E875" t="s">
        <v>74</v>
      </c>
      <c r="F875">
        <v>56</v>
      </c>
      <c r="G875">
        <v>44.7</v>
      </c>
      <c r="H875">
        <v>9.4</v>
      </c>
      <c r="I875">
        <v>45.4</v>
      </c>
      <c r="J875">
        <v>0.34</v>
      </c>
      <c r="K875">
        <v>57.1</v>
      </c>
      <c r="L875">
        <v>26.1</v>
      </c>
      <c r="M875">
        <v>56.8</v>
      </c>
      <c r="N875">
        <v>2.4</v>
      </c>
      <c r="O875">
        <v>192</v>
      </c>
      <c r="P875" t="s">
        <v>33</v>
      </c>
    </row>
    <row r="876" spans="1:16" x14ac:dyDescent="0.25">
      <c r="A876" t="s">
        <v>937</v>
      </c>
      <c r="B876" s="2">
        <v>45836</v>
      </c>
      <c r="C876" t="s">
        <v>26</v>
      </c>
      <c r="D876" t="s">
        <v>23</v>
      </c>
      <c r="E876" t="s">
        <v>24</v>
      </c>
      <c r="F876">
        <v>68</v>
      </c>
      <c r="G876">
        <v>43</v>
      </c>
      <c r="H876">
        <v>27.4</v>
      </c>
      <c r="I876">
        <v>13.4</v>
      </c>
      <c r="J876">
        <v>0.49</v>
      </c>
      <c r="K876">
        <v>57.7</v>
      </c>
      <c r="L876">
        <v>22.3</v>
      </c>
      <c r="M876">
        <v>98</v>
      </c>
      <c r="N876">
        <v>3.5</v>
      </c>
      <c r="O876">
        <v>206</v>
      </c>
      <c r="P876" t="s">
        <v>28</v>
      </c>
    </row>
    <row r="877" spans="1:16" x14ac:dyDescent="0.25">
      <c r="A877" t="s">
        <v>938</v>
      </c>
      <c r="B877" s="2">
        <v>45932</v>
      </c>
      <c r="C877" t="s">
        <v>64</v>
      </c>
      <c r="D877" t="s">
        <v>36</v>
      </c>
      <c r="E877" t="s">
        <v>97</v>
      </c>
      <c r="F877">
        <v>120.1</v>
      </c>
      <c r="G877">
        <v>88</v>
      </c>
      <c r="H877">
        <v>17.399999999999999</v>
      </c>
      <c r="I877">
        <v>18.2</v>
      </c>
      <c r="J877">
        <v>2.0099999999999998</v>
      </c>
      <c r="K877">
        <v>46.8</v>
      </c>
      <c r="L877">
        <v>29.2</v>
      </c>
      <c r="M877">
        <v>66.2</v>
      </c>
      <c r="N877">
        <v>3.8</v>
      </c>
      <c r="O877">
        <v>347</v>
      </c>
      <c r="P877" t="s">
        <v>20</v>
      </c>
    </row>
    <row r="878" spans="1:16" x14ac:dyDescent="0.25">
      <c r="A878" t="s">
        <v>939</v>
      </c>
      <c r="B878" s="2">
        <v>45799</v>
      </c>
      <c r="C878" t="s">
        <v>30</v>
      </c>
      <c r="D878" t="s">
        <v>31</v>
      </c>
      <c r="E878" t="s">
        <v>43</v>
      </c>
      <c r="F878">
        <v>14.5</v>
      </c>
      <c r="G878">
        <v>58</v>
      </c>
      <c r="H878">
        <v>41.9</v>
      </c>
      <c r="I878">
        <v>26.1</v>
      </c>
      <c r="J878">
        <v>0.63</v>
      </c>
      <c r="K878">
        <v>43.5</v>
      </c>
      <c r="L878">
        <v>23.1</v>
      </c>
      <c r="M878">
        <v>84.3</v>
      </c>
      <c r="N878">
        <v>0.7</v>
      </c>
      <c r="O878">
        <v>148</v>
      </c>
      <c r="P878" t="s">
        <v>33</v>
      </c>
    </row>
    <row r="879" spans="1:16" x14ac:dyDescent="0.25">
      <c r="A879" t="s">
        <v>940</v>
      </c>
      <c r="B879" s="2">
        <v>45894</v>
      </c>
      <c r="C879" t="s">
        <v>99</v>
      </c>
      <c r="D879" t="s">
        <v>36</v>
      </c>
      <c r="E879" t="s">
        <v>55</v>
      </c>
      <c r="F879">
        <v>70.400000000000006</v>
      </c>
      <c r="G879">
        <v>75.2</v>
      </c>
      <c r="H879">
        <v>15.3</v>
      </c>
      <c r="I879">
        <v>7.4</v>
      </c>
      <c r="J879">
        <v>0.43</v>
      </c>
      <c r="K879">
        <v>58.8</v>
      </c>
      <c r="L879">
        <v>27.7</v>
      </c>
      <c r="M879">
        <v>68.8</v>
      </c>
      <c r="N879">
        <v>2.9</v>
      </c>
      <c r="O879">
        <v>216</v>
      </c>
      <c r="P879" t="s">
        <v>28</v>
      </c>
    </row>
    <row r="880" spans="1:16" x14ac:dyDescent="0.25">
      <c r="A880" t="s">
        <v>941</v>
      </c>
      <c r="B880" s="2">
        <v>45800</v>
      </c>
      <c r="C880" t="s">
        <v>93</v>
      </c>
      <c r="D880" t="s">
        <v>36</v>
      </c>
      <c r="E880" t="s">
        <v>61</v>
      </c>
      <c r="F880">
        <v>106</v>
      </c>
      <c r="G880">
        <v>125.8</v>
      </c>
      <c r="H880">
        <v>24.2</v>
      </c>
      <c r="I880">
        <v>11.7</v>
      </c>
      <c r="J880">
        <v>0.6</v>
      </c>
      <c r="K880">
        <v>15.5</v>
      </c>
      <c r="L880">
        <v>18.7</v>
      </c>
      <c r="M880">
        <v>37.200000000000003</v>
      </c>
      <c r="N880">
        <v>3.3</v>
      </c>
      <c r="O880">
        <v>301</v>
      </c>
      <c r="P880" t="s">
        <v>20</v>
      </c>
    </row>
    <row r="881" spans="1:16" x14ac:dyDescent="0.25">
      <c r="A881" t="s">
        <v>942</v>
      </c>
      <c r="B881" s="2">
        <v>45713</v>
      </c>
      <c r="C881" t="s">
        <v>99</v>
      </c>
      <c r="D881" t="s">
        <v>36</v>
      </c>
      <c r="E881" t="s">
        <v>61</v>
      </c>
      <c r="F881">
        <v>15.2</v>
      </c>
      <c r="G881">
        <v>43.2</v>
      </c>
      <c r="H881">
        <v>17.7</v>
      </c>
      <c r="I881">
        <v>9.5</v>
      </c>
      <c r="J881">
        <v>0.18</v>
      </c>
      <c r="K881">
        <v>48.6</v>
      </c>
      <c r="L881">
        <v>34.200000000000003</v>
      </c>
      <c r="M881">
        <v>52.4</v>
      </c>
      <c r="N881">
        <v>4.3</v>
      </c>
      <c r="O881">
        <v>100</v>
      </c>
      <c r="P881" t="s">
        <v>71</v>
      </c>
    </row>
    <row r="882" spans="1:16" x14ac:dyDescent="0.25">
      <c r="A882" t="s">
        <v>943</v>
      </c>
      <c r="B882" s="2">
        <v>45974</v>
      </c>
      <c r="C882" t="s">
        <v>99</v>
      </c>
      <c r="D882" t="s">
        <v>36</v>
      </c>
      <c r="E882" t="s">
        <v>27</v>
      </c>
      <c r="F882">
        <v>35.700000000000003</v>
      </c>
      <c r="G882">
        <v>34.5</v>
      </c>
      <c r="H882">
        <v>17.100000000000001</v>
      </c>
      <c r="I882">
        <v>19</v>
      </c>
      <c r="J882">
        <v>0.2</v>
      </c>
      <c r="K882">
        <v>38.5</v>
      </c>
      <c r="L882">
        <v>32.6</v>
      </c>
      <c r="M882">
        <v>70.3</v>
      </c>
      <c r="N882">
        <v>3.7</v>
      </c>
      <c r="O882">
        <v>129</v>
      </c>
      <c r="P882" t="s">
        <v>33</v>
      </c>
    </row>
    <row r="883" spans="1:16" x14ac:dyDescent="0.25">
      <c r="A883" t="s">
        <v>944</v>
      </c>
      <c r="B883" s="2">
        <v>45793</v>
      </c>
      <c r="C883" t="s">
        <v>52</v>
      </c>
      <c r="D883" t="s">
        <v>31</v>
      </c>
      <c r="E883" t="s">
        <v>40</v>
      </c>
      <c r="F883">
        <v>74.900000000000006</v>
      </c>
      <c r="G883">
        <v>41.9</v>
      </c>
      <c r="H883">
        <v>21.2</v>
      </c>
      <c r="I883">
        <v>10.1</v>
      </c>
      <c r="J883">
        <v>0.64</v>
      </c>
      <c r="K883">
        <v>38.9</v>
      </c>
      <c r="L883">
        <v>23.1</v>
      </c>
      <c r="M883">
        <v>55.2</v>
      </c>
      <c r="N883">
        <v>3</v>
      </c>
      <c r="O883">
        <v>205</v>
      </c>
      <c r="P883" t="s">
        <v>28</v>
      </c>
    </row>
    <row r="884" spans="1:16" x14ac:dyDescent="0.25">
      <c r="A884" t="s">
        <v>945</v>
      </c>
      <c r="B884" s="2">
        <v>45788</v>
      </c>
      <c r="C884" t="s">
        <v>81</v>
      </c>
      <c r="D884" t="s">
        <v>39</v>
      </c>
      <c r="E884" t="s">
        <v>43</v>
      </c>
      <c r="F884">
        <v>18.100000000000001</v>
      </c>
      <c r="G884">
        <v>118.6</v>
      </c>
      <c r="H884">
        <v>46.9</v>
      </c>
      <c r="I884">
        <v>3.1</v>
      </c>
      <c r="J884">
        <v>1.28</v>
      </c>
      <c r="K884">
        <v>46.5</v>
      </c>
      <c r="L884">
        <v>24.3</v>
      </c>
      <c r="M884">
        <v>55.5</v>
      </c>
      <c r="N884">
        <v>2</v>
      </c>
      <c r="O884">
        <v>199</v>
      </c>
      <c r="P884" t="s">
        <v>33</v>
      </c>
    </row>
    <row r="885" spans="1:16" x14ac:dyDescent="0.25">
      <c r="A885" t="s">
        <v>946</v>
      </c>
      <c r="B885" s="2">
        <v>45796</v>
      </c>
      <c r="C885" t="s">
        <v>38</v>
      </c>
      <c r="D885" t="s">
        <v>39</v>
      </c>
      <c r="E885" t="s">
        <v>58</v>
      </c>
      <c r="F885">
        <v>69.3</v>
      </c>
      <c r="G885">
        <v>80.599999999999994</v>
      </c>
      <c r="H885">
        <v>29</v>
      </c>
      <c r="I885">
        <v>7.5</v>
      </c>
      <c r="J885">
        <v>1.88</v>
      </c>
      <c r="K885">
        <v>25.6</v>
      </c>
      <c r="L885">
        <v>31.3</v>
      </c>
      <c r="M885">
        <v>46.2</v>
      </c>
      <c r="N885">
        <v>2.2999999999999998</v>
      </c>
      <c r="O885">
        <v>250</v>
      </c>
      <c r="P885" t="s">
        <v>28</v>
      </c>
    </row>
    <row r="886" spans="1:16" x14ac:dyDescent="0.25">
      <c r="A886" t="s">
        <v>947</v>
      </c>
      <c r="B886" s="2">
        <v>45953</v>
      </c>
      <c r="C886" t="s">
        <v>77</v>
      </c>
      <c r="D886" t="s">
        <v>39</v>
      </c>
      <c r="E886" t="s">
        <v>43</v>
      </c>
      <c r="F886">
        <v>28.5</v>
      </c>
      <c r="G886">
        <v>44</v>
      </c>
      <c r="H886">
        <v>14.9</v>
      </c>
      <c r="I886">
        <v>9.4</v>
      </c>
      <c r="J886">
        <v>1.1599999999999999</v>
      </c>
      <c r="K886">
        <v>3.7</v>
      </c>
      <c r="L886">
        <v>31.9</v>
      </c>
      <c r="M886">
        <v>73.7</v>
      </c>
      <c r="N886">
        <v>2.2000000000000002</v>
      </c>
      <c r="O886">
        <v>123</v>
      </c>
      <c r="P886" t="s">
        <v>33</v>
      </c>
    </row>
    <row r="887" spans="1:16" x14ac:dyDescent="0.25">
      <c r="A887" t="s">
        <v>948</v>
      </c>
      <c r="B887" s="2">
        <v>45914</v>
      </c>
      <c r="C887" t="s">
        <v>50</v>
      </c>
      <c r="D887" t="s">
        <v>31</v>
      </c>
      <c r="E887" t="s">
        <v>24</v>
      </c>
      <c r="F887">
        <v>68.2</v>
      </c>
      <c r="G887">
        <v>105.3</v>
      </c>
      <c r="H887">
        <v>56.1</v>
      </c>
      <c r="I887">
        <v>4.8</v>
      </c>
      <c r="J887">
        <v>2.38</v>
      </c>
      <c r="K887">
        <v>62.2</v>
      </c>
      <c r="L887">
        <v>21.6</v>
      </c>
      <c r="M887">
        <v>67.099999999999994</v>
      </c>
      <c r="N887">
        <v>1.2</v>
      </c>
      <c r="O887">
        <v>313</v>
      </c>
      <c r="P887" t="s">
        <v>20</v>
      </c>
    </row>
    <row r="888" spans="1:16" x14ac:dyDescent="0.25">
      <c r="A888" t="s">
        <v>949</v>
      </c>
      <c r="B888" s="2">
        <v>45722</v>
      </c>
      <c r="C888" t="s">
        <v>42</v>
      </c>
      <c r="D888" t="s">
        <v>23</v>
      </c>
      <c r="E888" t="s">
        <v>40</v>
      </c>
      <c r="F888">
        <v>66.900000000000006</v>
      </c>
      <c r="G888">
        <v>143.30000000000001</v>
      </c>
      <c r="H888">
        <v>17.899999999999999</v>
      </c>
      <c r="I888">
        <v>10.5</v>
      </c>
      <c r="J888">
        <v>0.43</v>
      </c>
      <c r="K888">
        <v>18.5</v>
      </c>
      <c r="L888">
        <v>26.7</v>
      </c>
      <c r="M888">
        <v>50</v>
      </c>
      <c r="N888">
        <v>1.9</v>
      </c>
      <c r="O888">
        <v>241</v>
      </c>
      <c r="P888" t="s">
        <v>28</v>
      </c>
    </row>
    <row r="889" spans="1:16" x14ac:dyDescent="0.25">
      <c r="A889" t="s">
        <v>950</v>
      </c>
      <c r="B889" s="2">
        <v>45687</v>
      </c>
      <c r="C889" t="s">
        <v>38</v>
      </c>
      <c r="D889" t="s">
        <v>39</v>
      </c>
      <c r="E889" t="s">
        <v>55</v>
      </c>
      <c r="F889">
        <v>54.7</v>
      </c>
      <c r="G889">
        <v>112.6</v>
      </c>
      <c r="H889">
        <v>27.4</v>
      </c>
      <c r="I889">
        <v>12.7</v>
      </c>
      <c r="J889">
        <v>0.73</v>
      </c>
      <c r="K889">
        <v>38.4</v>
      </c>
      <c r="L889">
        <v>37</v>
      </c>
      <c r="M889">
        <v>55.3</v>
      </c>
      <c r="N889">
        <v>1.5</v>
      </c>
      <c r="O889">
        <v>227</v>
      </c>
      <c r="P889" t="s">
        <v>28</v>
      </c>
    </row>
    <row r="890" spans="1:16" x14ac:dyDescent="0.25">
      <c r="A890" t="s">
        <v>951</v>
      </c>
      <c r="B890" s="2">
        <v>45884</v>
      </c>
      <c r="C890" t="s">
        <v>50</v>
      </c>
      <c r="D890" t="s">
        <v>31</v>
      </c>
      <c r="E890" t="s">
        <v>91</v>
      </c>
      <c r="F890">
        <v>56.1</v>
      </c>
      <c r="G890">
        <v>49.3</v>
      </c>
      <c r="H890">
        <v>27.9</v>
      </c>
      <c r="I890">
        <v>8.8000000000000007</v>
      </c>
      <c r="J890">
        <v>0.08</v>
      </c>
      <c r="K890">
        <v>37.200000000000003</v>
      </c>
      <c r="L890">
        <v>26.3</v>
      </c>
      <c r="M890">
        <v>61.8</v>
      </c>
      <c r="N890">
        <v>2.1</v>
      </c>
      <c r="O890">
        <v>169</v>
      </c>
      <c r="P890" t="s">
        <v>33</v>
      </c>
    </row>
    <row r="891" spans="1:16" x14ac:dyDescent="0.25">
      <c r="A891" t="s">
        <v>952</v>
      </c>
      <c r="B891" s="2">
        <v>45709</v>
      </c>
      <c r="C891" t="s">
        <v>64</v>
      </c>
      <c r="D891" t="s">
        <v>36</v>
      </c>
      <c r="E891" t="s">
        <v>74</v>
      </c>
      <c r="F891">
        <v>27.6</v>
      </c>
      <c r="G891">
        <v>203.1</v>
      </c>
      <c r="H891">
        <v>16.600000000000001</v>
      </c>
      <c r="I891">
        <v>2.6</v>
      </c>
      <c r="J891">
        <v>1.23</v>
      </c>
      <c r="K891">
        <v>34.4</v>
      </c>
      <c r="L891">
        <v>23</v>
      </c>
      <c r="M891">
        <v>59.5</v>
      </c>
      <c r="N891">
        <v>2.2000000000000002</v>
      </c>
      <c r="O891">
        <v>238</v>
      </c>
      <c r="P891" t="s">
        <v>28</v>
      </c>
    </row>
    <row r="892" spans="1:16" x14ac:dyDescent="0.25">
      <c r="A892" t="s">
        <v>953</v>
      </c>
      <c r="B892" s="2">
        <v>45717</v>
      </c>
      <c r="C892" t="s">
        <v>17</v>
      </c>
      <c r="D892" t="s">
        <v>18</v>
      </c>
      <c r="E892" t="s">
        <v>43</v>
      </c>
      <c r="F892">
        <v>101.3</v>
      </c>
      <c r="G892">
        <v>54.3</v>
      </c>
      <c r="H892">
        <v>4.0999999999999996</v>
      </c>
      <c r="I892">
        <v>14</v>
      </c>
      <c r="J892">
        <v>0.5</v>
      </c>
      <c r="K892">
        <v>58.5</v>
      </c>
      <c r="L892">
        <v>24</v>
      </c>
      <c r="M892">
        <v>45.5</v>
      </c>
      <c r="N892">
        <v>2.7</v>
      </c>
      <c r="O892">
        <v>249</v>
      </c>
      <c r="P892" t="s">
        <v>28</v>
      </c>
    </row>
    <row r="893" spans="1:16" x14ac:dyDescent="0.25">
      <c r="A893" t="s">
        <v>954</v>
      </c>
      <c r="B893" s="2">
        <v>45947</v>
      </c>
      <c r="C893" t="s">
        <v>93</v>
      </c>
      <c r="D893" t="s">
        <v>36</v>
      </c>
      <c r="E893" t="s">
        <v>27</v>
      </c>
      <c r="F893">
        <v>29.3</v>
      </c>
      <c r="G893">
        <v>65.7</v>
      </c>
      <c r="H893">
        <v>37.1</v>
      </c>
      <c r="I893">
        <v>15.6</v>
      </c>
      <c r="J893">
        <v>0.28999999999999998</v>
      </c>
      <c r="K893">
        <v>22.4</v>
      </c>
      <c r="L893">
        <v>30.8</v>
      </c>
      <c r="M893">
        <v>47.5</v>
      </c>
      <c r="N893">
        <v>2.9</v>
      </c>
      <c r="O893">
        <v>148</v>
      </c>
      <c r="P893" t="s">
        <v>33</v>
      </c>
    </row>
    <row r="894" spans="1:16" x14ac:dyDescent="0.25">
      <c r="A894" t="s">
        <v>955</v>
      </c>
      <c r="B894" s="2">
        <v>45922</v>
      </c>
      <c r="C894" t="s">
        <v>26</v>
      </c>
      <c r="D894" t="s">
        <v>23</v>
      </c>
      <c r="E894" t="s">
        <v>91</v>
      </c>
      <c r="F894">
        <v>48.7</v>
      </c>
      <c r="G894">
        <v>40</v>
      </c>
      <c r="H894">
        <v>9.6</v>
      </c>
      <c r="I894">
        <v>0.9</v>
      </c>
      <c r="J894">
        <v>0.63</v>
      </c>
      <c r="K894">
        <v>52.2</v>
      </c>
      <c r="L894">
        <v>26.9</v>
      </c>
      <c r="M894">
        <v>62.3</v>
      </c>
      <c r="N894">
        <v>0.9</v>
      </c>
      <c r="O894">
        <v>151</v>
      </c>
      <c r="P894" t="s">
        <v>33</v>
      </c>
    </row>
    <row r="895" spans="1:16" x14ac:dyDescent="0.25">
      <c r="A895" t="s">
        <v>956</v>
      </c>
      <c r="B895" s="2">
        <v>45797</v>
      </c>
      <c r="C895" t="s">
        <v>50</v>
      </c>
      <c r="D895" t="s">
        <v>31</v>
      </c>
      <c r="E895" t="s">
        <v>58</v>
      </c>
      <c r="F895">
        <v>81.3</v>
      </c>
      <c r="G895">
        <v>147.1</v>
      </c>
      <c r="H895">
        <v>87.1</v>
      </c>
      <c r="I895">
        <v>19.600000000000001</v>
      </c>
      <c r="J895">
        <v>0.82</v>
      </c>
      <c r="K895">
        <v>32.1</v>
      </c>
      <c r="L895">
        <v>20</v>
      </c>
      <c r="M895">
        <v>57.8</v>
      </c>
      <c r="N895">
        <v>2.8</v>
      </c>
      <c r="O895">
        <v>344</v>
      </c>
      <c r="P895" t="s">
        <v>20</v>
      </c>
    </row>
    <row r="896" spans="1:16" x14ac:dyDescent="0.25">
      <c r="A896" t="s">
        <v>957</v>
      </c>
      <c r="B896" s="2">
        <v>45924</v>
      </c>
      <c r="C896" t="s">
        <v>50</v>
      </c>
      <c r="D896" t="s">
        <v>31</v>
      </c>
      <c r="E896" t="s">
        <v>97</v>
      </c>
      <c r="F896">
        <v>33.200000000000003</v>
      </c>
      <c r="G896">
        <v>88.2</v>
      </c>
      <c r="H896">
        <v>53.6</v>
      </c>
      <c r="I896">
        <v>2.2000000000000002</v>
      </c>
      <c r="J896">
        <v>0.51</v>
      </c>
      <c r="K896">
        <v>30.3</v>
      </c>
      <c r="L896">
        <v>34.299999999999997</v>
      </c>
      <c r="M896">
        <v>57.2</v>
      </c>
      <c r="N896">
        <v>2</v>
      </c>
      <c r="O896">
        <v>181</v>
      </c>
      <c r="P896" t="s">
        <v>33</v>
      </c>
    </row>
    <row r="897" spans="1:16" x14ac:dyDescent="0.25">
      <c r="A897" t="s">
        <v>958</v>
      </c>
      <c r="B897" s="2">
        <v>45767</v>
      </c>
      <c r="C897" t="s">
        <v>93</v>
      </c>
      <c r="D897" t="s">
        <v>36</v>
      </c>
      <c r="E897" t="s">
        <v>58</v>
      </c>
      <c r="F897">
        <v>27.4</v>
      </c>
      <c r="G897">
        <v>124.9</v>
      </c>
      <c r="H897">
        <v>80.5</v>
      </c>
      <c r="I897">
        <v>9.6999999999999993</v>
      </c>
      <c r="J897">
        <v>0.13</v>
      </c>
      <c r="K897">
        <v>69.5</v>
      </c>
      <c r="L897">
        <v>28.4</v>
      </c>
      <c r="N897">
        <v>2</v>
      </c>
      <c r="O897">
        <v>231</v>
      </c>
      <c r="P897" t="s">
        <v>28</v>
      </c>
    </row>
    <row r="898" spans="1:16" x14ac:dyDescent="0.25">
      <c r="A898" t="s">
        <v>959</v>
      </c>
      <c r="B898" s="2">
        <v>45828</v>
      </c>
      <c r="C898" t="s">
        <v>67</v>
      </c>
      <c r="D898" t="s">
        <v>18</v>
      </c>
      <c r="E898" t="s">
        <v>74</v>
      </c>
      <c r="F898">
        <v>32</v>
      </c>
      <c r="G898">
        <v>43.1</v>
      </c>
      <c r="H898">
        <v>12.9</v>
      </c>
      <c r="I898">
        <v>13.3</v>
      </c>
      <c r="J898">
        <v>1.18</v>
      </c>
      <c r="K898">
        <v>38.799999999999997</v>
      </c>
      <c r="L898">
        <v>21.6</v>
      </c>
      <c r="M898">
        <v>76.7</v>
      </c>
      <c r="N898">
        <v>1.8</v>
      </c>
      <c r="O898">
        <v>146</v>
      </c>
      <c r="P898" t="s">
        <v>33</v>
      </c>
    </row>
    <row r="899" spans="1:16" x14ac:dyDescent="0.25">
      <c r="A899" t="s">
        <v>960</v>
      </c>
      <c r="B899" s="2">
        <v>45696</v>
      </c>
      <c r="C899" t="s">
        <v>77</v>
      </c>
      <c r="D899" t="s">
        <v>39</v>
      </c>
      <c r="E899" t="s">
        <v>45</v>
      </c>
      <c r="F899">
        <v>80.2</v>
      </c>
      <c r="G899">
        <v>18.5</v>
      </c>
      <c r="H899">
        <v>62.2</v>
      </c>
      <c r="I899">
        <v>16.7</v>
      </c>
      <c r="J899">
        <v>0.45</v>
      </c>
      <c r="K899">
        <v>34.4</v>
      </c>
      <c r="L899">
        <v>20.2</v>
      </c>
      <c r="M899">
        <v>67.2</v>
      </c>
      <c r="N899">
        <v>1.6</v>
      </c>
      <c r="O899">
        <v>229</v>
      </c>
      <c r="P899" t="s">
        <v>28</v>
      </c>
    </row>
    <row r="900" spans="1:16" x14ac:dyDescent="0.25">
      <c r="A900" t="s">
        <v>961</v>
      </c>
      <c r="B900" s="2">
        <v>45957</v>
      </c>
      <c r="C900" t="s">
        <v>26</v>
      </c>
      <c r="D900" t="s">
        <v>23</v>
      </c>
      <c r="E900" t="s">
        <v>40</v>
      </c>
      <c r="F900">
        <v>87.9</v>
      </c>
      <c r="G900">
        <v>107.7</v>
      </c>
      <c r="H900">
        <v>33</v>
      </c>
      <c r="I900">
        <v>29.7</v>
      </c>
      <c r="J900">
        <v>0.52</v>
      </c>
      <c r="K900">
        <v>63.3</v>
      </c>
      <c r="L900">
        <v>19.600000000000001</v>
      </c>
      <c r="M900">
        <v>68.599999999999994</v>
      </c>
      <c r="N900">
        <v>1.3</v>
      </c>
      <c r="O900">
        <v>299</v>
      </c>
      <c r="P900" t="s">
        <v>28</v>
      </c>
    </row>
    <row r="901" spans="1:16" x14ac:dyDescent="0.25">
      <c r="A901" t="s">
        <v>962</v>
      </c>
      <c r="B901" s="2">
        <v>45688</v>
      </c>
      <c r="C901" t="s">
        <v>77</v>
      </c>
      <c r="D901" t="s">
        <v>39</v>
      </c>
      <c r="E901" t="s">
        <v>61</v>
      </c>
      <c r="F901">
        <v>13.4</v>
      </c>
      <c r="G901">
        <v>122.7</v>
      </c>
      <c r="H901">
        <v>16</v>
      </c>
      <c r="I901">
        <v>9.1</v>
      </c>
      <c r="J901">
        <v>0.21</v>
      </c>
      <c r="K901">
        <v>15.9</v>
      </c>
      <c r="L901">
        <v>35.5</v>
      </c>
      <c r="M901">
        <v>79.3</v>
      </c>
      <c r="N901">
        <v>2.2000000000000002</v>
      </c>
      <c r="O901">
        <v>133</v>
      </c>
      <c r="P901" t="s">
        <v>33</v>
      </c>
    </row>
    <row r="902" spans="1:16" x14ac:dyDescent="0.25">
      <c r="A902" t="s">
        <v>963</v>
      </c>
      <c r="B902" s="2">
        <v>46001</v>
      </c>
      <c r="C902" t="s">
        <v>35</v>
      </c>
      <c r="D902" t="s">
        <v>36</v>
      </c>
      <c r="E902" t="s">
        <v>97</v>
      </c>
      <c r="F902">
        <v>49.6</v>
      </c>
      <c r="G902">
        <v>110.9</v>
      </c>
      <c r="H902">
        <v>23.3</v>
      </c>
      <c r="I902">
        <v>40.6</v>
      </c>
      <c r="J902">
        <v>1.32</v>
      </c>
      <c r="K902">
        <v>41.1</v>
      </c>
      <c r="L902">
        <v>21.7</v>
      </c>
      <c r="M902">
        <v>54.1</v>
      </c>
      <c r="N902">
        <v>1.2</v>
      </c>
      <c r="O902">
        <v>250</v>
      </c>
      <c r="P902" t="s">
        <v>28</v>
      </c>
    </row>
    <row r="903" spans="1:16" x14ac:dyDescent="0.25">
      <c r="A903" t="s">
        <v>964</v>
      </c>
      <c r="B903" s="2">
        <v>45810</v>
      </c>
      <c r="C903" t="s">
        <v>67</v>
      </c>
      <c r="D903" t="s">
        <v>18</v>
      </c>
      <c r="E903" t="s">
        <v>58</v>
      </c>
      <c r="F903">
        <v>14.9</v>
      </c>
      <c r="G903">
        <v>39</v>
      </c>
      <c r="H903">
        <v>10</v>
      </c>
      <c r="I903">
        <v>21.8</v>
      </c>
      <c r="J903">
        <v>0.75</v>
      </c>
      <c r="K903">
        <v>15.1</v>
      </c>
      <c r="L903">
        <v>33.5</v>
      </c>
      <c r="M903">
        <v>79.3</v>
      </c>
      <c r="N903">
        <v>2.9</v>
      </c>
      <c r="O903">
        <v>98</v>
      </c>
      <c r="P903" t="s">
        <v>71</v>
      </c>
    </row>
    <row r="904" spans="1:16" x14ac:dyDescent="0.25">
      <c r="A904" t="s">
        <v>965</v>
      </c>
      <c r="B904" s="2">
        <v>45766</v>
      </c>
      <c r="C904" t="s">
        <v>64</v>
      </c>
      <c r="D904" t="s">
        <v>36</v>
      </c>
      <c r="E904" t="s">
        <v>97</v>
      </c>
      <c r="F904">
        <v>29.3</v>
      </c>
      <c r="G904">
        <v>148.30000000000001</v>
      </c>
      <c r="H904">
        <v>13.4</v>
      </c>
      <c r="I904">
        <v>18</v>
      </c>
      <c r="J904">
        <v>0.94</v>
      </c>
      <c r="K904">
        <v>41.4</v>
      </c>
      <c r="L904">
        <v>30.2</v>
      </c>
      <c r="M904">
        <v>55.3</v>
      </c>
      <c r="N904">
        <v>1.2</v>
      </c>
      <c r="O904">
        <v>209</v>
      </c>
      <c r="P904" t="s">
        <v>28</v>
      </c>
    </row>
    <row r="905" spans="1:16" x14ac:dyDescent="0.25">
      <c r="A905" t="s">
        <v>966</v>
      </c>
      <c r="B905" s="2">
        <v>45825</v>
      </c>
      <c r="C905" t="s">
        <v>42</v>
      </c>
      <c r="D905" t="s">
        <v>23</v>
      </c>
      <c r="E905" t="s">
        <v>91</v>
      </c>
      <c r="F905">
        <v>40.6</v>
      </c>
      <c r="G905">
        <v>105.4</v>
      </c>
      <c r="H905">
        <v>26.5</v>
      </c>
      <c r="I905">
        <v>9.1999999999999993</v>
      </c>
      <c r="J905">
        <v>2.2400000000000002</v>
      </c>
      <c r="K905">
        <v>37.6</v>
      </c>
      <c r="L905">
        <v>26.2</v>
      </c>
      <c r="M905">
        <v>48.6</v>
      </c>
      <c r="N905">
        <v>3.1</v>
      </c>
      <c r="O905">
        <v>234</v>
      </c>
      <c r="P905" t="s">
        <v>28</v>
      </c>
    </row>
    <row r="906" spans="1:16" x14ac:dyDescent="0.25">
      <c r="A906" t="s">
        <v>967</v>
      </c>
      <c r="B906" s="2">
        <v>45885</v>
      </c>
      <c r="C906" t="s">
        <v>54</v>
      </c>
      <c r="D906" t="s">
        <v>18</v>
      </c>
      <c r="E906" t="s">
        <v>45</v>
      </c>
      <c r="F906">
        <v>65.900000000000006</v>
      </c>
      <c r="G906">
        <v>85.9</v>
      </c>
      <c r="H906">
        <v>60.4</v>
      </c>
      <c r="I906">
        <v>13.6</v>
      </c>
      <c r="J906">
        <v>0.41</v>
      </c>
      <c r="K906">
        <v>91.6</v>
      </c>
      <c r="L906">
        <v>25</v>
      </c>
      <c r="M906">
        <v>65.5</v>
      </c>
      <c r="N906">
        <v>1.3</v>
      </c>
      <c r="O906">
        <v>271</v>
      </c>
      <c r="P906" t="s">
        <v>28</v>
      </c>
    </row>
    <row r="907" spans="1:16" x14ac:dyDescent="0.25">
      <c r="A907" t="s">
        <v>968</v>
      </c>
      <c r="B907" s="2">
        <v>46012</v>
      </c>
      <c r="C907" t="s">
        <v>93</v>
      </c>
      <c r="D907" t="s">
        <v>36</v>
      </c>
      <c r="E907" t="s">
        <v>45</v>
      </c>
      <c r="F907">
        <v>33.5</v>
      </c>
      <c r="G907">
        <v>54.6</v>
      </c>
      <c r="H907">
        <v>50.2</v>
      </c>
      <c r="I907">
        <v>9.6999999999999993</v>
      </c>
      <c r="J907">
        <v>1.51</v>
      </c>
      <c r="K907">
        <v>44</v>
      </c>
      <c r="L907">
        <v>29.1</v>
      </c>
      <c r="M907">
        <v>72.599999999999994</v>
      </c>
      <c r="N907">
        <v>2</v>
      </c>
      <c r="O907">
        <v>194</v>
      </c>
      <c r="P907" t="s">
        <v>33</v>
      </c>
    </row>
    <row r="908" spans="1:16" x14ac:dyDescent="0.25">
      <c r="A908" t="s">
        <v>969</v>
      </c>
      <c r="B908" s="2">
        <v>46005</v>
      </c>
      <c r="C908" t="s">
        <v>35</v>
      </c>
      <c r="D908" t="s">
        <v>36</v>
      </c>
      <c r="E908" t="s">
        <v>58</v>
      </c>
      <c r="F908">
        <v>62.3</v>
      </c>
      <c r="G908">
        <v>50.2</v>
      </c>
      <c r="H908">
        <v>34.1</v>
      </c>
      <c r="I908">
        <v>18.3</v>
      </c>
      <c r="J908">
        <v>0.16</v>
      </c>
      <c r="K908">
        <v>21.6</v>
      </c>
      <c r="L908">
        <v>27</v>
      </c>
      <c r="M908">
        <v>57.7</v>
      </c>
      <c r="N908">
        <v>0.6</v>
      </c>
      <c r="O908">
        <v>186</v>
      </c>
      <c r="P908" t="s">
        <v>33</v>
      </c>
    </row>
    <row r="909" spans="1:16" x14ac:dyDescent="0.25">
      <c r="A909" t="s">
        <v>970</v>
      </c>
      <c r="B909" s="2">
        <v>45900</v>
      </c>
      <c r="C909" t="s">
        <v>30</v>
      </c>
      <c r="D909" t="s">
        <v>31</v>
      </c>
      <c r="E909" t="s">
        <v>32</v>
      </c>
      <c r="F909">
        <v>25.2</v>
      </c>
      <c r="G909">
        <v>122.5</v>
      </c>
      <c r="H909">
        <v>72.8</v>
      </c>
      <c r="I909">
        <v>18.600000000000001</v>
      </c>
      <c r="J909">
        <v>0.19</v>
      </c>
      <c r="K909">
        <v>23.6</v>
      </c>
      <c r="L909">
        <v>21.3</v>
      </c>
      <c r="M909">
        <v>61.3</v>
      </c>
      <c r="N909">
        <v>1.7</v>
      </c>
      <c r="O909">
        <v>207</v>
      </c>
      <c r="P909" t="s">
        <v>28</v>
      </c>
    </row>
    <row r="910" spans="1:16" x14ac:dyDescent="0.25">
      <c r="A910" t="s">
        <v>971</v>
      </c>
      <c r="B910" s="2">
        <v>46014</v>
      </c>
      <c r="C910" t="s">
        <v>35</v>
      </c>
      <c r="D910" t="s">
        <v>36</v>
      </c>
      <c r="E910" t="s">
        <v>19</v>
      </c>
      <c r="F910">
        <v>23.9</v>
      </c>
      <c r="G910">
        <v>119.5</v>
      </c>
      <c r="H910">
        <v>23.4</v>
      </c>
      <c r="I910">
        <v>5.8</v>
      </c>
      <c r="J910">
        <v>0.25</v>
      </c>
      <c r="K910">
        <v>29.7</v>
      </c>
      <c r="L910">
        <v>21.5</v>
      </c>
      <c r="M910">
        <v>56</v>
      </c>
      <c r="N910">
        <v>2.9</v>
      </c>
      <c r="O910">
        <v>158</v>
      </c>
      <c r="P910" t="s">
        <v>33</v>
      </c>
    </row>
    <row r="911" spans="1:16" x14ac:dyDescent="0.25">
      <c r="A911" t="s">
        <v>972</v>
      </c>
      <c r="B911" s="2">
        <v>45739</v>
      </c>
      <c r="C911" t="s">
        <v>35</v>
      </c>
      <c r="D911" t="s">
        <v>36</v>
      </c>
      <c r="E911" t="s">
        <v>43</v>
      </c>
      <c r="F911">
        <v>15</v>
      </c>
      <c r="G911">
        <v>90.2</v>
      </c>
      <c r="H911">
        <v>23.5</v>
      </c>
      <c r="I911">
        <v>4.8</v>
      </c>
      <c r="J911">
        <v>0.83</v>
      </c>
      <c r="K911">
        <v>70.8</v>
      </c>
      <c r="L911">
        <v>31.3</v>
      </c>
      <c r="M911">
        <v>81.7</v>
      </c>
      <c r="N911">
        <v>2.1</v>
      </c>
      <c r="O911">
        <v>157</v>
      </c>
      <c r="P911" t="s">
        <v>33</v>
      </c>
    </row>
    <row r="912" spans="1:16" x14ac:dyDescent="0.25">
      <c r="A912" t="s">
        <v>973</v>
      </c>
      <c r="B912" s="2">
        <v>45665</v>
      </c>
      <c r="C912" t="s">
        <v>38</v>
      </c>
      <c r="D912" t="s">
        <v>39</v>
      </c>
      <c r="E912" t="s">
        <v>32</v>
      </c>
      <c r="F912">
        <v>46.7</v>
      </c>
      <c r="G912">
        <v>55.5</v>
      </c>
      <c r="H912">
        <v>16.399999999999999</v>
      </c>
      <c r="I912">
        <v>3.9</v>
      </c>
      <c r="J912">
        <v>0.33</v>
      </c>
      <c r="K912">
        <v>19.600000000000001</v>
      </c>
      <c r="L912">
        <v>20.5</v>
      </c>
      <c r="M912">
        <v>90.6</v>
      </c>
      <c r="N912">
        <v>2.2000000000000002</v>
      </c>
      <c r="O912">
        <v>144</v>
      </c>
      <c r="P912" t="s">
        <v>33</v>
      </c>
    </row>
    <row r="913" spans="1:16" x14ac:dyDescent="0.25">
      <c r="A913" t="s">
        <v>974</v>
      </c>
      <c r="B913" s="2">
        <v>45907</v>
      </c>
      <c r="C913" t="s">
        <v>22</v>
      </c>
      <c r="D913" t="s">
        <v>23</v>
      </c>
      <c r="E913" t="s">
        <v>24</v>
      </c>
      <c r="F913">
        <v>55.2</v>
      </c>
      <c r="G913">
        <v>122.1</v>
      </c>
      <c r="H913">
        <v>35.6</v>
      </c>
      <c r="I913">
        <v>9</v>
      </c>
      <c r="J913">
        <v>1.08</v>
      </c>
      <c r="K913">
        <v>28.4</v>
      </c>
      <c r="L913">
        <v>33.299999999999997</v>
      </c>
      <c r="M913">
        <v>71.8</v>
      </c>
      <c r="N913">
        <v>2</v>
      </c>
      <c r="O913">
        <v>242</v>
      </c>
      <c r="P913" t="s">
        <v>28</v>
      </c>
    </row>
    <row r="914" spans="1:16" x14ac:dyDescent="0.25">
      <c r="A914" t="s">
        <v>975</v>
      </c>
      <c r="B914" s="2">
        <v>46003</v>
      </c>
      <c r="C914" t="s">
        <v>81</v>
      </c>
      <c r="D914" t="s">
        <v>39</v>
      </c>
      <c r="E914" t="s">
        <v>70</v>
      </c>
      <c r="F914">
        <v>7.1</v>
      </c>
      <c r="G914">
        <v>230.4</v>
      </c>
      <c r="H914">
        <v>48.1</v>
      </c>
      <c r="I914">
        <v>3.1</v>
      </c>
      <c r="J914">
        <v>0.73</v>
      </c>
      <c r="K914">
        <v>48.4</v>
      </c>
      <c r="L914">
        <v>23.3</v>
      </c>
      <c r="M914">
        <v>69.599999999999994</v>
      </c>
      <c r="N914">
        <v>0.6</v>
      </c>
      <c r="O914">
        <v>242</v>
      </c>
      <c r="P914" t="s">
        <v>28</v>
      </c>
    </row>
    <row r="915" spans="1:16" x14ac:dyDescent="0.25">
      <c r="A915" t="s">
        <v>976</v>
      </c>
      <c r="B915" s="2">
        <v>45662</v>
      </c>
      <c r="C915" t="s">
        <v>54</v>
      </c>
      <c r="D915" t="s">
        <v>18</v>
      </c>
      <c r="E915" t="s">
        <v>43</v>
      </c>
      <c r="F915">
        <v>82.4</v>
      </c>
      <c r="G915">
        <v>82.1</v>
      </c>
      <c r="H915">
        <v>5</v>
      </c>
      <c r="I915">
        <v>8.3000000000000007</v>
      </c>
      <c r="J915">
        <v>1.02</v>
      </c>
      <c r="K915">
        <v>13.9</v>
      </c>
      <c r="L915">
        <v>26.3</v>
      </c>
      <c r="M915">
        <v>30.1</v>
      </c>
      <c r="N915">
        <v>3.3</v>
      </c>
      <c r="O915">
        <v>227</v>
      </c>
      <c r="P915" t="s">
        <v>28</v>
      </c>
    </row>
    <row r="916" spans="1:16" x14ac:dyDescent="0.25">
      <c r="A916" t="s">
        <v>977</v>
      </c>
      <c r="B916" s="2">
        <v>45981</v>
      </c>
      <c r="C916" t="s">
        <v>67</v>
      </c>
      <c r="D916" t="s">
        <v>18</v>
      </c>
      <c r="E916" t="s">
        <v>61</v>
      </c>
      <c r="F916">
        <v>63</v>
      </c>
      <c r="G916">
        <v>92.6</v>
      </c>
      <c r="H916">
        <v>7.3</v>
      </c>
      <c r="I916">
        <v>23.5</v>
      </c>
      <c r="J916">
        <v>0.66</v>
      </c>
      <c r="K916">
        <v>84.6</v>
      </c>
      <c r="L916">
        <v>30.1</v>
      </c>
      <c r="M916">
        <v>75.400000000000006</v>
      </c>
      <c r="N916">
        <v>1.7</v>
      </c>
      <c r="O916">
        <v>238</v>
      </c>
      <c r="P916" t="s">
        <v>28</v>
      </c>
    </row>
    <row r="917" spans="1:16" x14ac:dyDescent="0.25">
      <c r="A917" t="s">
        <v>978</v>
      </c>
      <c r="B917" s="2">
        <v>45929</v>
      </c>
      <c r="C917" t="s">
        <v>52</v>
      </c>
      <c r="D917" t="s">
        <v>31</v>
      </c>
      <c r="E917" t="s">
        <v>27</v>
      </c>
      <c r="F917">
        <v>32.9</v>
      </c>
      <c r="G917">
        <v>97.7</v>
      </c>
      <c r="H917">
        <v>41.6</v>
      </c>
      <c r="I917">
        <v>2.6</v>
      </c>
      <c r="J917">
        <v>0.46</v>
      </c>
      <c r="K917">
        <v>60.8</v>
      </c>
      <c r="L917">
        <v>34.700000000000003</v>
      </c>
      <c r="M917">
        <v>28.8</v>
      </c>
      <c r="N917">
        <v>1.9</v>
      </c>
      <c r="O917">
        <v>190</v>
      </c>
      <c r="P917" t="s">
        <v>33</v>
      </c>
    </row>
    <row r="918" spans="1:16" x14ac:dyDescent="0.25">
      <c r="A918" t="s">
        <v>979</v>
      </c>
      <c r="B918" s="2">
        <v>45930</v>
      </c>
      <c r="C918" t="s">
        <v>77</v>
      </c>
      <c r="D918" t="s">
        <v>39</v>
      </c>
      <c r="E918" t="s">
        <v>74</v>
      </c>
      <c r="F918">
        <v>39</v>
      </c>
      <c r="G918">
        <v>69</v>
      </c>
      <c r="H918">
        <v>23.6</v>
      </c>
      <c r="I918">
        <v>3.6</v>
      </c>
      <c r="J918">
        <v>0.88</v>
      </c>
      <c r="K918">
        <v>44.5</v>
      </c>
      <c r="L918">
        <v>32.299999999999997</v>
      </c>
      <c r="M918">
        <v>46.2</v>
      </c>
      <c r="N918">
        <v>2.7</v>
      </c>
      <c r="O918">
        <v>171</v>
      </c>
      <c r="P918" t="s">
        <v>33</v>
      </c>
    </row>
    <row r="919" spans="1:16" x14ac:dyDescent="0.25">
      <c r="A919" t="s">
        <v>980</v>
      </c>
      <c r="B919" s="2">
        <v>45772</v>
      </c>
      <c r="C919" t="s">
        <v>93</v>
      </c>
      <c r="D919" t="s">
        <v>36</v>
      </c>
      <c r="E919" t="s">
        <v>24</v>
      </c>
      <c r="F919">
        <v>60.9</v>
      </c>
      <c r="G919">
        <v>92.4</v>
      </c>
      <c r="H919">
        <v>6.8</v>
      </c>
      <c r="I919">
        <v>15.7</v>
      </c>
      <c r="J919">
        <v>0.23</v>
      </c>
      <c r="K919">
        <v>10.199999999999999</v>
      </c>
      <c r="L919">
        <v>22.8</v>
      </c>
      <c r="M919">
        <v>48.5</v>
      </c>
      <c r="N919">
        <v>3.4</v>
      </c>
      <c r="O919">
        <v>184</v>
      </c>
      <c r="P919" t="s">
        <v>33</v>
      </c>
    </row>
    <row r="920" spans="1:16" x14ac:dyDescent="0.25">
      <c r="A920" t="s">
        <v>981</v>
      </c>
      <c r="B920" s="2">
        <v>45958</v>
      </c>
      <c r="C920" t="s">
        <v>17</v>
      </c>
      <c r="D920" t="s">
        <v>18</v>
      </c>
      <c r="E920" t="s">
        <v>19</v>
      </c>
      <c r="F920">
        <v>77.8</v>
      </c>
      <c r="G920">
        <v>56.5</v>
      </c>
      <c r="H920">
        <v>57.1</v>
      </c>
      <c r="I920">
        <v>13</v>
      </c>
      <c r="J920">
        <v>0.27</v>
      </c>
      <c r="K920">
        <v>21.4</v>
      </c>
      <c r="L920">
        <v>32.4</v>
      </c>
      <c r="M920">
        <v>70</v>
      </c>
      <c r="N920">
        <v>5.2</v>
      </c>
      <c r="O920">
        <v>232</v>
      </c>
      <c r="P920" t="s">
        <v>28</v>
      </c>
    </row>
    <row r="921" spans="1:16" x14ac:dyDescent="0.25">
      <c r="A921" t="s">
        <v>982</v>
      </c>
      <c r="B921" s="2">
        <v>45905</v>
      </c>
      <c r="C921" t="s">
        <v>42</v>
      </c>
      <c r="D921" t="s">
        <v>23</v>
      </c>
      <c r="E921" t="s">
        <v>983</v>
      </c>
      <c r="F921">
        <v>70.2</v>
      </c>
      <c r="G921">
        <v>69.400000000000006</v>
      </c>
      <c r="H921">
        <v>31.5</v>
      </c>
      <c r="I921">
        <v>12.4</v>
      </c>
      <c r="J921">
        <v>0.46</v>
      </c>
      <c r="K921">
        <v>42.1</v>
      </c>
      <c r="L921">
        <v>28.7</v>
      </c>
      <c r="M921">
        <v>59.4</v>
      </c>
      <c r="N921">
        <v>2.8</v>
      </c>
      <c r="O921">
        <v>222</v>
      </c>
      <c r="P921" t="s">
        <v>28</v>
      </c>
    </row>
    <row r="922" spans="1:16" x14ac:dyDescent="0.25">
      <c r="A922" t="s">
        <v>984</v>
      </c>
      <c r="B922" s="2">
        <v>45957</v>
      </c>
      <c r="C922" t="s">
        <v>52</v>
      </c>
      <c r="D922" t="s">
        <v>31</v>
      </c>
      <c r="E922" t="s">
        <v>24</v>
      </c>
      <c r="F922">
        <v>20.2</v>
      </c>
      <c r="G922">
        <v>130.6</v>
      </c>
      <c r="H922">
        <v>30.7</v>
      </c>
      <c r="I922">
        <v>19.399999999999999</v>
      </c>
      <c r="J922">
        <v>1.0900000000000001</v>
      </c>
      <c r="K922">
        <v>105</v>
      </c>
      <c r="L922">
        <v>22.9</v>
      </c>
      <c r="M922">
        <v>49.8</v>
      </c>
      <c r="N922">
        <v>3.6</v>
      </c>
      <c r="O922">
        <v>230</v>
      </c>
      <c r="P922" t="s">
        <v>28</v>
      </c>
    </row>
    <row r="923" spans="1:16" x14ac:dyDescent="0.25">
      <c r="A923" t="s">
        <v>985</v>
      </c>
      <c r="B923" s="2">
        <v>46006</v>
      </c>
      <c r="C923" t="s">
        <v>17</v>
      </c>
      <c r="D923" t="s">
        <v>18</v>
      </c>
      <c r="E923" t="s">
        <v>70</v>
      </c>
      <c r="F923">
        <v>53.9</v>
      </c>
      <c r="G923">
        <v>138.30000000000001</v>
      </c>
      <c r="H923">
        <v>45.6</v>
      </c>
      <c r="I923">
        <v>13.4</v>
      </c>
      <c r="J923">
        <v>0.46</v>
      </c>
      <c r="K923">
        <v>46.4</v>
      </c>
      <c r="L923">
        <v>36.6</v>
      </c>
      <c r="M923">
        <v>83.4</v>
      </c>
      <c r="N923">
        <v>3.9</v>
      </c>
      <c r="O923">
        <v>254</v>
      </c>
      <c r="P923" t="s">
        <v>28</v>
      </c>
    </row>
    <row r="924" spans="1:16" x14ac:dyDescent="0.25">
      <c r="A924" t="s">
        <v>986</v>
      </c>
      <c r="B924" s="2">
        <v>45848</v>
      </c>
      <c r="C924" t="s">
        <v>38</v>
      </c>
      <c r="D924" t="s">
        <v>39</v>
      </c>
      <c r="E924" t="s">
        <v>97</v>
      </c>
      <c r="F924">
        <v>37.299999999999997</v>
      </c>
      <c r="G924">
        <v>170.1</v>
      </c>
      <c r="H924">
        <v>26.4</v>
      </c>
      <c r="I924">
        <v>5.5</v>
      </c>
      <c r="J924">
        <v>0.48</v>
      </c>
      <c r="K924">
        <v>56.6</v>
      </c>
      <c r="L924">
        <v>29.8</v>
      </c>
      <c r="M924">
        <v>49.9</v>
      </c>
      <c r="N924">
        <v>3</v>
      </c>
      <c r="O924">
        <v>233</v>
      </c>
      <c r="P924" t="s">
        <v>28</v>
      </c>
    </row>
    <row r="925" spans="1:16" x14ac:dyDescent="0.25">
      <c r="A925" t="s">
        <v>987</v>
      </c>
      <c r="B925" s="2">
        <v>46019</v>
      </c>
      <c r="C925" t="s">
        <v>77</v>
      </c>
      <c r="D925" t="s">
        <v>39</v>
      </c>
      <c r="E925" t="s">
        <v>27</v>
      </c>
      <c r="F925">
        <v>87.9</v>
      </c>
      <c r="G925">
        <v>54.2</v>
      </c>
      <c r="H925">
        <v>24.3</v>
      </c>
      <c r="I925">
        <v>2.5</v>
      </c>
      <c r="J925">
        <v>1.08</v>
      </c>
      <c r="K925">
        <v>25.6</v>
      </c>
      <c r="L925">
        <v>34.200000000000003</v>
      </c>
      <c r="M925">
        <v>57.8</v>
      </c>
      <c r="N925">
        <v>4.5999999999999996</v>
      </c>
      <c r="O925">
        <v>236</v>
      </c>
      <c r="P925" t="s">
        <v>28</v>
      </c>
    </row>
    <row r="926" spans="1:16" x14ac:dyDescent="0.25">
      <c r="A926" t="s">
        <v>988</v>
      </c>
      <c r="B926" s="2">
        <v>45779</v>
      </c>
      <c r="C926" t="s">
        <v>50</v>
      </c>
      <c r="D926" t="s">
        <v>31</v>
      </c>
      <c r="E926" t="s">
        <v>58</v>
      </c>
      <c r="F926">
        <v>51.8</v>
      </c>
      <c r="G926">
        <v>57</v>
      </c>
      <c r="H926">
        <v>34.299999999999997</v>
      </c>
      <c r="I926">
        <v>55.8</v>
      </c>
      <c r="J926">
        <v>0.28000000000000003</v>
      </c>
      <c r="K926">
        <v>29.9</v>
      </c>
      <c r="L926">
        <v>26.8</v>
      </c>
      <c r="M926">
        <v>38.9</v>
      </c>
      <c r="N926">
        <v>2.2000000000000002</v>
      </c>
      <c r="O926">
        <v>207</v>
      </c>
      <c r="P926" t="s">
        <v>28</v>
      </c>
    </row>
    <row r="927" spans="1:16" x14ac:dyDescent="0.25">
      <c r="A927" t="s">
        <v>989</v>
      </c>
      <c r="B927" s="2">
        <v>45860</v>
      </c>
      <c r="C927" t="s">
        <v>54</v>
      </c>
      <c r="D927" t="s">
        <v>18</v>
      </c>
      <c r="E927" t="s">
        <v>68</v>
      </c>
      <c r="F927">
        <v>62.1</v>
      </c>
      <c r="G927">
        <v>56.2</v>
      </c>
      <c r="H927">
        <v>20.6</v>
      </c>
      <c r="I927">
        <v>14.9</v>
      </c>
      <c r="J927">
        <v>0.2</v>
      </c>
      <c r="K927">
        <v>9.6999999999999993</v>
      </c>
      <c r="L927">
        <v>24.7</v>
      </c>
      <c r="M927">
        <v>47.6</v>
      </c>
      <c r="N927">
        <v>1.3</v>
      </c>
      <c r="O927">
        <v>172</v>
      </c>
      <c r="P927" t="s">
        <v>33</v>
      </c>
    </row>
    <row r="928" spans="1:16" x14ac:dyDescent="0.25">
      <c r="A928" t="s">
        <v>990</v>
      </c>
      <c r="B928" s="2">
        <v>45993</v>
      </c>
      <c r="C928" t="s">
        <v>26</v>
      </c>
      <c r="D928" t="s">
        <v>23</v>
      </c>
      <c r="E928" t="s">
        <v>70</v>
      </c>
      <c r="F928">
        <v>25.5</v>
      </c>
      <c r="G928">
        <v>83.2</v>
      </c>
      <c r="H928">
        <v>27.1</v>
      </c>
      <c r="I928">
        <v>21.4</v>
      </c>
      <c r="J928">
        <v>0.81</v>
      </c>
      <c r="K928">
        <v>49.3</v>
      </c>
      <c r="L928">
        <v>20</v>
      </c>
      <c r="M928">
        <v>78.3</v>
      </c>
      <c r="N928">
        <v>1.9</v>
      </c>
      <c r="O928">
        <v>174</v>
      </c>
      <c r="P928" t="s">
        <v>33</v>
      </c>
    </row>
    <row r="929" spans="1:16" x14ac:dyDescent="0.25">
      <c r="A929" t="s">
        <v>991</v>
      </c>
      <c r="B929" s="2">
        <v>45683</v>
      </c>
      <c r="C929" t="s">
        <v>81</v>
      </c>
      <c r="D929" t="s">
        <v>39</v>
      </c>
      <c r="E929" t="s">
        <v>24</v>
      </c>
      <c r="F929">
        <v>122.2</v>
      </c>
      <c r="G929">
        <v>29.5</v>
      </c>
      <c r="H929">
        <v>14.4</v>
      </c>
      <c r="I929">
        <v>17.7</v>
      </c>
      <c r="J929">
        <v>1.25</v>
      </c>
      <c r="K929">
        <v>61.1</v>
      </c>
      <c r="L929">
        <v>28</v>
      </c>
      <c r="M929">
        <v>36.4</v>
      </c>
      <c r="N929">
        <v>1.2</v>
      </c>
      <c r="O929">
        <v>297</v>
      </c>
      <c r="P929" t="s">
        <v>28</v>
      </c>
    </row>
    <row r="930" spans="1:16" x14ac:dyDescent="0.25">
      <c r="A930" t="s">
        <v>992</v>
      </c>
      <c r="B930" s="2">
        <v>45752</v>
      </c>
      <c r="C930" t="s">
        <v>99</v>
      </c>
      <c r="D930" t="s">
        <v>36</v>
      </c>
      <c r="E930" t="s">
        <v>19</v>
      </c>
      <c r="F930">
        <v>80.7</v>
      </c>
      <c r="G930">
        <v>57.4</v>
      </c>
      <c r="H930">
        <v>35.200000000000003</v>
      </c>
      <c r="I930">
        <v>12.6</v>
      </c>
      <c r="J930">
        <v>0.34</v>
      </c>
      <c r="K930">
        <v>49.3</v>
      </c>
      <c r="L930">
        <v>17.399999999999999</v>
      </c>
      <c r="M930">
        <v>69.5</v>
      </c>
      <c r="N930">
        <v>2.5</v>
      </c>
      <c r="O930">
        <v>234</v>
      </c>
      <c r="P930" t="s">
        <v>28</v>
      </c>
    </row>
    <row r="931" spans="1:16" x14ac:dyDescent="0.25">
      <c r="A931" t="s">
        <v>993</v>
      </c>
      <c r="B931" s="2">
        <v>45680</v>
      </c>
      <c r="C931" t="s">
        <v>93</v>
      </c>
      <c r="D931" t="s">
        <v>36</v>
      </c>
      <c r="E931" t="s">
        <v>68</v>
      </c>
      <c r="F931">
        <v>115</v>
      </c>
      <c r="G931">
        <v>55.3</v>
      </c>
      <c r="H931">
        <v>48.1</v>
      </c>
      <c r="I931">
        <v>8.3000000000000007</v>
      </c>
      <c r="J931">
        <v>1.32</v>
      </c>
      <c r="K931">
        <v>8.1999999999999993</v>
      </c>
      <c r="L931">
        <v>28</v>
      </c>
      <c r="M931">
        <v>65.3</v>
      </c>
      <c r="N931">
        <v>2.1</v>
      </c>
      <c r="O931">
        <v>301</v>
      </c>
      <c r="P931" t="s">
        <v>20</v>
      </c>
    </row>
    <row r="932" spans="1:16" x14ac:dyDescent="0.25">
      <c r="A932" t="s">
        <v>994</v>
      </c>
      <c r="B932" s="2">
        <v>45915</v>
      </c>
      <c r="C932" t="s">
        <v>17</v>
      </c>
      <c r="D932" t="s">
        <v>18</v>
      </c>
      <c r="E932" t="s">
        <v>91</v>
      </c>
      <c r="F932">
        <v>42.9</v>
      </c>
      <c r="G932">
        <v>103.6</v>
      </c>
      <c r="H932">
        <v>39.200000000000003</v>
      </c>
      <c r="I932">
        <v>15.7</v>
      </c>
      <c r="J932">
        <v>0.68</v>
      </c>
      <c r="K932">
        <v>36</v>
      </c>
      <c r="L932">
        <v>21.1</v>
      </c>
      <c r="M932">
        <v>71.5</v>
      </c>
      <c r="N932">
        <v>0.8</v>
      </c>
      <c r="O932">
        <v>212</v>
      </c>
      <c r="P932" t="s">
        <v>28</v>
      </c>
    </row>
    <row r="933" spans="1:16" x14ac:dyDescent="0.25">
      <c r="A933" t="s">
        <v>995</v>
      </c>
      <c r="B933" s="2">
        <v>45757</v>
      </c>
      <c r="C933" t="s">
        <v>22</v>
      </c>
      <c r="D933" t="s">
        <v>23</v>
      </c>
      <c r="E933" t="s">
        <v>32</v>
      </c>
      <c r="F933">
        <v>111.3</v>
      </c>
      <c r="G933">
        <v>78.5</v>
      </c>
      <c r="H933">
        <v>23.5</v>
      </c>
      <c r="I933">
        <v>8.6</v>
      </c>
      <c r="J933">
        <v>0.75</v>
      </c>
      <c r="K933">
        <v>25.7</v>
      </c>
      <c r="L933">
        <v>29.1</v>
      </c>
      <c r="M933">
        <v>44.9</v>
      </c>
      <c r="N933">
        <v>1.1000000000000001</v>
      </c>
      <c r="O933">
        <v>284</v>
      </c>
      <c r="P933" t="s">
        <v>28</v>
      </c>
    </row>
    <row r="934" spans="1:16" x14ac:dyDescent="0.25">
      <c r="A934" t="s">
        <v>996</v>
      </c>
      <c r="B934" s="2">
        <v>45716</v>
      </c>
      <c r="C934" t="s">
        <v>35</v>
      </c>
      <c r="D934" t="s">
        <v>36</v>
      </c>
      <c r="E934" t="s">
        <v>61</v>
      </c>
      <c r="F934">
        <v>22</v>
      </c>
      <c r="G934">
        <v>46.1</v>
      </c>
      <c r="H934">
        <v>22.9</v>
      </c>
      <c r="I934">
        <v>16.5</v>
      </c>
      <c r="J934">
        <v>0.74</v>
      </c>
      <c r="K934">
        <v>46</v>
      </c>
      <c r="L934">
        <v>27.7</v>
      </c>
      <c r="M934">
        <v>52.1</v>
      </c>
      <c r="N934">
        <v>0.9</v>
      </c>
      <c r="O934">
        <v>134</v>
      </c>
      <c r="P934" t="s">
        <v>33</v>
      </c>
    </row>
    <row r="935" spans="1:16" x14ac:dyDescent="0.25">
      <c r="A935" t="s">
        <v>997</v>
      </c>
      <c r="B935" s="2">
        <v>45692</v>
      </c>
      <c r="C935" t="s">
        <v>99</v>
      </c>
      <c r="D935" t="s">
        <v>36</v>
      </c>
      <c r="E935" t="s">
        <v>24</v>
      </c>
      <c r="F935">
        <v>39.6</v>
      </c>
      <c r="G935">
        <v>110.7</v>
      </c>
      <c r="H935">
        <v>37.4</v>
      </c>
      <c r="I935">
        <v>33</v>
      </c>
      <c r="J935">
        <v>0.43</v>
      </c>
      <c r="K935">
        <v>12.7</v>
      </c>
      <c r="L935">
        <v>17.7</v>
      </c>
      <c r="M935">
        <v>60.8</v>
      </c>
      <c r="N935">
        <v>1.5</v>
      </c>
      <c r="O935">
        <v>205</v>
      </c>
      <c r="P935" t="s">
        <v>28</v>
      </c>
    </row>
    <row r="936" spans="1:16" x14ac:dyDescent="0.25">
      <c r="A936" t="s">
        <v>998</v>
      </c>
      <c r="B936" s="2">
        <v>45927</v>
      </c>
      <c r="C936" t="s">
        <v>93</v>
      </c>
      <c r="D936" t="s">
        <v>36</v>
      </c>
      <c r="E936" t="s">
        <v>45</v>
      </c>
      <c r="F936">
        <v>37.6</v>
      </c>
      <c r="G936">
        <v>124.9</v>
      </c>
      <c r="H936">
        <v>26.8</v>
      </c>
      <c r="I936">
        <v>2</v>
      </c>
      <c r="J936">
        <v>0.41</v>
      </c>
      <c r="K936">
        <v>31.7</v>
      </c>
      <c r="L936">
        <v>22.8</v>
      </c>
      <c r="M936">
        <v>65.599999999999994</v>
      </c>
      <c r="N936">
        <v>2.8</v>
      </c>
      <c r="O936">
        <v>189</v>
      </c>
      <c r="P936" t="s">
        <v>33</v>
      </c>
    </row>
    <row r="937" spans="1:16" x14ac:dyDescent="0.25">
      <c r="A937" t="s">
        <v>999</v>
      </c>
      <c r="B937" s="2">
        <v>45763</v>
      </c>
      <c r="C937" t="s">
        <v>30</v>
      </c>
      <c r="D937" t="s">
        <v>31</v>
      </c>
      <c r="E937" t="s">
        <v>74</v>
      </c>
      <c r="F937">
        <v>34</v>
      </c>
      <c r="G937">
        <v>81.599999999999994</v>
      </c>
      <c r="H937">
        <v>27.6</v>
      </c>
      <c r="I937">
        <v>11.1</v>
      </c>
      <c r="J937">
        <v>0.52</v>
      </c>
      <c r="K937">
        <v>57.6</v>
      </c>
      <c r="L937">
        <v>28.6</v>
      </c>
      <c r="M937">
        <v>68.2</v>
      </c>
      <c r="N937">
        <v>1.4</v>
      </c>
      <c r="O937">
        <v>176</v>
      </c>
      <c r="P937" t="s">
        <v>33</v>
      </c>
    </row>
    <row r="938" spans="1:16" x14ac:dyDescent="0.25">
      <c r="A938" t="s">
        <v>1000</v>
      </c>
      <c r="B938" s="2">
        <v>46001</v>
      </c>
      <c r="C938" t="s">
        <v>30</v>
      </c>
      <c r="D938" t="s">
        <v>31</v>
      </c>
      <c r="E938" t="s">
        <v>19</v>
      </c>
      <c r="F938">
        <v>21.6</v>
      </c>
      <c r="G938">
        <v>109.2</v>
      </c>
      <c r="H938">
        <v>36.5</v>
      </c>
      <c r="I938">
        <v>9.3000000000000007</v>
      </c>
      <c r="J938">
        <v>0.63</v>
      </c>
      <c r="K938">
        <v>10.3</v>
      </c>
      <c r="L938">
        <v>27.9</v>
      </c>
      <c r="M938">
        <v>42.9</v>
      </c>
      <c r="N938">
        <v>1.2</v>
      </c>
      <c r="O938">
        <v>162</v>
      </c>
      <c r="P938" t="s">
        <v>33</v>
      </c>
    </row>
    <row r="939" spans="1:16" x14ac:dyDescent="0.25">
      <c r="A939" t="s">
        <v>1001</v>
      </c>
      <c r="B939" s="2">
        <v>45981</v>
      </c>
      <c r="C939" t="s">
        <v>26</v>
      </c>
      <c r="D939" t="s">
        <v>23</v>
      </c>
      <c r="E939" t="s">
        <v>19</v>
      </c>
      <c r="F939">
        <v>9.6999999999999993</v>
      </c>
      <c r="G939">
        <v>71.7</v>
      </c>
      <c r="H939">
        <v>34.700000000000003</v>
      </c>
      <c r="I939">
        <v>18.5</v>
      </c>
      <c r="J939">
        <v>0.44</v>
      </c>
      <c r="K939">
        <v>20.7</v>
      </c>
      <c r="L939">
        <v>32.6</v>
      </c>
      <c r="M939">
        <v>85.1</v>
      </c>
      <c r="N939">
        <v>2.8</v>
      </c>
      <c r="O939">
        <v>123</v>
      </c>
      <c r="P939" t="s">
        <v>33</v>
      </c>
    </row>
    <row r="940" spans="1:16" x14ac:dyDescent="0.25">
      <c r="A940" t="s">
        <v>1002</v>
      </c>
      <c r="B940" s="2">
        <v>45782</v>
      </c>
      <c r="C940" t="s">
        <v>22</v>
      </c>
      <c r="D940" t="s">
        <v>23</v>
      </c>
      <c r="E940" t="s">
        <v>55</v>
      </c>
      <c r="F940">
        <v>53.4</v>
      </c>
      <c r="G940">
        <v>118.5</v>
      </c>
      <c r="H940">
        <v>21</v>
      </c>
      <c r="I940">
        <v>40.6</v>
      </c>
      <c r="J940">
        <v>0.84</v>
      </c>
      <c r="K940">
        <v>36.4</v>
      </c>
      <c r="L940">
        <v>27</v>
      </c>
      <c r="M940">
        <v>61.9</v>
      </c>
      <c r="N940">
        <v>2.2999999999999998</v>
      </c>
      <c r="O940">
        <v>245</v>
      </c>
      <c r="P940" t="s">
        <v>28</v>
      </c>
    </row>
    <row r="941" spans="1:16" x14ac:dyDescent="0.25">
      <c r="A941" t="s">
        <v>1003</v>
      </c>
      <c r="B941" s="2">
        <v>45770</v>
      </c>
      <c r="C941" t="s">
        <v>99</v>
      </c>
      <c r="D941" t="s">
        <v>36</v>
      </c>
      <c r="E941" t="s">
        <v>61</v>
      </c>
      <c r="F941">
        <v>71.2</v>
      </c>
      <c r="G941">
        <v>91.2</v>
      </c>
      <c r="H941">
        <v>66.2</v>
      </c>
      <c r="I941">
        <v>4</v>
      </c>
      <c r="J941">
        <v>1.6</v>
      </c>
      <c r="K941">
        <v>15.9</v>
      </c>
      <c r="L941">
        <v>24.4</v>
      </c>
      <c r="M941">
        <v>58.8</v>
      </c>
      <c r="N941">
        <v>3</v>
      </c>
      <c r="O941">
        <v>276</v>
      </c>
      <c r="P941" t="s">
        <v>28</v>
      </c>
    </row>
    <row r="942" spans="1:16" x14ac:dyDescent="0.25">
      <c r="A942" t="s">
        <v>1004</v>
      </c>
      <c r="B942" s="2">
        <v>45980</v>
      </c>
      <c r="C942" t="s">
        <v>54</v>
      </c>
      <c r="D942" t="s">
        <v>18</v>
      </c>
      <c r="E942" t="s">
        <v>58</v>
      </c>
      <c r="F942">
        <v>105.8</v>
      </c>
      <c r="G942">
        <v>61.3</v>
      </c>
      <c r="H942">
        <v>9.3000000000000007</v>
      </c>
      <c r="I942">
        <v>7.1</v>
      </c>
      <c r="J942">
        <v>1.66</v>
      </c>
      <c r="K942">
        <v>9.8000000000000007</v>
      </c>
      <c r="L942">
        <v>31.7</v>
      </c>
      <c r="M942">
        <v>95.4</v>
      </c>
      <c r="N942">
        <v>0.1</v>
      </c>
      <c r="O942">
        <v>267</v>
      </c>
      <c r="P942" t="s">
        <v>28</v>
      </c>
    </row>
    <row r="943" spans="1:16" x14ac:dyDescent="0.25">
      <c r="A943" t="s">
        <v>1005</v>
      </c>
      <c r="B943" s="2">
        <v>45778</v>
      </c>
      <c r="C943" t="s">
        <v>99</v>
      </c>
      <c r="D943" t="s">
        <v>36</v>
      </c>
      <c r="E943" t="s">
        <v>27</v>
      </c>
      <c r="F943">
        <v>64.2</v>
      </c>
      <c r="G943">
        <v>117.4</v>
      </c>
      <c r="H943">
        <v>19.5</v>
      </c>
      <c r="I943">
        <v>13.1</v>
      </c>
      <c r="J943">
        <v>0.49</v>
      </c>
      <c r="K943">
        <v>53.8</v>
      </c>
      <c r="L943">
        <v>30.9</v>
      </c>
      <c r="M943">
        <v>57.8</v>
      </c>
      <c r="N943">
        <v>1.6</v>
      </c>
      <c r="O943">
        <v>240</v>
      </c>
      <c r="P943" t="s">
        <v>28</v>
      </c>
    </row>
    <row r="944" spans="1:16" x14ac:dyDescent="0.25">
      <c r="A944" t="s">
        <v>1006</v>
      </c>
      <c r="B944" s="2">
        <v>45870</v>
      </c>
      <c r="C944" t="s">
        <v>99</v>
      </c>
      <c r="D944" t="s">
        <v>36</v>
      </c>
      <c r="E944" t="s">
        <v>55</v>
      </c>
      <c r="F944">
        <v>85.3</v>
      </c>
      <c r="G944">
        <v>42.6</v>
      </c>
      <c r="H944">
        <v>41.9</v>
      </c>
      <c r="I944">
        <v>9.9</v>
      </c>
      <c r="J944">
        <v>0.78</v>
      </c>
      <c r="K944">
        <v>75.3</v>
      </c>
      <c r="L944">
        <v>35.200000000000003</v>
      </c>
      <c r="M944">
        <v>53.2</v>
      </c>
      <c r="N944">
        <v>2.2999999999999998</v>
      </c>
      <c r="O944">
        <v>258</v>
      </c>
      <c r="P944" t="s">
        <v>28</v>
      </c>
    </row>
    <row r="945" spans="1:16" x14ac:dyDescent="0.25">
      <c r="A945" t="s">
        <v>1007</v>
      </c>
      <c r="B945" s="2">
        <v>45961</v>
      </c>
      <c r="C945" t="s">
        <v>30</v>
      </c>
      <c r="D945" t="s">
        <v>31</v>
      </c>
      <c r="E945" t="s">
        <v>32</v>
      </c>
      <c r="F945">
        <v>38.1</v>
      </c>
      <c r="G945">
        <v>132.5</v>
      </c>
      <c r="H945">
        <v>26.4</v>
      </c>
      <c r="I945">
        <v>14.8</v>
      </c>
      <c r="J945">
        <v>0.23</v>
      </c>
      <c r="K945">
        <v>8.8000000000000007</v>
      </c>
      <c r="L945">
        <v>28.3</v>
      </c>
      <c r="M945">
        <v>77.400000000000006</v>
      </c>
      <c r="N945">
        <v>1.9</v>
      </c>
      <c r="O945">
        <v>188</v>
      </c>
      <c r="P945" t="s">
        <v>33</v>
      </c>
    </row>
    <row r="946" spans="1:16" x14ac:dyDescent="0.25">
      <c r="A946" t="s">
        <v>1008</v>
      </c>
      <c r="B946" s="2">
        <v>45970</v>
      </c>
      <c r="C946" t="s">
        <v>50</v>
      </c>
      <c r="D946" t="s">
        <v>31</v>
      </c>
      <c r="E946" t="s">
        <v>61</v>
      </c>
      <c r="F946">
        <v>25.3</v>
      </c>
      <c r="G946">
        <v>75</v>
      </c>
      <c r="H946">
        <v>22.7</v>
      </c>
      <c r="I946">
        <v>19.3</v>
      </c>
      <c r="J946">
        <v>0.86</v>
      </c>
      <c r="K946">
        <v>38.700000000000003</v>
      </c>
      <c r="L946">
        <v>25.7</v>
      </c>
      <c r="M946">
        <v>48.1</v>
      </c>
      <c r="N946">
        <v>1.9</v>
      </c>
      <c r="O946">
        <v>160</v>
      </c>
      <c r="P946" t="s">
        <v>33</v>
      </c>
    </row>
    <row r="947" spans="1:16" x14ac:dyDescent="0.25">
      <c r="A947" t="s">
        <v>1009</v>
      </c>
      <c r="B947" s="2">
        <v>45935</v>
      </c>
      <c r="C947" t="s">
        <v>93</v>
      </c>
      <c r="D947" t="s">
        <v>36</v>
      </c>
      <c r="E947" t="s">
        <v>68</v>
      </c>
      <c r="F947">
        <v>14.7</v>
      </c>
      <c r="G947">
        <v>119.5</v>
      </c>
      <c r="H947">
        <v>76.099999999999994</v>
      </c>
      <c r="I947">
        <v>4.3</v>
      </c>
      <c r="J947">
        <v>0.28000000000000003</v>
      </c>
      <c r="K947">
        <v>24.1</v>
      </c>
      <c r="L947">
        <v>25.6</v>
      </c>
      <c r="M947">
        <v>64.7</v>
      </c>
      <c r="N947">
        <v>1.7</v>
      </c>
      <c r="O947">
        <v>183</v>
      </c>
      <c r="P947" t="s">
        <v>33</v>
      </c>
    </row>
    <row r="948" spans="1:16" x14ac:dyDescent="0.25">
      <c r="A948" t="s">
        <v>1010</v>
      </c>
      <c r="B948" s="2">
        <v>45880</v>
      </c>
      <c r="C948" t="s">
        <v>30</v>
      </c>
      <c r="D948" t="s">
        <v>31</v>
      </c>
      <c r="E948" t="s">
        <v>45</v>
      </c>
      <c r="F948">
        <v>44</v>
      </c>
      <c r="G948">
        <v>37.1</v>
      </c>
      <c r="H948">
        <v>9.1999999999999993</v>
      </c>
      <c r="I948">
        <v>15.4</v>
      </c>
      <c r="J948">
        <v>0.68</v>
      </c>
      <c r="K948">
        <v>15.4</v>
      </c>
      <c r="L948">
        <v>19.600000000000001</v>
      </c>
      <c r="M948">
        <v>67</v>
      </c>
      <c r="N948">
        <v>3.1</v>
      </c>
      <c r="O948">
        <v>137</v>
      </c>
      <c r="P948" t="s">
        <v>33</v>
      </c>
    </row>
    <row r="949" spans="1:16" x14ac:dyDescent="0.25">
      <c r="A949" t="s">
        <v>1011</v>
      </c>
      <c r="B949" s="2">
        <v>45775</v>
      </c>
      <c r="C949" t="s">
        <v>54</v>
      </c>
      <c r="D949" t="s">
        <v>18</v>
      </c>
      <c r="E949" t="s">
        <v>27</v>
      </c>
      <c r="F949">
        <v>35.299999999999997</v>
      </c>
      <c r="G949">
        <v>71.8</v>
      </c>
      <c r="H949">
        <v>18.399999999999999</v>
      </c>
      <c r="I949">
        <v>30.4</v>
      </c>
      <c r="J949">
        <v>1.68</v>
      </c>
      <c r="K949">
        <v>20.7</v>
      </c>
      <c r="L949">
        <v>34.4</v>
      </c>
      <c r="M949">
        <v>44.1</v>
      </c>
      <c r="N949">
        <v>3.6</v>
      </c>
      <c r="O949">
        <v>190</v>
      </c>
      <c r="P949" t="s">
        <v>33</v>
      </c>
    </row>
    <row r="950" spans="1:16" x14ac:dyDescent="0.25">
      <c r="A950" t="s">
        <v>1012</v>
      </c>
      <c r="B950" s="2">
        <v>45746</v>
      </c>
      <c r="C950" t="s">
        <v>54</v>
      </c>
      <c r="D950" t="s">
        <v>18</v>
      </c>
      <c r="E950" t="s">
        <v>68</v>
      </c>
      <c r="F950">
        <v>44.7</v>
      </c>
      <c r="G950">
        <v>88.9</v>
      </c>
      <c r="H950">
        <v>14.8</v>
      </c>
      <c r="I950">
        <v>8.6</v>
      </c>
      <c r="J950">
        <v>0.78</v>
      </c>
      <c r="K950">
        <v>23.7</v>
      </c>
      <c r="L950">
        <v>22.8</v>
      </c>
      <c r="M950">
        <v>78.8</v>
      </c>
      <c r="N950">
        <v>4.4000000000000004</v>
      </c>
      <c r="O950">
        <v>177</v>
      </c>
      <c r="P950" t="s">
        <v>33</v>
      </c>
    </row>
    <row r="951" spans="1:16" x14ac:dyDescent="0.25">
      <c r="A951" t="s">
        <v>1013</v>
      </c>
      <c r="B951" s="2">
        <v>45841</v>
      </c>
      <c r="C951" t="s">
        <v>35</v>
      </c>
      <c r="D951" t="s">
        <v>36</v>
      </c>
      <c r="E951" t="s">
        <v>91</v>
      </c>
      <c r="F951">
        <v>25.1</v>
      </c>
      <c r="G951">
        <v>55.8</v>
      </c>
      <c r="H951">
        <v>35.200000000000003</v>
      </c>
      <c r="I951">
        <v>4.4000000000000004</v>
      </c>
      <c r="J951">
        <v>0.32</v>
      </c>
      <c r="K951">
        <v>10.3</v>
      </c>
      <c r="L951">
        <v>42.3</v>
      </c>
      <c r="M951">
        <v>52.6</v>
      </c>
      <c r="N951">
        <v>1.2</v>
      </c>
      <c r="O951">
        <v>120</v>
      </c>
      <c r="P951" t="s">
        <v>33</v>
      </c>
    </row>
    <row r="952" spans="1:16" x14ac:dyDescent="0.25">
      <c r="A952" t="s">
        <v>1014</v>
      </c>
      <c r="B952" s="2">
        <v>46019</v>
      </c>
      <c r="C952" t="s">
        <v>50</v>
      </c>
      <c r="D952" t="s">
        <v>31</v>
      </c>
      <c r="E952" t="s">
        <v>70</v>
      </c>
      <c r="F952">
        <v>39.700000000000003</v>
      </c>
      <c r="G952">
        <v>64.400000000000006</v>
      </c>
      <c r="H952">
        <v>32.299999999999997</v>
      </c>
      <c r="I952">
        <v>11.2</v>
      </c>
      <c r="J952">
        <v>1.25</v>
      </c>
      <c r="K952">
        <v>16.399999999999999</v>
      </c>
      <c r="L952">
        <v>24.8</v>
      </c>
      <c r="M952">
        <v>55.4</v>
      </c>
      <c r="N952">
        <v>2</v>
      </c>
      <c r="O952">
        <v>178</v>
      </c>
      <c r="P952" t="s">
        <v>33</v>
      </c>
    </row>
    <row r="953" spans="1:16" x14ac:dyDescent="0.25">
      <c r="A953" t="s">
        <v>1015</v>
      </c>
      <c r="B953" s="2">
        <v>45862</v>
      </c>
      <c r="C953" t="s">
        <v>17</v>
      </c>
      <c r="D953" t="s">
        <v>18</v>
      </c>
      <c r="E953" t="s">
        <v>91</v>
      </c>
      <c r="F953">
        <v>36.700000000000003</v>
      </c>
      <c r="G953">
        <v>158.4</v>
      </c>
      <c r="H953">
        <v>28.7</v>
      </c>
      <c r="I953">
        <v>29.1</v>
      </c>
      <c r="J953">
        <v>1.52</v>
      </c>
      <c r="K953">
        <v>44.3</v>
      </c>
      <c r="L953">
        <v>26.7</v>
      </c>
      <c r="M953">
        <v>62.2</v>
      </c>
      <c r="N953">
        <v>4.4000000000000004</v>
      </c>
      <c r="O953">
        <v>263</v>
      </c>
      <c r="P953" t="s">
        <v>28</v>
      </c>
    </row>
    <row r="954" spans="1:16" x14ac:dyDescent="0.25">
      <c r="A954" t="s">
        <v>1016</v>
      </c>
      <c r="B954" s="2">
        <v>45803</v>
      </c>
      <c r="C954" t="s">
        <v>22</v>
      </c>
      <c r="D954" t="s">
        <v>23</v>
      </c>
      <c r="E954" t="s">
        <v>43</v>
      </c>
      <c r="F954">
        <v>39.5</v>
      </c>
      <c r="G954">
        <v>71.099999999999994</v>
      </c>
      <c r="H954">
        <v>30.2</v>
      </c>
      <c r="I954">
        <v>4.9000000000000004</v>
      </c>
      <c r="J954">
        <v>0.27</v>
      </c>
      <c r="K954">
        <v>34.299999999999997</v>
      </c>
      <c r="L954">
        <v>34.4</v>
      </c>
      <c r="M954">
        <v>53.6</v>
      </c>
      <c r="N954">
        <v>2.6</v>
      </c>
      <c r="O954">
        <v>159</v>
      </c>
      <c r="P954" t="s">
        <v>33</v>
      </c>
    </row>
    <row r="955" spans="1:16" x14ac:dyDescent="0.25">
      <c r="A955" t="s">
        <v>1017</v>
      </c>
      <c r="B955" s="2">
        <v>45921</v>
      </c>
      <c r="C955" t="s">
        <v>17</v>
      </c>
      <c r="D955" t="s">
        <v>18</v>
      </c>
      <c r="E955" t="s">
        <v>70</v>
      </c>
      <c r="F955">
        <v>69.7</v>
      </c>
      <c r="G955">
        <v>184.7</v>
      </c>
      <c r="H955">
        <v>17.2</v>
      </c>
      <c r="I955">
        <v>15.8</v>
      </c>
      <c r="J955">
        <v>0.38</v>
      </c>
      <c r="K955">
        <v>34</v>
      </c>
      <c r="L955">
        <v>39.1</v>
      </c>
      <c r="M955">
        <v>98</v>
      </c>
      <c r="N955">
        <v>3.5</v>
      </c>
      <c r="O955">
        <v>281</v>
      </c>
      <c r="P955" t="s">
        <v>28</v>
      </c>
    </row>
    <row r="956" spans="1:16" x14ac:dyDescent="0.25">
      <c r="A956" t="s">
        <v>1018</v>
      </c>
      <c r="B956" s="2">
        <v>45713</v>
      </c>
      <c r="C956" t="s">
        <v>54</v>
      </c>
      <c r="D956" t="s">
        <v>18</v>
      </c>
      <c r="E956" t="s">
        <v>32</v>
      </c>
      <c r="F956">
        <v>46.8</v>
      </c>
      <c r="G956">
        <v>146.5</v>
      </c>
      <c r="H956">
        <v>43.5</v>
      </c>
      <c r="I956">
        <v>2</v>
      </c>
      <c r="J956">
        <v>3.08</v>
      </c>
      <c r="K956">
        <v>43.1</v>
      </c>
      <c r="L956">
        <v>29.8</v>
      </c>
      <c r="M956">
        <v>51.3</v>
      </c>
      <c r="N956">
        <v>2.2999999999999998</v>
      </c>
      <c r="O956">
        <v>303</v>
      </c>
      <c r="P956" t="s">
        <v>20</v>
      </c>
    </row>
    <row r="957" spans="1:16" x14ac:dyDescent="0.25">
      <c r="A957" t="s">
        <v>1019</v>
      </c>
      <c r="B957" s="2">
        <v>45706</v>
      </c>
      <c r="C957" t="s">
        <v>54</v>
      </c>
      <c r="D957" t="s">
        <v>18</v>
      </c>
      <c r="E957" t="s">
        <v>91</v>
      </c>
      <c r="F957">
        <v>43.5</v>
      </c>
      <c r="G957">
        <v>77.599999999999994</v>
      </c>
      <c r="H957">
        <v>35.799999999999997</v>
      </c>
      <c r="I957">
        <v>16.899999999999999</v>
      </c>
      <c r="J957">
        <v>1.37</v>
      </c>
      <c r="K957">
        <v>9.1999999999999993</v>
      </c>
      <c r="L957">
        <v>29.9</v>
      </c>
      <c r="M957">
        <v>56.5</v>
      </c>
      <c r="N957">
        <v>3.8</v>
      </c>
      <c r="O957">
        <v>199</v>
      </c>
      <c r="P957" t="s">
        <v>33</v>
      </c>
    </row>
    <row r="958" spans="1:16" x14ac:dyDescent="0.25">
      <c r="A958" t="s">
        <v>1020</v>
      </c>
      <c r="B958" s="2">
        <v>45792</v>
      </c>
      <c r="C958" t="s">
        <v>17</v>
      </c>
      <c r="D958" t="s">
        <v>18</v>
      </c>
      <c r="E958" t="s">
        <v>45</v>
      </c>
      <c r="F958">
        <v>31.9</v>
      </c>
      <c r="G958">
        <v>87.6</v>
      </c>
      <c r="H958">
        <v>49.5</v>
      </c>
      <c r="I958">
        <v>25.1</v>
      </c>
      <c r="J958">
        <v>0.54</v>
      </c>
      <c r="K958">
        <v>27.6</v>
      </c>
      <c r="L958">
        <v>28.6</v>
      </c>
      <c r="M958">
        <v>69.7</v>
      </c>
      <c r="N958">
        <v>3.1</v>
      </c>
      <c r="O958">
        <v>191</v>
      </c>
      <c r="P958" t="s">
        <v>33</v>
      </c>
    </row>
    <row r="959" spans="1:16" x14ac:dyDescent="0.25">
      <c r="A959" t="s">
        <v>1021</v>
      </c>
      <c r="B959" s="2">
        <v>45933</v>
      </c>
      <c r="C959" t="s">
        <v>64</v>
      </c>
      <c r="D959" t="s">
        <v>36</v>
      </c>
      <c r="E959" t="s">
        <v>27</v>
      </c>
      <c r="F959">
        <v>109.4</v>
      </c>
      <c r="G959">
        <v>70.099999999999994</v>
      </c>
      <c r="H959">
        <v>16.7</v>
      </c>
      <c r="I959">
        <v>37.200000000000003</v>
      </c>
      <c r="J959">
        <v>0.86</v>
      </c>
      <c r="K959">
        <v>11.1</v>
      </c>
      <c r="L959">
        <v>31</v>
      </c>
      <c r="M959">
        <v>69.8</v>
      </c>
      <c r="N959">
        <v>3.8</v>
      </c>
      <c r="O959">
        <v>287</v>
      </c>
      <c r="P959" t="s">
        <v>28</v>
      </c>
    </row>
    <row r="960" spans="1:16" x14ac:dyDescent="0.25">
      <c r="A960" t="s">
        <v>1022</v>
      </c>
      <c r="B960" s="2">
        <v>45966</v>
      </c>
      <c r="C960" t="s">
        <v>38</v>
      </c>
      <c r="D960" t="s">
        <v>39</v>
      </c>
      <c r="E960" t="s">
        <v>19</v>
      </c>
      <c r="F960">
        <v>24.6</v>
      </c>
      <c r="G960">
        <v>78.3</v>
      </c>
      <c r="H960">
        <v>29</v>
      </c>
      <c r="I960">
        <v>9.9</v>
      </c>
      <c r="J960">
        <v>0.76</v>
      </c>
      <c r="K960">
        <v>28.2</v>
      </c>
      <c r="L960">
        <v>23</v>
      </c>
      <c r="M960">
        <v>45.9</v>
      </c>
      <c r="N960">
        <v>1.4</v>
      </c>
      <c r="O960">
        <v>152</v>
      </c>
      <c r="P960" t="s">
        <v>33</v>
      </c>
    </row>
    <row r="961" spans="1:16" x14ac:dyDescent="0.25">
      <c r="A961" t="s">
        <v>1023</v>
      </c>
      <c r="B961" s="2">
        <v>45693</v>
      </c>
      <c r="C961" t="s">
        <v>17</v>
      </c>
      <c r="D961" t="s">
        <v>18</v>
      </c>
      <c r="E961" t="s">
        <v>58</v>
      </c>
      <c r="F961">
        <v>112.6</v>
      </c>
      <c r="G961">
        <v>63.5</v>
      </c>
      <c r="H961">
        <v>12.2</v>
      </c>
      <c r="I961">
        <v>18.100000000000001</v>
      </c>
      <c r="J961">
        <v>0.57999999999999996</v>
      </c>
      <c r="K961">
        <v>39.1</v>
      </c>
      <c r="L961">
        <v>19.8</v>
      </c>
      <c r="M961">
        <v>57</v>
      </c>
      <c r="N961">
        <v>2.6</v>
      </c>
      <c r="O961">
        <v>276</v>
      </c>
      <c r="P961" t="s">
        <v>28</v>
      </c>
    </row>
    <row r="962" spans="1:16" x14ac:dyDescent="0.25">
      <c r="A962" t="s">
        <v>1024</v>
      </c>
      <c r="B962" s="2">
        <v>45709</v>
      </c>
      <c r="C962" t="s">
        <v>1025</v>
      </c>
      <c r="D962" t="s">
        <v>23</v>
      </c>
      <c r="E962" t="s">
        <v>27</v>
      </c>
      <c r="F962">
        <v>99.7</v>
      </c>
      <c r="G962">
        <v>47</v>
      </c>
      <c r="H962">
        <v>42.6</v>
      </c>
      <c r="I962">
        <v>4.4000000000000004</v>
      </c>
      <c r="J962">
        <v>2.79</v>
      </c>
      <c r="K962">
        <v>40.5</v>
      </c>
      <c r="L962">
        <v>24.5</v>
      </c>
      <c r="M962">
        <v>65.3</v>
      </c>
      <c r="N962">
        <v>2.8</v>
      </c>
      <c r="O962">
        <v>315</v>
      </c>
      <c r="P962" t="s">
        <v>20</v>
      </c>
    </row>
    <row r="963" spans="1:16" x14ac:dyDescent="0.25">
      <c r="A963" t="s">
        <v>1026</v>
      </c>
      <c r="B963" s="2">
        <v>45872</v>
      </c>
      <c r="C963" t="s">
        <v>93</v>
      </c>
      <c r="D963" t="s">
        <v>36</v>
      </c>
      <c r="E963" t="s">
        <v>70</v>
      </c>
      <c r="F963">
        <v>42.3</v>
      </c>
      <c r="G963">
        <v>59.2</v>
      </c>
      <c r="H963">
        <v>15.6</v>
      </c>
      <c r="I963">
        <v>15.8</v>
      </c>
      <c r="J963">
        <v>1.03</v>
      </c>
      <c r="K963">
        <v>32.200000000000003</v>
      </c>
      <c r="L963">
        <v>29.2</v>
      </c>
      <c r="M963">
        <v>61.5</v>
      </c>
      <c r="N963">
        <v>2.1</v>
      </c>
      <c r="O963">
        <v>170</v>
      </c>
      <c r="P963" t="s">
        <v>33</v>
      </c>
    </row>
    <row r="964" spans="1:16" x14ac:dyDescent="0.25">
      <c r="A964" t="s">
        <v>1027</v>
      </c>
      <c r="B964" s="2">
        <v>45927</v>
      </c>
      <c r="C964" t="s">
        <v>93</v>
      </c>
      <c r="D964" t="s">
        <v>36</v>
      </c>
      <c r="E964" t="s">
        <v>68</v>
      </c>
      <c r="F964">
        <v>54.9</v>
      </c>
      <c r="G964">
        <v>208.8</v>
      </c>
      <c r="H964">
        <v>23.7</v>
      </c>
      <c r="I964">
        <v>28.5</v>
      </c>
      <c r="J964">
        <v>0.16</v>
      </c>
      <c r="K964">
        <v>27.1</v>
      </c>
      <c r="L964">
        <v>21.4</v>
      </c>
      <c r="M964">
        <v>48.3</v>
      </c>
      <c r="N964">
        <v>1.6</v>
      </c>
      <c r="O964">
        <v>279</v>
      </c>
      <c r="P964" t="s">
        <v>28</v>
      </c>
    </row>
    <row r="965" spans="1:16" x14ac:dyDescent="0.25">
      <c r="A965" t="s">
        <v>1028</v>
      </c>
      <c r="B965" s="2">
        <v>46002</v>
      </c>
      <c r="C965" t="s">
        <v>99</v>
      </c>
      <c r="D965" t="s">
        <v>36</v>
      </c>
      <c r="E965" t="s">
        <v>24</v>
      </c>
      <c r="F965">
        <v>113.6</v>
      </c>
      <c r="G965">
        <v>70.099999999999994</v>
      </c>
      <c r="H965">
        <v>7.8</v>
      </c>
      <c r="I965">
        <v>9.6999999999999993</v>
      </c>
      <c r="J965">
        <v>2.44</v>
      </c>
      <c r="K965">
        <v>58.5</v>
      </c>
      <c r="L965">
        <v>25.5</v>
      </c>
      <c r="M965">
        <v>63.5</v>
      </c>
      <c r="N965">
        <v>2.5</v>
      </c>
      <c r="O965">
        <v>328</v>
      </c>
      <c r="P965" t="s">
        <v>20</v>
      </c>
    </row>
    <row r="966" spans="1:16" x14ac:dyDescent="0.25">
      <c r="A966" t="s">
        <v>1029</v>
      </c>
      <c r="B966" s="2">
        <v>45808</v>
      </c>
      <c r="C966" t="s">
        <v>42</v>
      </c>
      <c r="D966" t="s">
        <v>23</v>
      </c>
      <c r="E966" t="s">
        <v>68</v>
      </c>
      <c r="F966">
        <v>50.5</v>
      </c>
      <c r="G966">
        <v>87.4</v>
      </c>
      <c r="H966">
        <v>68.7</v>
      </c>
      <c r="I966">
        <v>8.8000000000000007</v>
      </c>
      <c r="J966">
        <v>1.6</v>
      </c>
      <c r="K966">
        <v>9.3000000000000007</v>
      </c>
      <c r="L966">
        <v>33.6</v>
      </c>
      <c r="M966">
        <v>65</v>
      </c>
      <c r="N966">
        <v>1.6</v>
      </c>
      <c r="O966">
        <v>243</v>
      </c>
      <c r="P966" t="s">
        <v>28</v>
      </c>
    </row>
    <row r="967" spans="1:16" x14ac:dyDescent="0.25">
      <c r="A967" t="s">
        <v>1030</v>
      </c>
      <c r="B967" s="2">
        <v>45720</v>
      </c>
      <c r="C967" t="s">
        <v>22</v>
      </c>
      <c r="D967" t="s">
        <v>23</v>
      </c>
      <c r="E967" t="s">
        <v>43</v>
      </c>
      <c r="F967">
        <v>27.3</v>
      </c>
      <c r="G967">
        <v>58.5</v>
      </c>
      <c r="H967">
        <v>8</v>
      </c>
      <c r="I967">
        <v>14.4</v>
      </c>
      <c r="J967">
        <v>0.6</v>
      </c>
      <c r="K967">
        <v>51.1</v>
      </c>
      <c r="L967">
        <v>25</v>
      </c>
      <c r="M967">
        <v>74.2</v>
      </c>
      <c r="N967">
        <v>0.6</v>
      </c>
      <c r="O967">
        <v>136</v>
      </c>
      <c r="P967" t="s">
        <v>33</v>
      </c>
    </row>
    <row r="968" spans="1:16" x14ac:dyDescent="0.25">
      <c r="A968" t="s">
        <v>1031</v>
      </c>
      <c r="B968" s="2">
        <v>45750</v>
      </c>
      <c r="C968" t="s">
        <v>67</v>
      </c>
      <c r="D968" t="s">
        <v>18</v>
      </c>
      <c r="E968" t="s">
        <v>27</v>
      </c>
      <c r="F968">
        <v>92</v>
      </c>
      <c r="G968">
        <v>95.8</v>
      </c>
      <c r="H968">
        <v>11.9</v>
      </c>
      <c r="I968">
        <v>2.6</v>
      </c>
      <c r="J968">
        <v>0.49</v>
      </c>
      <c r="K968">
        <v>27.7</v>
      </c>
      <c r="L968">
        <v>25.3</v>
      </c>
      <c r="M968">
        <v>71.3</v>
      </c>
      <c r="N968">
        <v>3.2</v>
      </c>
      <c r="O968">
        <v>246</v>
      </c>
      <c r="P968" t="s">
        <v>28</v>
      </c>
    </row>
    <row r="969" spans="1:16" x14ac:dyDescent="0.25">
      <c r="A969" t="s">
        <v>1032</v>
      </c>
      <c r="B969" s="2">
        <v>45940</v>
      </c>
      <c r="C969" t="s">
        <v>38</v>
      </c>
      <c r="D969" t="s">
        <v>39</v>
      </c>
      <c r="E969" t="s">
        <v>70</v>
      </c>
      <c r="F969">
        <v>90.2</v>
      </c>
      <c r="G969">
        <v>121.9</v>
      </c>
      <c r="H969">
        <v>31.7</v>
      </c>
      <c r="I969">
        <v>17.8</v>
      </c>
      <c r="J969">
        <v>1</v>
      </c>
      <c r="K969">
        <v>45.4</v>
      </c>
      <c r="L969">
        <v>25.2</v>
      </c>
      <c r="M969">
        <v>72.3</v>
      </c>
      <c r="N969">
        <v>1.1000000000000001</v>
      </c>
      <c r="O969">
        <v>307</v>
      </c>
      <c r="P969" t="s">
        <v>20</v>
      </c>
    </row>
    <row r="970" spans="1:16" x14ac:dyDescent="0.25">
      <c r="A970" t="s">
        <v>1033</v>
      </c>
      <c r="B970" s="2">
        <v>45897</v>
      </c>
      <c r="C970" t="s">
        <v>17</v>
      </c>
      <c r="D970" t="s">
        <v>18</v>
      </c>
      <c r="E970" t="s">
        <v>74</v>
      </c>
      <c r="F970">
        <v>52.8</v>
      </c>
      <c r="G970">
        <v>53.4</v>
      </c>
      <c r="H970">
        <v>60.5</v>
      </c>
      <c r="I970">
        <v>0.8</v>
      </c>
      <c r="J970">
        <v>1.29</v>
      </c>
      <c r="K970">
        <v>13.5</v>
      </c>
      <c r="L970">
        <v>27.6</v>
      </c>
      <c r="M970">
        <v>79.7</v>
      </c>
      <c r="N970">
        <v>2.9</v>
      </c>
      <c r="O970">
        <v>206</v>
      </c>
      <c r="P970" t="s">
        <v>28</v>
      </c>
    </row>
    <row r="971" spans="1:16" x14ac:dyDescent="0.25">
      <c r="A971" t="s">
        <v>1034</v>
      </c>
      <c r="B971" s="2">
        <v>45800</v>
      </c>
      <c r="C971" t="s">
        <v>42</v>
      </c>
      <c r="D971" t="s">
        <v>23</v>
      </c>
      <c r="E971" t="s">
        <v>70</v>
      </c>
      <c r="F971">
        <v>62.4</v>
      </c>
      <c r="G971">
        <v>111.9</v>
      </c>
      <c r="H971">
        <v>47.9</v>
      </c>
      <c r="I971">
        <v>12.7</v>
      </c>
      <c r="J971">
        <v>0.52</v>
      </c>
      <c r="K971">
        <v>7.9</v>
      </c>
      <c r="L971">
        <v>18.8</v>
      </c>
      <c r="M971">
        <v>64.5</v>
      </c>
      <c r="N971">
        <v>3.5</v>
      </c>
      <c r="O971">
        <v>236</v>
      </c>
      <c r="P971" t="s">
        <v>28</v>
      </c>
    </row>
    <row r="972" spans="1:16" x14ac:dyDescent="0.25">
      <c r="A972" t="s">
        <v>1035</v>
      </c>
      <c r="B972" s="2">
        <v>45862</v>
      </c>
      <c r="C972" t="s">
        <v>26</v>
      </c>
      <c r="D972" t="s">
        <v>23</v>
      </c>
      <c r="E972" t="s">
        <v>40</v>
      </c>
      <c r="F972">
        <v>11.2</v>
      </c>
      <c r="G972">
        <v>16.899999999999999</v>
      </c>
      <c r="H972">
        <v>15.7</v>
      </c>
      <c r="I972">
        <v>11.4</v>
      </c>
      <c r="J972">
        <v>0.61</v>
      </c>
      <c r="K972">
        <v>32.1</v>
      </c>
      <c r="L972">
        <v>25.9</v>
      </c>
      <c r="M972">
        <v>45.8</v>
      </c>
      <c r="N972">
        <v>3.2</v>
      </c>
      <c r="O972">
        <v>79</v>
      </c>
      <c r="P972" t="s">
        <v>71</v>
      </c>
    </row>
    <row r="973" spans="1:16" x14ac:dyDescent="0.25">
      <c r="A973" t="s">
        <v>1036</v>
      </c>
      <c r="B973" s="2">
        <v>45743</v>
      </c>
      <c r="C973" t="s">
        <v>67</v>
      </c>
      <c r="D973" t="s">
        <v>18</v>
      </c>
      <c r="E973" t="s">
        <v>74</v>
      </c>
      <c r="F973">
        <v>76.099999999999994</v>
      </c>
      <c r="G973">
        <v>249.8</v>
      </c>
      <c r="H973">
        <v>20.399999999999999</v>
      </c>
      <c r="I973">
        <v>5.5</v>
      </c>
      <c r="J973">
        <v>0.48</v>
      </c>
      <c r="K973">
        <v>71.599999999999994</v>
      </c>
      <c r="L973">
        <v>22</v>
      </c>
      <c r="M973">
        <v>53.6</v>
      </c>
      <c r="N973">
        <v>1</v>
      </c>
      <c r="O973">
        <v>349</v>
      </c>
      <c r="P973" t="s">
        <v>20</v>
      </c>
    </row>
    <row r="974" spans="1:16" x14ac:dyDescent="0.25">
      <c r="A974" t="s">
        <v>1037</v>
      </c>
      <c r="B974" s="2">
        <v>45863</v>
      </c>
      <c r="C974" t="s">
        <v>67</v>
      </c>
      <c r="D974" t="s">
        <v>18</v>
      </c>
      <c r="E974" t="s">
        <v>55</v>
      </c>
      <c r="F974">
        <v>43.9</v>
      </c>
      <c r="G974">
        <v>69.900000000000006</v>
      </c>
      <c r="H974">
        <v>40.5</v>
      </c>
      <c r="I974">
        <v>7.7</v>
      </c>
      <c r="J974">
        <v>0.65</v>
      </c>
      <c r="K974">
        <v>33.9</v>
      </c>
      <c r="L974">
        <v>21.8</v>
      </c>
      <c r="M974">
        <v>55.4</v>
      </c>
      <c r="N974">
        <v>1.5</v>
      </c>
      <c r="O974">
        <v>185</v>
      </c>
      <c r="P974" t="s">
        <v>33</v>
      </c>
    </row>
    <row r="975" spans="1:16" x14ac:dyDescent="0.25">
      <c r="A975" t="s">
        <v>1038</v>
      </c>
      <c r="B975" s="2">
        <v>45845</v>
      </c>
      <c r="C975" t="s">
        <v>26</v>
      </c>
      <c r="D975" t="s">
        <v>23</v>
      </c>
      <c r="E975" t="s">
        <v>70</v>
      </c>
      <c r="F975">
        <v>23</v>
      </c>
      <c r="G975">
        <v>59.2</v>
      </c>
      <c r="H975">
        <v>6.5</v>
      </c>
      <c r="I975">
        <v>15.9</v>
      </c>
      <c r="J975">
        <v>1.1000000000000001</v>
      </c>
      <c r="K975">
        <v>66.099999999999994</v>
      </c>
      <c r="L975">
        <v>17.100000000000001</v>
      </c>
      <c r="M975">
        <v>63.8</v>
      </c>
      <c r="N975">
        <v>2.5</v>
      </c>
      <c r="O975">
        <v>149</v>
      </c>
      <c r="P975" t="s">
        <v>33</v>
      </c>
    </row>
    <row r="976" spans="1:16" x14ac:dyDescent="0.25">
      <c r="A976" t="s">
        <v>1039</v>
      </c>
      <c r="B976" s="2">
        <v>45717</v>
      </c>
      <c r="C976" t="s">
        <v>93</v>
      </c>
      <c r="D976" t="s">
        <v>36</v>
      </c>
      <c r="E976" t="s">
        <v>74</v>
      </c>
      <c r="F976">
        <v>36.5</v>
      </c>
      <c r="G976">
        <v>46.2</v>
      </c>
      <c r="H976">
        <v>60.4</v>
      </c>
      <c r="I976">
        <v>7.7</v>
      </c>
      <c r="J976">
        <v>1.72</v>
      </c>
      <c r="K976">
        <v>48.9</v>
      </c>
      <c r="L976">
        <v>29.8</v>
      </c>
      <c r="M976">
        <v>54.4</v>
      </c>
      <c r="N976">
        <v>3.5</v>
      </c>
      <c r="O976">
        <v>207</v>
      </c>
      <c r="P976" t="s">
        <v>28</v>
      </c>
    </row>
    <row r="977" spans="1:16" x14ac:dyDescent="0.25">
      <c r="A977" t="s">
        <v>1040</v>
      </c>
      <c r="B977" s="2">
        <v>45727</v>
      </c>
      <c r="C977" t="s">
        <v>38</v>
      </c>
      <c r="D977" t="s">
        <v>39</v>
      </c>
      <c r="E977" t="s">
        <v>58</v>
      </c>
      <c r="F977">
        <v>72.900000000000006</v>
      </c>
      <c r="G977">
        <v>46.4</v>
      </c>
      <c r="H977">
        <v>30.4</v>
      </c>
      <c r="I977">
        <v>12.3</v>
      </c>
      <c r="J977">
        <v>0.87</v>
      </c>
      <c r="K977">
        <v>17.7</v>
      </c>
      <c r="L977">
        <v>20.6</v>
      </c>
      <c r="M977">
        <v>72.900000000000006</v>
      </c>
      <c r="N977">
        <v>0.4</v>
      </c>
      <c r="O977">
        <v>209</v>
      </c>
      <c r="P977" t="s">
        <v>28</v>
      </c>
    </row>
    <row r="978" spans="1:16" x14ac:dyDescent="0.25">
      <c r="A978" t="s">
        <v>1041</v>
      </c>
      <c r="B978" s="2">
        <v>45951</v>
      </c>
      <c r="C978" t="s">
        <v>30</v>
      </c>
      <c r="D978" t="s">
        <v>31</v>
      </c>
      <c r="E978" t="s">
        <v>43</v>
      </c>
      <c r="F978">
        <v>55.4</v>
      </c>
      <c r="G978">
        <v>141.1</v>
      </c>
      <c r="H978">
        <v>35.5</v>
      </c>
      <c r="I978">
        <v>11.6</v>
      </c>
      <c r="J978">
        <v>0.73</v>
      </c>
      <c r="K978">
        <v>34.299999999999997</v>
      </c>
      <c r="L978">
        <v>25.3</v>
      </c>
      <c r="M978">
        <v>66.3</v>
      </c>
      <c r="N978">
        <v>1.6</v>
      </c>
      <c r="O978">
        <v>251</v>
      </c>
      <c r="P978" t="s">
        <v>28</v>
      </c>
    </row>
    <row r="979" spans="1:16" x14ac:dyDescent="0.25">
      <c r="A979" t="s">
        <v>1042</v>
      </c>
      <c r="B979" s="2">
        <v>45820</v>
      </c>
      <c r="C979" t="s">
        <v>17</v>
      </c>
      <c r="D979" t="s">
        <v>18</v>
      </c>
      <c r="E979" t="s">
        <v>24</v>
      </c>
      <c r="F979">
        <v>43.9</v>
      </c>
      <c r="G979">
        <v>146.9</v>
      </c>
      <c r="H979">
        <v>73.3</v>
      </c>
      <c r="I979">
        <v>8.1</v>
      </c>
      <c r="J979">
        <v>0.01</v>
      </c>
      <c r="K979">
        <v>15.1</v>
      </c>
      <c r="L979">
        <v>35.9</v>
      </c>
      <c r="M979">
        <v>64</v>
      </c>
      <c r="N979">
        <v>1.7</v>
      </c>
      <c r="O979">
        <v>237</v>
      </c>
      <c r="P979" t="s">
        <v>28</v>
      </c>
    </row>
    <row r="980" spans="1:16" x14ac:dyDescent="0.25">
      <c r="A980" t="s">
        <v>1043</v>
      </c>
      <c r="B980" s="2">
        <v>45707</v>
      </c>
      <c r="C980" t="s">
        <v>26</v>
      </c>
      <c r="D980" t="s">
        <v>23</v>
      </c>
      <c r="E980" t="s">
        <v>24</v>
      </c>
      <c r="F980">
        <v>66.3</v>
      </c>
      <c r="G980">
        <v>31</v>
      </c>
      <c r="H980">
        <v>28.5</v>
      </c>
      <c r="I980">
        <v>25.3</v>
      </c>
      <c r="J980">
        <v>1.1200000000000001</v>
      </c>
      <c r="K980">
        <v>15.8</v>
      </c>
      <c r="L980">
        <v>27.1</v>
      </c>
      <c r="M980">
        <v>55.4</v>
      </c>
      <c r="N980">
        <v>2.5</v>
      </c>
      <c r="O980">
        <v>202</v>
      </c>
      <c r="P980" t="s">
        <v>28</v>
      </c>
    </row>
    <row r="981" spans="1:16" x14ac:dyDescent="0.25">
      <c r="A981" t="s">
        <v>1044</v>
      </c>
      <c r="B981" s="2">
        <v>45871</v>
      </c>
      <c r="C981" t="s">
        <v>22</v>
      </c>
      <c r="D981" t="s">
        <v>23</v>
      </c>
      <c r="E981" t="s">
        <v>19</v>
      </c>
      <c r="F981">
        <v>58.3</v>
      </c>
      <c r="G981">
        <v>222.3</v>
      </c>
      <c r="H981">
        <v>24.5</v>
      </c>
      <c r="I981">
        <v>19.5</v>
      </c>
      <c r="J981">
        <v>0.45</v>
      </c>
      <c r="K981">
        <v>33.4</v>
      </c>
      <c r="L981">
        <v>33</v>
      </c>
      <c r="M981">
        <v>57.7</v>
      </c>
      <c r="N981">
        <v>1.2</v>
      </c>
      <c r="O981">
        <v>297</v>
      </c>
      <c r="P981" t="s">
        <v>28</v>
      </c>
    </row>
    <row r="982" spans="1:16" x14ac:dyDescent="0.25">
      <c r="A982" t="s">
        <v>1045</v>
      </c>
      <c r="B982" s="2">
        <v>45840</v>
      </c>
      <c r="C982" t="s">
        <v>26</v>
      </c>
      <c r="D982" t="s">
        <v>23</v>
      </c>
      <c r="E982" t="s">
        <v>74</v>
      </c>
      <c r="F982">
        <v>27.9</v>
      </c>
      <c r="G982">
        <v>111.3</v>
      </c>
      <c r="H982">
        <v>2.2000000000000002</v>
      </c>
      <c r="I982">
        <v>13.5</v>
      </c>
      <c r="J982">
        <v>1.89</v>
      </c>
      <c r="K982">
        <v>37.700000000000003</v>
      </c>
      <c r="L982">
        <v>23.5</v>
      </c>
      <c r="M982">
        <v>20</v>
      </c>
      <c r="N982">
        <v>0.4</v>
      </c>
      <c r="O982">
        <v>192</v>
      </c>
      <c r="P982" t="s">
        <v>33</v>
      </c>
    </row>
    <row r="983" spans="1:16" x14ac:dyDescent="0.25">
      <c r="A983" t="s">
        <v>1046</v>
      </c>
      <c r="B983" s="2">
        <v>45939</v>
      </c>
      <c r="C983" t="s">
        <v>1047</v>
      </c>
      <c r="D983" t="s">
        <v>39</v>
      </c>
      <c r="E983" t="s">
        <v>27</v>
      </c>
      <c r="F983">
        <v>55.5</v>
      </c>
      <c r="G983">
        <v>140.30000000000001</v>
      </c>
      <c r="H983">
        <v>43.6</v>
      </c>
      <c r="I983">
        <v>18.3</v>
      </c>
      <c r="J983">
        <v>0.61</v>
      </c>
      <c r="K983">
        <v>58.6</v>
      </c>
      <c r="L983">
        <v>27.1</v>
      </c>
      <c r="M983">
        <v>68.900000000000006</v>
      </c>
      <c r="N983">
        <v>2.9</v>
      </c>
      <c r="O983">
        <v>269</v>
      </c>
      <c r="P983" t="s">
        <v>28</v>
      </c>
    </row>
    <row r="984" spans="1:16" x14ac:dyDescent="0.25">
      <c r="A984" t="s">
        <v>1048</v>
      </c>
      <c r="B984" s="2">
        <v>45713</v>
      </c>
      <c r="C984" t="s">
        <v>81</v>
      </c>
      <c r="D984" t="s">
        <v>39</v>
      </c>
      <c r="E984" t="s">
        <v>45</v>
      </c>
      <c r="F984">
        <v>52.2</v>
      </c>
      <c r="G984">
        <v>52.4</v>
      </c>
      <c r="H984">
        <v>18.3</v>
      </c>
      <c r="I984">
        <v>18.2</v>
      </c>
      <c r="J984">
        <v>0.49</v>
      </c>
      <c r="K984">
        <v>80.2</v>
      </c>
      <c r="L984">
        <v>28.5</v>
      </c>
      <c r="M984">
        <v>50.8</v>
      </c>
      <c r="N984">
        <v>3.4</v>
      </c>
      <c r="O984">
        <v>193</v>
      </c>
      <c r="P984" t="s">
        <v>33</v>
      </c>
    </row>
    <row r="985" spans="1:16" x14ac:dyDescent="0.25">
      <c r="A985" t="s">
        <v>1049</v>
      </c>
      <c r="B985" s="2">
        <v>45955</v>
      </c>
      <c r="C985" t="s">
        <v>81</v>
      </c>
      <c r="D985" t="s">
        <v>39</v>
      </c>
      <c r="E985" t="s">
        <v>68</v>
      </c>
      <c r="F985">
        <v>114.4</v>
      </c>
      <c r="G985">
        <v>100.5</v>
      </c>
      <c r="H985">
        <v>5.7</v>
      </c>
      <c r="I985">
        <v>20.3</v>
      </c>
      <c r="J985">
        <v>1.76</v>
      </c>
      <c r="K985">
        <v>40.700000000000003</v>
      </c>
      <c r="L985">
        <v>29.1</v>
      </c>
      <c r="M985">
        <v>67.3</v>
      </c>
      <c r="N985">
        <v>3.1</v>
      </c>
      <c r="O985">
        <v>329</v>
      </c>
      <c r="P985" t="s">
        <v>20</v>
      </c>
    </row>
    <row r="986" spans="1:16" x14ac:dyDescent="0.25">
      <c r="A986" t="s">
        <v>1050</v>
      </c>
      <c r="B986" s="2">
        <v>45989</v>
      </c>
      <c r="C986" t="s">
        <v>93</v>
      </c>
      <c r="D986" t="s">
        <v>36</v>
      </c>
      <c r="E986" t="s">
        <v>68</v>
      </c>
      <c r="F986">
        <v>16.3</v>
      </c>
      <c r="G986">
        <v>112.3</v>
      </c>
      <c r="H986">
        <v>27.9</v>
      </c>
      <c r="I986">
        <v>15.5</v>
      </c>
      <c r="J986">
        <v>0.19</v>
      </c>
      <c r="K986">
        <v>41.8</v>
      </c>
      <c r="L986">
        <v>27.8</v>
      </c>
      <c r="M986">
        <v>75.8</v>
      </c>
      <c r="N986">
        <v>2</v>
      </c>
      <c r="O986">
        <v>156</v>
      </c>
      <c r="P986" t="s">
        <v>33</v>
      </c>
    </row>
    <row r="987" spans="1:16" x14ac:dyDescent="0.25">
      <c r="A987" t="s">
        <v>1051</v>
      </c>
      <c r="B987" s="2">
        <v>45982</v>
      </c>
      <c r="C987" t="s">
        <v>50</v>
      </c>
      <c r="D987" t="s">
        <v>31</v>
      </c>
      <c r="E987" t="s">
        <v>32</v>
      </c>
      <c r="F987">
        <v>18.2</v>
      </c>
      <c r="G987">
        <v>39.4</v>
      </c>
      <c r="H987">
        <v>36.700000000000003</v>
      </c>
      <c r="I987">
        <v>8.8000000000000007</v>
      </c>
      <c r="J987">
        <v>0.85</v>
      </c>
      <c r="K987">
        <v>36.1</v>
      </c>
      <c r="L987">
        <v>26.3</v>
      </c>
      <c r="M987">
        <v>66.2</v>
      </c>
      <c r="N987">
        <v>5.0999999999999996</v>
      </c>
      <c r="O987">
        <v>128</v>
      </c>
      <c r="P987" t="s">
        <v>33</v>
      </c>
    </row>
    <row r="988" spans="1:16" x14ac:dyDescent="0.25">
      <c r="A988" t="s">
        <v>1052</v>
      </c>
      <c r="B988" s="2">
        <v>45714</v>
      </c>
      <c r="C988" t="s">
        <v>54</v>
      </c>
      <c r="D988" t="s">
        <v>18</v>
      </c>
      <c r="E988" t="s">
        <v>55</v>
      </c>
      <c r="F988">
        <v>109.4</v>
      </c>
      <c r="G988">
        <v>54.6</v>
      </c>
      <c r="H988">
        <v>107.8</v>
      </c>
      <c r="I988">
        <v>2.4</v>
      </c>
      <c r="J988">
        <v>2.2999999999999998</v>
      </c>
      <c r="K988">
        <v>65.599999999999994</v>
      </c>
      <c r="L988">
        <v>24</v>
      </c>
      <c r="M988">
        <v>59.6</v>
      </c>
      <c r="N988">
        <v>3.1</v>
      </c>
      <c r="O988">
        <v>385</v>
      </c>
      <c r="P988" t="s">
        <v>20</v>
      </c>
    </row>
    <row r="989" spans="1:16" x14ac:dyDescent="0.25">
      <c r="A989" t="s">
        <v>1053</v>
      </c>
      <c r="B989" s="2">
        <v>45835</v>
      </c>
      <c r="C989" t="s">
        <v>52</v>
      </c>
      <c r="D989" t="s">
        <v>31</v>
      </c>
      <c r="E989" t="s">
        <v>40</v>
      </c>
      <c r="F989">
        <v>19.600000000000001</v>
      </c>
      <c r="G989">
        <v>112.9</v>
      </c>
      <c r="H989">
        <v>10.1</v>
      </c>
      <c r="I989">
        <v>42.6</v>
      </c>
      <c r="J989">
        <v>0.57999999999999996</v>
      </c>
      <c r="K989">
        <v>16.100000000000001</v>
      </c>
      <c r="L989">
        <v>19.7</v>
      </c>
      <c r="M989">
        <v>73.099999999999994</v>
      </c>
      <c r="N989">
        <v>2.4</v>
      </c>
      <c r="O989">
        <v>164</v>
      </c>
      <c r="P989" t="s">
        <v>33</v>
      </c>
    </row>
    <row r="990" spans="1:16" x14ac:dyDescent="0.25">
      <c r="A990" t="s">
        <v>1054</v>
      </c>
      <c r="B990" s="2">
        <v>45785</v>
      </c>
      <c r="C990" t="s">
        <v>67</v>
      </c>
      <c r="D990" t="s">
        <v>18</v>
      </c>
      <c r="E990" t="s">
        <v>27</v>
      </c>
      <c r="F990">
        <v>19.2</v>
      </c>
      <c r="G990">
        <v>83.1</v>
      </c>
      <c r="H990">
        <v>64.400000000000006</v>
      </c>
      <c r="I990">
        <v>25</v>
      </c>
      <c r="J990">
        <v>0.28000000000000003</v>
      </c>
      <c r="K990">
        <v>29.3</v>
      </c>
      <c r="L990">
        <v>26.7</v>
      </c>
      <c r="M990">
        <v>69.400000000000006</v>
      </c>
      <c r="N990">
        <v>3.1</v>
      </c>
      <c r="O990">
        <v>174</v>
      </c>
      <c r="P990" t="s">
        <v>33</v>
      </c>
    </row>
    <row r="991" spans="1:16" x14ac:dyDescent="0.25">
      <c r="A991" t="s">
        <v>1055</v>
      </c>
      <c r="B991" s="2">
        <v>45991</v>
      </c>
      <c r="C991" t="s">
        <v>17</v>
      </c>
      <c r="D991" t="s">
        <v>18</v>
      </c>
      <c r="E991" t="s">
        <v>74</v>
      </c>
      <c r="F991">
        <v>128.30000000000001</v>
      </c>
      <c r="G991">
        <v>113</v>
      </c>
      <c r="H991">
        <v>18.8</v>
      </c>
      <c r="I991">
        <v>22.1</v>
      </c>
      <c r="J991">
        <v>0.36</v>
      </c>
      <c r="K991">
        <v>23.1</v>
      </c>
      <c r="L991">
        <v>32.1</v>
      </c>
      <c r="M991">
        <v>63.4</v>
      </c>
      <c r="N991">
        <v>0.1</v>
      </c>
      <c r="O991">
        <v>329</v>
      </c>
      <c r="P991" t="s">
        <v>20</v>
      </c>
    </row>
    <row r="992" spans="1:16" x14ac:dyDescent="0.25">
      <c r="A992" t="s">
        <v>1056</v>
      </c>
      <c r="B992" s="2">
        <v>45985</v>
      </c>
      <c r="C992" t="s">
        <v>42</v>
      </c>
      <c r="D992" t="s">
        <v>23</v>
      </c>
      <c r="E992" t="s">
        <v>68</v>
      </c>
      <c r="F992">
        <v>39.9</v>
      </c>
      <c r="G992">
        <v>175.1</v>
      </c>
      <c r="H992">
        <v>58.7</v>
      </c>
      <c r="I992">
        <v>18.399999999999999</v>
      </c>
      <c r="J992">
        <v>0.28999999999999998</v>
      </c>
      <c r="K992">
        <v>19.3</v>
      </c>
      <c r="L992">
        <v>18.399999999999999</v>
      </c>
      <c r="M992">
        <v>78</v>
      </c>
      <c r="N992">
        <v>1.2</v>
      </c>
      <c r="O992">
        <v>253</v>
      </c>
      <c r="P992" t="s">
        <v>28</v>
      </c>
    </row>
    <row r="993" spans="1:16" x14ac:dyDescent="0.25">
      <c r="A993" t="s">
        <v>1057</v>
      </c>
      <c r="B993" s="2">
        <v>45985</v>
      </c>
      <c r="C993" t="s">
        <v>50</v>
      </c>
      <c r="D993" t="s">
        <v>31</v>
      </c>
      <c r="E993" t="s">
        <v>27</v>
      </c>
      <c r="F993">
        <v>26.8</v>
      </c>
      <c r="G993">
        <v>59.1</v>
      </c>
      <c r="H993">
        <v>42.8</v>
      </c>
      <c r="I993">
        <v>7.9</v>
      </c>
      <c r="J993">
        <v>0.43</v>
      </c>
      <c r="K993">
        <v>23</v>
      </c>
      <c r="L993">
        <v>13.8</v>
      </c>
      <c r="M993">
        <v>59.5</v>
      </c>
      <c r="N993">
        <v>2.7</v>
      </c>
      <c r="O993">
        <v>142</v>
      </c>
      <c r="P993" t="s">
        <v>33</v>
      </c>
    </row>
    <row r="994" spans="1:16" x14ac:dyDescent="0.25">
      <c r="A994" t="s">
        <v>1058</v>
      </c>
      <c r="B994" s="2">
        <v>45973</v>
      </c>
      <c r="C994" t="s">
        <v>77</v>
      </c>
      <c r="D994" t="s">
        <v>39</v>
      </c>
      <c r="E994" t="s">
        <v>45</v>
      </c>
      <c r="F994">
        <v>62</v>
      </c>
      <c r="G994">
        <v>62.8</v>
      </c>
      <c r="H994">
        <v>8.5</v>
      </c>
      <c r="I994">
        <v>12.8</v>
      </c>
      <c r="J994">
        <v>7.0000000000000007E-2</v>
      </c>
      <c r="K994">
        <v>23.4</v>
      </c>
      <c r="L994">
        <v>23.1</v>
      </c>
      <c r="M994">
        <v>98</v>
      </c>
      <c r="N994">
        <v>1.4</v>
      </c>
      <c r="O994">
        <v>168</v>
      </c>
      <c r="P994" t="s">
        <v>33</v>
      </c>
    </row>
    <row r="995" spans="1:16" x14ac:dyDescent="0.25">
      <c r="A995" t="s">
        <v>1059</v>
      </c>
      <c r="B995" s="2">
        <v>45836</v>
      </c>
      <c r="C995" t="s">
        <v>77</v>
      </c>
      <c r="D995" t="s">
        <v>39</v>
      </c>
      <c r="E995" t="s">
        <v>61</v>
      </c>
      <c r="F995">
        <v>36.5</v>
      </c>
      <c r="G995">
        <v>55.9</v>
      </c>
      <c r="H995">
        <v>23.9</v>
      </c>
      <c r="I995">
        <v>20.399999999999999</v>
      </c>
      <c r="J995">
        <v>0.45</v>
      </c>
      <c r="K995">
        <v>17.600000000000001</v>
      </c>
      <c r="L995">
        <v>21.8</v>
      </c>
      <c r="M995">
        <v>41.8</v>
      </c>
      <c r="N995">
        <v>2.7</v>
      </c>
      <c r="O995">
        <v>147</v>
      </c>
      <c r="P995" t="s">
        <v>33</v>
      </c>
    </row>
    <row r="996" spans="1:16" x14ac:dyDescent="0.25">
      <c r="A996" t="s">
        <v>1060</v>
      </c>
      <c r="B996" s="2">
        <v>45665</v>
      </c>
      <c r="C996" t="s">
        <v>93</v>
      </c>
      <c r="D996" t="s">
        <v>36</v>
      </c>
      <c r="E996" t="s">
        <v>45</v>
      </c>
      <c r="F996">
        <v>49</v>
      </c>
      <c r="G996">
        <v>69.3</v>
      </c>
      <c r="H996">
        <v>33.799999999999997</v>
      </c>
      <c r="I996">
        <v>9.3000000000000007</v>
      </c>
      <c r="J996">
        <v>1.51</v>
      </c>
      <c r="K996">
        <v>51.4</v>
      </c>
      <c r="L996">
        <v>26.7</v>
      </c>
      <c r="M996">
        <v>79.599999999999994</v>
      </c>
      <c r="N996">
        <v>2.2000000000000002</v>
      </c>
      <c r="O996">
        <v>218</v>
      </c>
      <c r="P996" t="s">
        <v>28</v>
      </c>
    </row>
    <row r="997" spans="1:16" x14ac:dyDescent="0.25">
      <c r="A997" t="s">
        <v>1061</v>
      </c>
      <c r="B997" s="2">
        <v>45697</v>
      </c>
      <c r="C997" t="s">
        <v>35</v>
      </c>
      <c r="D997" t="s">
        <v>36</v>
      </c>
      <c r="E997" t="s">
        <v>43</v>
      </c>
      <c r="F997">
        <v>33.799999999999997</v>
      </c>
      <c r="G997">
        <v>56.1</v>
      </c>
      <c r="H997">
        <v>13.5</v>
      </c>
      <c r="I997">
        <v>3</v>
      </c>
      <c r="J997">
        <v>0.41</v>
      </c>
      <c r="K997">
        <v>68.8</v>
      </c>
      <c r="L997">
        <v>32.6</v>
      </c>
      <c r="M997">
        <v>49.6</v>
      </c>
      <c r="N997">
        <v>3.1</v>
      </c>
      <c r="O997">
        <v>145</v>
      </c>
      <c r="P997" t="s">
        <v>33</v>
      </c>
    </row>
    <row r="998" spans="1:16" x14ac:dyDescent="0.25">
      <c r="A998" t="s">
        <v>1062</v>
      </c>
      <c r="B998" s="2">
        <v>45739</v>
      </c>
      <c r="C998" t="s">
        <v>35</v>
      </c>
      <c r="D998" t="s">
        <v>36</v>
      </c>
      <c r="E998" t="s">
        <v>61</v>
      </c>
      <c r="F998">
        <v>59.7</v>
      </c>
      <c r="G998">
        <v>128.1</v>
      </c>
      <c r="H998">
        <v>64.8</v>
      </c>
      <c r="I998">
        <v>7.6</v>
      </c>
      <c r="J998">
        <v>0.25</v>
      </c>
      <c r="K998">
        <v>62.1</v>
      </c>
      <c r="L998">
        <v>22.8</v>
      </c>
      <c r="M998">
        <v>67.3</v>
      </c>
      <c r="N998">
        <v>1.7</v>
      </c>
      <c r="O998">
        <v>270</v>
      </c>
      <c r="P998" t="s">
        <v>28</v>
      </c>
    </row>
    <row r="999" spans="1:16" x14ac:dyDescent="0.25">
      <c r="A999" t="s">
        <v>1063</v>
      </c>
      <c r="B999" s="2">
        <v>45791</v>
      </c>
      <c r="C999" t="s">
        <v>42</v>
      </c>
      <c r="D999" t="s">
        <v>23</v>
      </c>
      <c r="E999" t="s">
        <v>24</v>
      </c>
      <c r="F999">
        <v>40.6</v>
      </c>
      <c r="G999">
        <v>187.8</v>
      </c>
      <c r="H999">
        <v>18.7</v>
      </c>
      <c r="I999">
        <v>6.3</v>
      </c>
      <c r="J999">
        <v>0.02</v>
      </c>
      <c r="K999">
        <v>77.2</v>
      </c>
      <c r="L999">
        <v>31</v>
      </c>
      <c r="M999">
        <v>88.5</v>
      </c>
      <c r="N999">
        <v>3</v>
      </c>
      <c r="O999">
        <v>242</v>
      </c>
      <c r="P999" t="s">
        <v>28</v>
      </c>
    </row>
    <row r="1000" spans="1:16" x14ac:dyDescent="0.25">
      <c r="A1000" t="s">
        <v>1064</v>
      </c>
      <c r="B1000" s="2">
        <v>45847</v>
      </c>
      <c r="C1000" t="s">
        <v>35</v>
      </c>
      <c r="D1000" t="s">
        <v>36</v>
      </c>
      <c r="E1000" t="s">
        <v>40</v>
      </c>
      <c r="F1000">
        <v>43.6</v>
      </c>
      <c r="G1000">
        <v>87.1</v>
      </c>
      <c r="H1000">
        <v>25.1</v>
      </c>
      <c r="I1000">
        <v>18.600000000000001</v>
      </c>
      <c r="J1000">
        <v>0.68</v>
      </c>
      <c r="K1000">
        <v>30.3</v>
      </c>
      <c r="L1000">
        <v>24.7</v>
      </c>
      <c r="M1000">
        <v>57.8</v>
      </c>
      <c r="N1000">
        <v>0.1</v>
      </c>
      <c r="O1000">
        <v>190</v>
      </c>
      <c r="P1000" t="s">
        <v>33</v>
      </c>
    </row>
    <row r="1001" spans="1:16" x14ac:dyDescent="0.25">
      <c r="A1001" t="s">
        <v>1065</v>
      </c>
      <c r="B1001" s="2">
        <v>45930</v>
      </c>
      <c r="C1001" t="s">
        <v>22</v>
      </c>
      <c r="D1001" t="s">
        <v>23</v>
      </c>
      <c r="E1001" t="s">
        <v>45</v>
      </c>
      <c r="F1001">
        <v>12.1</v>
      </c>
      <c r="G1001">
        <v>76.2</v>
      </c>
      <c r="H1001">
        <v>12</v>
      </c>
      <c r="I1001">
        <v>15.2</v>
      </c>
      <c r="J1001">
        <v>1.28</v>
      </c>
      <c r="K1001">
        <v>58.6</v>
      </c>
      <c r="L1001">
        <v>22.4</v>
      </c>
      <c r="M1001">
        <v>49.9</v>
      </c>
      <c r="N1001">
        <v>3</v>
      </c>
      <c r="O1001">
        <v>148</v>
      </c>
      <c r="P1001" t="s">
        <v>33</v>
      </c>
    </row>
    <row r="1002" spans="1:16" x14ac:dyDescent="0.25">
      <c r="A1002" t="s">
        <v>1066</v>
      </c>
      <c r="B1002" s="2">
        <v>45742</v>
      </c>
      <c r="C1002" t="s">
        <v>38</v>
      </c>
      <c r="D1002" t="s">
        <v>39</v>
      </c>
      <c r="E1002" t="s">
        <v>40</v>
      </c>
      <c r="F1002">
        <v>65.7</v>
      </c>
      <c r="G1002">
        <v>125.8</v>
      </c>
      <c r="H1002">
        <v>30.2</v>
      </c>
      <c r="I1002">
        <v>18</v>
      </c>
      <c r="J1002">
        <v>1.0900000000000001</v>
      </c>
      <c r="K1002">
        <v>64.2</v>
      </c>
      <c r="L1002">
        <v>28.5</v>
      </c>
      <c r="M1002">
        <v>54.2</v>
      </c>
      <c r="N1002">
        <v>1.4</v>
      </c>
      <c r="O1002">
        <v>280</v>
      </c>
      <c r="P1002" t="s">
        <v>28</v>
      </c>
    </row>
    <row r="1003" spans="1:16" x14ac:dyDescent="0.25">
      <c r="A1003" t="s">
        <v>1067</v>
      </c>
      <c r="B1003" s="2">
        <v>45862</v>
      </c>
      <c r="C1003" t="s">
        <v>17</v>
      </c>
      <c r="D1003" t="s">
        <v>18</v>
      </c>
      <c r="E1003" t="s">
        <v>61</v>
      </c>
      <c r="F1003">
        <v>31.1</v>
      </c>
      <c r="G1003">
        <v>41.5</v>
      </c>
      <c r="H1003">
        <v>19.8</v>
      </c>
      <c r="I1003">
        <v>10.1</v>
      </c>
      <c r="J1003">
        <v>0.86</v>
      </c>
      <c r="K1003">
        <v>49.7</v>
      </c>
      <c r="L1003">
        <v>26.9</v>
      </c>
      <c r="M1003">
        <v>68.400000000000006</v>
      </c>
      <c r="N1003">
        <v>2</v>
      </c>
      <c r="O1003">
        <v>144</v>
      </c>
      <c r="P1003" t="s">
        <v>33</v>
      </c>
    </row>
    <row r="1004" spans="1:16" x14ac:dyDescent="0.25">
      <c r="A1004" t="s">
        <v>1068</v>
      </c>
      <c r="B1004" s="2">
        <v>45833</v>
      </c>
      <c r="C1004" t="s">
        <v>52</v>
      </c>
      <c r="D1004" t="s">
        <v>31</v>
      </c>
      <c r="E1004" t="s">
        <v>91</v>
      </c>
      <c r="F1004">
        <v>78</v>
      </c>
      <c r="G1004">
        <v>70.7</v>
      </c>
      <c r="H1004">
        <v>23.9</v>
      </c>
      <c r="I1004">
        <v>22.7</v>
      </c>
      <c r="J1004">
        <v>0.75</v>
      </c>
      <c r="K1004">
        <v>13.5</v>
      </c>
      <c r="L1004">
        <v>26.2</v>
      </c>
      <c r="M1004">
        <v>42.9</v>
      </c>
      <c r="N1004">
        <v>3.8</v>
      </c>
      <c r="O1004">
        <v>231</v>
      </c>
      <c r="P1004" t="s">
        <v>28</v>
      </c>
    </row>
    <row r="1005" spans="1:16" x14ac:dyDescent="0.25">
      <c r="A1005" t="s">
        <v>1069</v>
      </c>
      <c r="B1005" s="2">
        <v>45726</v>
      </c>
      <c r="C1005" t="s">
        <v>64</v>
      </c>
      <c r="D1005" t="s">
        <v>36</v>
      </c>
      <c r="E1005" t="s">
        <v>70</v>
      </c>
      <c r="F1005">
        <v>59.6</v>
      </c>
      <c r="G1005">
        <v>112.8</v>
      </c>
      <c r="H1005">
        <v>37.1</v>
      </c>
      <c r="I1005">
        <v>15.8</v>
      </c>
      <c r="J1005">
        <v>0.39</v>
      </c>
      <c r="K1005">
        <v>39.4</v>
      </c>
      <c r="L1005">
        <v>22.3</v>
      </c>
      <c r="M1005">
        <v>54.3</v>
      </c>
      <c r="N1005">
        <v>1.1000000000000001</v>
      </c>
      <c r="O1005">
        <v>237</v>
      </c>
      <c r="P1005" t="s">
        <v>28</v>
      </c>
    </row>
    <row r="1006" spans="1:16" x14ac:dyDescent="0.25">
      <c r="A1006" t="s">
        <v>1070</v>
      </c>
      <c r="B1006" s="2">
        <v>45747</v>
      </c>
      <c r="C1006" t="s">
        <v>77</v>
      </c>
      <c r="D1006" t="s">
        <v>39</v>
      </c>
      <c r="E1006" t="s">
        <v>97</v>
      </c>
      <c r="F1006">
        <v>9.6999999999999993</v>
      </c>
      <c r="G1006">
        <v>48.6</v>
      </c>
      <c r="H1006">
        <v>45.2</v>
      </c>
      <c r="I1006">
        <v>22.5</v>
      </c>
      <c r="J1006">
        <v>1.58</v>
      </c>
      <c r="K1006">
        <v>95.2</v>
      </c>
      <c r="L1006">
        <v>34.5</v>
      </c>
      <c r="M1006">
        <v>48.7</v>
      </c>
      <c r="N1006">
        <v>4.0999999999999996</v>
      </c>
      <c r="O1006">
        <v>181</v>
      </c>
      <c r="P1006" t="s">
        <v>33</v>
      </c>
    </row>
    <row r="1007" spans="1:16" x14ac:dyDescent="0.25">
      <c r="A1007" t="s">
        <v>1071</v>
      </c>
      <c r="B1007" s="2">
        <v>45972</v>
      </c>
      <c r="C1007" t="s">
        <v>54</v>
      </c>
      <c r="D1007" t="s">
        <v>18</v>
      </c>
      <c r="E1007" t="s">
        <v>58</v>
      </c>
      <c r="F1007">
        <v>17.3</v>
      </c>
      <c r="G1007">
        <v>82.5</v>
      </c>
      <c r="H1007">
        <v>35.200000000000003</v>
      </c>
      <c r="I1007">
        <v>13.6</v>
      </c>
      <c r="J1007">
        <v>1.2</v>
      </c>
      <c r="K1007">
        <v>19.5</v>
      </c>
      <c r="L1007">
        <v>30.1</v>
      </c>
      <c r="M1007">
        <v>59.6</v>
      </c>
      <c r="N1007">
        <v>2.9</v>
      </c>
      <c r="O1007">
        <v>158</v>
      </c>
      <c r="P1007" t="s">
        <v>33</v>
      </c>
    </row>
    <row r="1008" spans="1:16" x14ac:dyDescent="0.25">
      <c r="A1008" t="s">
        <v>1072</v>
      </c>
      <c r="B1008" s="2">
        <v>45833</v>
      </c>
      <c r="C1008" t="s">
        <v>67</v>
      </c>
      <c r="D1008" t="s">
        <v>18</v>
      </c>
      <c r="E1008" t="s">
        <v>24</v>
      </c>
      <c r="F1008">
        <v>16.2</v>
      </c>
      <c r="G1008">
        <v>155.1</v>
      </c>
      <c r="H1008">
        <v>26.7</v>
      </c>
      <c r="I1008">
        <v>5</v>
      </c>
      <c r="J1008">
        <v>0.98</v>
      </c>
      <c r="K1008">
        <v>32.9</v>
      </c>
      <c r="L1008">
        <v>35</v>
      </c>
      <c r="M1008">
        <v>47.9</v>
      </c>
      <c r="N1008">
        <v>2.2000000000000002</v>
      </c>
      <c r="O1008">
        <v>191</v>
      </c>
      <c r="P1008" t="s">
        <v>33</v>
      </c>
    </row>
    <row r="1009" spans="1:16" x14ac:dyDescent="0.25">
      <c r="A1009" t="s">
        <v>1073</v>
      </c>
      <c r="B1009" s="2">
        <v>45893</v>
      </c>
      <c r="C1009" t="s">
        <v>64</v>
      </c>
      <c r="D1009" t="s">
        <v>36</v>
      </c>
      <c r="E1009" t="s">
        <v>70</v>
      </c>
      <c r="F1009">
        <v>144.9</v>
      </c>
      <c r="G1009">
        <v>93.6</v>
      </c>
      <c r="H1009">
        <v>24.8</v>
      </c>
      <c r="I1009">
        <v>13.6</v>
      </c>
      <c r="J1009">
        <v>1.81</v>
      </c>
      <c r="K1009">
        <v>34.799999999999997</v>
      </c>
      <c r="L1009">
        <v>23.7</v>
      </c>
      <c r="M1009">
        <v>77.400000000000006</v>
      </c>
      <c r="N1009">
        <v>2.5</v>
      </c>
      <c r="O1009">
        <v>383</v>
      </c>
      <c r="P1009" t="s">
        <v>20</v>
      </c>
    </row>
    <row r="1010" spans="1:16" x14ac:dyDescent="0.25">
      <c r="A1010" t="s">
        <v>1074</v>
      </c>
      <c r="B1010" s="2">
        <v>45785</v>
      </c>
      <c r="C1010" t="s">
        <v>64</v>
      </c>
      <c r="D1010" t="s">
        <v>36</v>
      </c>
      <c r="E1010" t="s">
        <v>91</v>
      </c>
      <c r="F1010">
        <v>24.6</v>
      </c>
      <c r="G1010">
        <v>117</v>
      </c>
      <c r="H1010">
        <v>11.3</v>
      </c>
      <c r="I1010">
        <v>3.6</v>
      </c>
      <c r="J1010">
        <v>1.1299999999999999</v>
      </c>
      <c r="K1010">
        <v>26.6</v>
      </c>
      <c r="L1010">
        <v>36.799999999999997</v>
      </c>
      <c r="M1010">
        <v>69.599999999999994</v>
      </c>
      <c r="N1010">
        <v>2</v>
      </c>
      <c r="O1010">
        <v>167</v>
      </c>
      <c r="P1010" t="s">
        <v>33</v>
      </c>
    </row>
    <row r="1011" spans="1:16" x14ac:dyDescent="0.25">
      <c r="A1011" t="s">
        <v>1075</v>
      </c>
      <c r="B1011" s="2">
        <v>45704</v>
      </c>
      <c r="C1011" t="s">
        <v>26</v>
      </c>
      <c r="D1011" t="s">
        <v>23</v>
      </c>
      <c r="E1011" t="s">
        <v>70</v>
      </c>
      <c r="F1011">
        <v>23.1</v>
      </c>
      <c r="G1011">
        <v>72.7</v>
      </c>
      <c r="H1011">
        <v>27.9</v>
      </c>
      <c r="I1011">
        <v>19</v>
      </c>
      <c r="J1011">
        <v>0.75</v>
      </c>
      <c r="K1011">
        <v>16.600000000000001</v>
      </c>
      <c r="L1011">
        <v>26.5</v>
      </c>
      <c r="M1011">
        <v>77.8</v>
      </c>
      <c r="N1011">
        <v>3</v>
      </c>
      <c r="O1011">
        <v>146</v>
      </c>
      <c r="P1011" t="s">
        <v>33</v>
      </c>
    </row>
    <row r="1012" spans="1:16" x14ac:dyDescent="0.25">
      <c r="A1012" t="s">
        <v>1076</v>
      </c>
      <c r="B1012" s="2">
        <v>45758</v>
      </c>
      <c r="C1012" t="s">
        <v>50</v>
      </c>
      <c r="D1012" t="s">
        <v>31</v>
      </c>
      <c r="E1012" t="s">
        <v>58</v>
      </c>
      <c r="F1012">
        <v>47.1</v>
      </c>
      <c r="G1012">
        <v>65.8</v>
      </c>
      <c r="H1012">
        <v>18</v>
      </c>
      <c r="I1012">
        <v>32.9</v>
      </c>
      <c r="J1012">
        <v>0.65</v>
      </c>
      <c r="K1012">
        <v>3.7</v>
      </c>
      <c r="L1012">
        <v>29</v>
      </c>
      <c r="M1012">
        <v>64.400000000000006</v>
      </c>
      <c r="N1012">
        <v>1.7</v>
      </c>
      <c r="O1012">
        <v>173</v>
      </c>
      <c r="P1012" t="s">
        <v>33</v>
      </c>
    </row>
    <row r="1013" spans="1:16" x14ac:dyDescent="0.25">
      <c r="A1013" t="s">
        <v>1077</v>
      </c>
      <c r="B1013" s="2">
        <v>45957</v>
      </c>
      <c r="C1013" t="s">
        <v>64</v>
      </c>
      <c r="D1013" t="s">
        <v>36</v>
      </c>
      <c r="E1013" t="s">
        <v>91</v>
      </c>
      <c r="F1013">
        <v>39.5</v>
      </c>
      <c r="G1013">
        <v>56.1</v>
      </c>
      <c r="H1013">
        <v>18.3</v>
      </c>
      <c r="I1013">
        <v>3.2</v>
      </c>
      <c r="J1013">
        <v>0.15</v>
      </c>
      <c r="K1013">
        <v>32.9</v>
      </c>
      <c r="L1013">
        <v>17.399999999999999</v>
      </c>
      <c r="M1013">
        <v>45</v>
      </c>
      <c r="N1013">
        <v>1.2</v>
      </c>
      <c r="O1013">
        <v>135</v>
      </c>
      <c r="P1013" t="s">
        <v>33</v>
      </c>
    </row>
    <row r="1014" spans="1:16" x14ac:dyDescent="0.25">
      <c r="A1014" t="s">
        <v>1078</v>
      </c>
      <c r="B1014" s="2">
        <v>45978</v>
      </c>
      <c r="C1014" t="s">
        <v>35</v>
      </c>
      <c r="D1014" t="s">
        <v>36</v>
      </c>
      <c r="E1014" t="s">
        <v>32</v>
      </c>
      <c r="F1014">
        <v>64.2</v>
      </c>
      <c r="G1014">
        <v>113.2</v>
      </c>
      <c r="H1014">
        <v>46.6</v>
      </c>
      <c r="I1014">
        <v>10.9</v>
      </c>
      <c r="J1014">
        <v>0.33</v>
      </c>
      <c r="K1014">
        <v>38.6</v>
      </c>
      <c r="L1014">
        <v>34</v>
      </c>
      <c r="M1014">
        <v>68.599999999999994</v>
      </c>
      <c r="N1014">
        <v>2.8</v>
      </c>
      <c r="O1014">
        <v>247</v>
      </c>
      <c r="P1014" t="s">
        <v>28</v>
      </c>
    </row>
    <row r="1015" spans="1:16" x14ac:dyDescent="0.25">
      <c r="A1015" t="s">
        <v>1079</v>
      </c>
      <c r="B1015" s="2">
        <v>45845</v>
      </c>
      <c r="C1015" t="s">
        <v>99</v>
      </c>
      <c r="D1015" t="s">
        <v>36</v>
      </c>
      <c r="E1015" t="s">
        <v>40</v>
      </c>
      <c r="F1015">
        <v>57.4</v>
      </c>
      <c r="G1015">
        <v>27.9</v>
      </c>
      <c r="H1015">
        <v>77.900000000000006</v>
      </c>
      <c r="I1015">
        <v>13.7</v>
      </c>
      <c r="J1015">
        <v>0.18</v>
      </c>
      <c r="K1015">
        <v>90.3</v>
      </c>
      <c r="L1015">
        <v>25</v>
      </c>
      <c r="M1015">
        <v>70.8</v>
      </c>
      <c r="N1015">
        <v>3.4</v>
      </c>
      <c r="O1015">
        <v>227</v>
      </c>
      <c r="P1015" t="s">
        <v>28</v>
      </c>
    </row>
    <row r="1016" spans="1:16" x14ac:dyDescent="0.25">
      <c r="A1016" t="s">
        <v>1080</v>
      </c>
      <c r="B1016" s="2">
        <v>45894</v>
      </c>
      <c r="C1016" t="s">
        <v>42</v>
      </c>
      <c r="D1016" t="s">
        <v>23</v>
      </c>
      <c r="E1016" t="s">
        <v>32</v>
      </c>
      <c r="F1016">
        <v>13.4</v>
      </c>
      <c r="G1016">
        <v>106.7</v>
      </c>
      <c r="H1016">
        <v>14.9</v>
      </c>
      <c r="I1016">
        <v>5.8</v>
      </c>
      <c r="J1016">
        <v>0.03</v>
      </c>
      <c r="K1016">
        <v>34.6</v>
      </c>
      <c r="L1016">
        <v>31.2</v>
      </c>
      <c r="M1016">
        <v>64.400000000000006</v>
      </c>
      <c r="N1016">
        <v>1.7</v>
      </c>
      <c r="O1016">
        <v>123</v>
      </c>
      <c r="P1016" t="s">
        <v>33</v>
      </c>
    </row>
    <row r="1017" spans="1:16" x14ac:dyDescent="0.25">
      <c r="A1017" t="s">
        <v>1081</v>
      </c>
      <c r="B1017" s="2">
        <v>45788</v>
      </c>
      <c r="C1017" t="s">
        <v>42</v>
      </c>
      <c r="D1017" t="s">
        <v>23</v>
      </c>
      <c r="E1017" t="s">
        <v>55</v>
      </c>
      <c r="F1017">
        <v>91.4</v>
      </c>
      <c r="G1017">
        <v>55.1</v>
      </c>
      <c r="H1017">
        <v>9.9</v>
      </c>
      <c r="I1017">
        <v>5.9</v>
      </c>
      <c r="J1017">
        <v>0.04</v>
      </c>
      <c r="K1017">
        <v>23.2</v>
      </c>
      <c r="L1017">
        <v>14.4</v>
      </c>
      <c r="M1017">
        <v>74.900000000000006</v>
      </c>
      <c r="N1017">
        <v>3.7</v>
      </c>
      <c r="O1017">
        <v>206</v>
      </c>
      <c r="P1017" t="s">
        <v>28</v>
      </c>
    </row>
    <row r="1018" spans="1:16" x14ac:dyDescent="0.25">
      <c r="A1018" t="s">
        <v>1082</v>
      </c>
      <c r="B1018" s="2">
        <v>45985</v>
      </c>
      <c r="C1018" t="s">
        <v>77</v>
      </c>
      <c r="D1018" t="s">
        <v>39</v>
      </c>
      <c r="E1018" t="s">
        <v>27</v>
      </c>
      <c r="F1018">
        <v>51.1</v>
      </c>
      <c r="G1018">
        <v>27.3</v>
      </c>
      <c r="H1018">
        <v>23</v>
      </c>
      <c r="I1018">
        <v>21.8</v>
      </c>
      <c r="J1018">
        <v>2.76</v>
      </c>
      <c r="K1018">
        <v>20.7</v>
      </c>
      <c r="L1018">
        <v>25.4</v>
      </c>
      <c r="M1018">
        <v>70.5</v>
      </c>
      <c r="N1018">
        <v>2.7</v>
      </c>
      <c r="O1018">
        <v>211</v>
      </c>
      <c r="P1018" t="s">
        <v>28</v>
      </c>
    </row>
    <row r="1019" spans="1:16" x14ac:dyDescent="0.25">
      <c r="A1019" t="s">
        <v>1083</v>
      </c>
      <c r="B1019" s="2">
        <v>45849</v>
      </c>
      <c r="C1019" t="s">
        <v>99</v>
      </c>
      <c r="D1019" t="s">
        <v>36</v>
      </c>
      <c r="E1019" t="s">
        <v>97</v>
      </c>
      <c r="F1019">
        <v>14.2</v>
      </c>
      <c r="G1019">
        <v>136.80000000000001</v>
      </c>
      <c r="H1019">
        <v>30.3</v>
      </c>
      <c r="I1019">
        <v>3.4</v>
      </c>
      <c r="J1019">
        <v>0.85</v>
      </c>
      <c r="K1019">
        <v>36.700000000000003</v>
      </c>
      <c r="L1019">
        <v>25.3</v>
      </c>
      <c r="M1019">
        <v>57</v>
      </c>
      <c r="N1019">
        <v>1</v>
      </c>
      <c r="O1019">
        <v>176</v>
      </c>
      <c r="P1019" t="s">
        <v>33</v>
      </c>
    </row>
    <row r="1020" spans="1:16" x14ac:dyDescent="0.25">
      <c r="A1020" t="s">
        <v>1084</v>
      </c>
      <c r="B1020" s="2">
        <v>45893</v>
      </c>
      <c r="C1020" t="s">
        <v>35</v>
      </c>
      <c r="D1020" t="s">
        <v>36</v>
      </c>
      <c r="E1020" t="s">
        <v>58</v>
      </c>
      <c r="F1020">
        <v>58.5</v>
      </c>
      <c r="G1020">
        <v>31</v>
      </c>
      <c r="H1020">
        <v>25</v>
      </c>
      <c r="I1020">
        <v>41.7</v>
      </c>
      <c r="J1020">
        <v>0.69</v>
      </c>
      <c r="K1020">
        <v>32.200000000000003</v>
      </c>
      <c r="L1020">
        <v>31.7</v>
      </c>
      <c r="M1020">
        <v>71</v>
      </c>
      <c r="N1020">
        <v>3.8</v>
      </c>
      <c r="O1020">
        <v>195</v>
      </c>
      <c r="P1020" t="s">
        <v>33</v>
      </c>
    </row>
    <row r="1021" spans="1:16" x14ac:dyDescent="0.25">
      <c r="A1021" t="s">
        <v>1085</v>
      </c>
      <c r="B1021" s="2">
        <v>45855</v>
      </c>
      <c r="C1021" t="s">
        <v>50</v>
      </c>
      <c r="D1021" t="s">
        <v>31</v>
      </c>
      <c r="E1021" t="s">
        <v>45</v>
      </c>
      <c r="F1021">
        <v>80.7</v>
      </c>
      <c r="G1021">
        <v>145</v>
      </c>
      <c r="H1021">
        <v>68.099999999999994</v>
      </c>
      <c r="I1021">
        <v>9.8000000000000007</v>
      </c>
      <c r="J1021">
        <v>0.19</v>
      </c>
      <c r="K1021">
        <v>8</v>
      </c>
      <c r="L1021">
        <v>33.9</v>
      </c>
      <c r="M1021">
        <v>80.8</v>
      </c>
      <c r="N1021">
        <v>2</v>
      </c>
      <c r="O1021">
        <v>293</v>
      </c>
      <c r="P1021" t="s">
        <v>28</v>
      </c>
    </row>
    <row r="1022" spans="1:16" x14ac:dyDescent="0.25">
      <c r="A1022" t="s">
        <v>1086</v>
      </c>
      <c r="B1022" s="2">
        <v>45858</v>
      </c>
      <c r="C1022" t="s">
        <v>93</v>
      </c>
      <c r="D1022" t="s">
        <v>36</v>
      </c>
      <c r="E1022" t="s">
        <v>74</v>
      </c>
      <c r="F1022">
        <v>64.2</v>
      </c>
      <c r="G1022">
        <v>70</v>
      </c>
      <c r="H1022">
        <v>21.7</v>
      </c>
      <c r="I1022">
        <v>10.3</v>
      </c>
      <c r="J1022">
        <v>0.36</v>
      </c>
      <c r="K1022">
        <v>30.4</v>
      </c>
      <c r="L1022">
        <v>26.9</v>
      </c>
      <c r="M1022">
        <v>80.400000000000006</v>
      </c>
      <c r="N1022">
        <v>2.4</v>
      </c>
      <c r="O1022">
        <v>195</v>
      </c>
      <c r="P1022" t="s">
        <v>33</v>
      </c>
    </row>
    <row r="1023" spans="1:16" x14ac:dyDescent="0.25">
      <c r="A1023" t="s">
        <v>1087</v>
      </c>
      <c r="B1023" s="2">
        <v>46014</v>
      </c>
      <c r="C1023" t="s">
        <v>99</v>
      </c>
      <c r="D1023" t="s">
        <v>36</v>
      </c>
      <c r="E1023" t="s">
        <v>24</v>
      </c>
      <c r="F1023">
        <v>96.8</v>
      </c>
      <c r="G1023">
        <v>97.6</v>
      </c>
      <c r="H1023">
        <v>12.7</v>
      </c>
      <c r="I1023">
        <v>10</v>
      </c>
      <c r="J1023">
        <v>0.33</v>
      </c>
      <c r="K1023">
        <v>66.900000000000006</v>
      </c>
      <c r="L1023">
        <v>31.7</v>
      </c>
      <c r="M1023">
        <v>68.599999999999994</v>
      </c>
      <c r="N1023">
        <v>0.9</v>
      </c>
      <c r="O1023">
        <v>274</v>
      </c>
      <c r="P1023" t="s">
        <v>28</v>
      </c>
    </row>
    <row r="1024" spans="1:16" x14ac:dyDescent="0.25">
      <c r="A1024" t="s">
        <v>1088</v>
      </c>
      <c r="B1024" s="2">
        <v>45849</v>
      </c>
      <c r="C1024" t="s">
        <v>35</v>
      </c>
      <c r="D1024" t="s">
        <v>36</v>
      </c>
      <c r="E1024" t="s">
        <v>58</v>
      </c>
      <c r="F1024">
        <v>56.2</v>
      </c>
      <c r="G1024">
        <v>63.1</v>
      </c>
      <c r="H1024">
        <v>5.7</v>
      </c>
      <c r="I1024">
        <v>15.2</v>
      </c>
      <c r="J1024">
        <v>1.1100000000000001</v>
      </c>
      <c r="K1024">
        <v>42.7</v>
      </c>
      <c r="L1024">
        <v>32.1</v>
      </c>
      <c r="M1024">
        <v>70.900000000000006</v>
      </c>
      <c r="N1024">
        <v>1.9</v>
      </c>
      <c r="O1024">
        <v>193</v>
      </c>
      <c r="P1024" t="s">
        <v>33</v>
      </c>
    </row>
    <row r="1025" spans="1:16" x14ac:dyDescent="0.25">
      <c r="A1025" t="s">
        <v>1089</v>
      </c>
      <c r="B1025" s="2">
        <v>45907</v>
      </c>
      <c r="C1025" t="s">
        <v>38</v>
      </c>
      <c r="D1025" t="s">
        <v>39</v>
      </c>
      <c r="E1025" t="s">
        <v>55</v>
      </c>
      <c r="F1025">
        <v>90.4</v>
      </c>
      <c r="G1025">
        <v>137.80000000000001</v>
      </c>
      <c r="H1025">
        <v>22.5</v>
      </c>
      <c r="I1025">
        <v>1.6</v>
      </c>
      <c r="J1025">
        <v>0.11</v>
      </c>
      <c r="K1025">
        <v>38.9</v>
      </c>
      <c r="L1025">
        <v>32.6</v>
      </c>
      <c r="M1025">
        <v>33.799999999999997</v>
      </c>
      <c r="N1025">
        <v>2.7</v>
      </c>
      <c r="O1025">
        <v>274</v>
      </c>
      <c r="P1025" t="s">
        <v>28</v>
      </c>
    </row>
    <row r="1026" spans="1:16" x14ac:dyDescent="0.25">
      <c r="A1026" t="s">
        <v>1090</v>
      </c>
      <c r="B1026" s="2">
        <v>45811</v>
      </c>
      <c r="C1026" t="s">
        <v>22</v>
      </c>
      <c r="D1026" t="s">
        <v>23</v>
      </c>
      <c r="E1026" t="s">
        <v>61</v>
      </c>
      <c r="F1026">
        <v>69.900000000000006</v>
      </c>
      <c r="G1026">
        <v>79.599999999999994</v>
      </c>
      <c r="H1026">
        <v>33.700000000000003</v>
      </c>
      <c r="I1026">
        <v>16.899999999999999</v>
      </c>
      <c r="J1026">
        <v>0.69</v>
      </c>
      <c r="K1026">
        <v>53.3</v>
      </c>
      <c r="L1026">
        <v>38.299999999999997</v>
      </c>
      <c r="M1026">
        <v>41.7</v>
      </c>
      <c r="N1026">
        <v>2.5</v>
      </c>
      <c r="O1026">
        <v>244</v>
      </c>
      <c r="P1026" t="s">
        <v>28</v>
      </c>
    </row>
    <row r="1027" spans="1:16" x14ac:dyDescent="0.25">
      <c r="A1027" t="s">
        <v>1091</v>
      </c>
      <c r="B1027" s="2">
        <v>45757</v>
      </c>
      <c r="C1027" t="s">
        <v>67</v>
      </c>
      <c r="D1027" t="s">
        <v>18</v>
      </c>
      <c r="E1027" t="s">
        <v>58</v>
      </c>
      <c r="F1027">
        <v>87.8</v>
      </c>
      <c r="G1027">
        <v>116.6</v>
      </c>
      <c r="H1027">
        <v>9.6999999999999993</v>
      </c>
      <c r="I1027">
        <v>17.8</v>
      </c>
      <c r="J1027">
        <v>0.41</v>
      </c>
      <c r="K1027">
        <v>113.6</v>
      </c>
      <c r="L1027">
        <v>36</v>
      </c>
      <c r="M1027">
        <v>55.6</v>
      </c>
      <c r="N1027">
        <v>2.2000000000000002</v>
      </c>
      <c r="O1027">
        <v>298</v>
      </c>
      <c r="P1027" t="s">
        <v>28</v>
      </c>
    </row>
    <row r="1028" spans="1:16" x14ac:dyDescent="0.25">
      <c r="A1028" t="s">
        <v>1092</v>
      </c>
      <c r="B1028" s="2">
        <v>45711</v>
      </c>
      <c r="C1028" t="s">
        <v>64</v>
      </c>
      <c r="D1028" t="s">
        <v>36</v>
      </c>
      <c r="E1028" t="s">
        <v>55</v>
      </c>
      <c r="F1028">
        <v>104.5</v>
      </c>
      <c r="G1028">
        <v>83.9</v>
      </c>
      <c r="H1028">
        <v>36.200000000000003</v>
      </c>
      <c r="I1028">
        <v>7.9</v>
      </c>
      <c r="J1028">
        <v>0.17</v>
      </c>
      <c r="K1028">
        <v>29.8</v>
      </c>
      <c r="L1028">
        <v>25.2</v>
      </c>
      <c r="M1028">
        <v>75.2</v>
      </c>
      <c r="N1028">
        <v>2.2999999999999998</v>
      </c>
      <c r="O1028">
        <v>274</v>
      </c>
      <c r="P1028" t="s">
        <v>28</v>
      </c>
    </row>
    <row r="1029" spans="1:16" x14ac:dyDescent="0.25">
      <c r="A1029" t="s">
        <v>1093</v>
      </c>
      <c r="B1029" s="2">
        <v>45810</v>
      </c>
      <c r="C1029" t="s">
        <v>93</v>
      </c>
      <c r="D1029" t="s">
        <v>36</v>
      </c>
      <c r="E1029" t="s">
        <v>74</v>
      </c>
      <c r="F1029">
        <v>77</v>
      </c>
      <c r="G1029">
        <v>59.9</v>
      </c>
      <c r="H1029">
        <v>26.1</v>
      </c>
      <c r="I1029">
        <v>0.7</v>
      </c>
      <c r="J1029">
        <v>1.71</v>
      </c>
      <c r="K1029">
        <v>63.7</v>
      </c>
      <c r="L1029">
        <v>30.6</v>
      </c>
      <c r="M1029">
        <v>72.599999999999994</v>
      </c>
      <c r="N1029">
        <v>2.2000000000000002</v>
      </c>
      <c r="O1029">
        <v>255</v>
      </c>
      <c r="P1029" t="s">
        <v>28</v>
      </c>
    </row>
    <row r="1030" spans="1:16" x14ac:dyDescent="0.25">
      <c r="A1030" t="s">
        <v>1094</v>
      </c>
      <c r="B1030" s="2">
        <v>45869</v>
      </c>
      <c r="C1030" t="s">
        <v>52</v>
      </c>
      <c r="D1030" t="s">
        <v>31</v>
      </c>
      <c r="E1030" t="s">
        <v>27</v>
      </c>
      <c r="F1030">
        <v>87.1</v>
      </c>
      <c r="G1030">
        <v>55.6</v>
      </c>
      <c r="H1030">
        <v>11.3</v>
      </c>
      <c r="I1030">
        <v>10.1</v>
      </c>
      <c r="J1030">
        <v>0.74</v>
      </c>
      <c r="K1030">
        <v>89</v>
      </c>
      <c r="L1030">
        <v>21.6</v>
      </c>
      <c r="M1030">
        <v>69.3</v>
      </c>
      <c r="N1030">
        <v>2.2999999999999998</v>
      </c>
      <c r="O1030">
        <v>250</v>
      </c>
      <c r="P1030" t="s">
        <v>28</v>
      </c>
    </row>
    <row r="1031" spans="1:16" x14ac:dyDescent="0.25">
      <c r="A1031" t="s">
        <v>1095</v>
      </c>
      <c r="B1031" s="2">
        <v>45698</v>
      </c>
      <c r="C1031" t="s">
        <v>81</v>
      </c>
      <c r="D1031" t="s">
        <v>39</v>
      </c>
      <c r="E1031" t="s">
        <v>40</v>
      </c>
      <c r="F1031">
        <v>52.9</v>
      </c>
      <c r="G1031">
        <v>33.700000000000003</v>
      </c>
      <c r="H1031">
        <v>17</v>
      </c>
      <c r="I1031">
        <v>2.9</v>
      </c>
      <c r="J1031">
        <v>1.52</v>
      </c>
      <c r="K1031">
        <v>28.3</v>
      </c>
      <c r="L1031">
        <v>18.8</v>
      </c>
      <c r="M1031">
        <v>89</v>
      </c>
      <c r="N1031">
        <v>2.1</v>
      </c>
      <c r="O1031">
        <v>173</v>
      </c>
      <c r="P1031" t="s">
        <v>33</v>
      </c>
    </row>
    <row r="1032" spans="1:16" x14ac:dyDescent="0.25">
      <c r="A1032" t="s">
        <v>1096</v>
      </c>
      <c r="B1032" s="2">
        <v>46005</v>
      </c>
      <c r="C1032" t="s">
        <v>52</v>
      </c>
      <c r="D1032" t="s">
        <v>31</v>
      </c>
      <c r="E1032" t="s">
        <v>32</v>
      </c>
      <c r="F1032">
        <v>5.2</v>
      </c>
      <c r="G1032">
        <v>90.4</v>
      </c>
      <c r="H1032">
        <v>29.9</v>
      </c>
      <c r="I1032">
        <v>1.3</v>
      </c>
      <c r="J1032">
        <v>0.28000000000000003</v>
      </c>
      <c r="K1032">
        <v>8.1999999999999993</v>
      </c>
      <c r="L1032">
        <v>29.8</v>
      </c>
      <c r="M1032">
        <v>65.5</v>
      </c>
      <c r="N1032">
        <v>2.4</v>
      </c>
      <c r="O1032">
        <v>103</v>
      </c>
      <c r="P1032" t="s">
        <v>33</v>
      </c>
    </row>
    <row r="1033" spans="1:16" x14ac:dyDescent="0.25">
      <c r="A1033" t="s">
        <v>1097</v>
      </c>
      <c r="B1033" s="2">
        <v>45787</v>
      </c>
      <c r="C1033" t="s">
        <v>67</v>
      </c>
      <c r="D1033" t="s">
        <v>18</v>
      </c>
      <c r="E1033" t="s">
        <v>58</v>
      </c>
      <c r="F1033">
        <v>27.6</v>
      </c>
      <c r="G1033">
        <v>13.9</v>
      </c>
      <c r="H1033">
        <v>26.8</v>
      </c>
      <c r="I1033">
        <v>14.3</v>
      </c>
      <c r="J1033">
        <v>0.66</v>
      </c>
      <c r="K1033">
        <v>17.399999999999999</v>
      </c>
      <c r="L1033">
        <v>35.1</v>
      </c>
      <c r="M1033">
        <v>81.2</v>
      </c>
      <c r="N1033">
        <v>2.1</v>
      </c>
      <c r="O1033">
        <v>109</v>
      </c>
      <c r="P1033" t="s">
        <v>33</v>
      </c>
    </row>
    <row r="1034" spans="1:16" x14ac:dyDescent="0.25">
      <c r="A1034" t="s">
        <v>1098</v>
      </c>
      <c r="B1034" s="2">
        <v>46003</v>
      </c>
      <c r="C1034" t="s">
        <v>52</v>
      </c>
      <c r="D1034" t="s">
        <v>31</v>
      </c>
      <c r="E1034" t="s">
        <v>24</v>
      </c>
      <c r="F1034">
        <v>42.8</v>
      </c>
      <c r="G1034">
        <v>85.8</v>
      </c>
      <c r="H1034">
        <v>22.4</v>
      </c>
      <c r="I1034">
        <v>3.2</v>
      </c>
      <c r="J1034">
        <v>0.52</v>
      </c>
      <c r="K1034">
        <v>53.2</v>
      </c>
      <c r="L1034">
        <v>30.2</v>
      </c>
      <c r="M1034">
        <v>61.8</v>
      </c>
      <c r="N1034">
        <v>1.5</v>
      </c>
      <c r="O1034">
        <v>181</v>
      </c>
      <c r="P1034" t="s">
        <v>33</v>
      </c>
    </row>
    <row r="1035" spans="1:16" x14ac:dyDescent="0.25">
      <c r="A1035" t="s">
        <v>1099</v>
      </c>
      <c r="B1035" s="2">
        <v>45952</v>
      </c>
      <c r="C1035" t="s">
        <v>38</v>
      </c>
      <c r="D1035" t="s">
        <v>39</v>
      </c>
      <c r="E1035" t="s">
        <v>74</v>
      </c>
      <c r="F1035">
        <v>52.1</v>
      </c>
      <c r="G1035">
        <v>63.3</v>
      </c>
      <c r="H1035">
        <v>20.2</v>
      </c>
      <c r="I1035">
        <v>38.200000000000003</v>
      </c>
      <c r="J1035">
        <v>0.3</v>
      </c>
      <c r="K1035">
        <v>80.099999999999994</v>
      </c>
      <c r="L1035">
        <v>20.399999999999999</v>
      </c>
      <c r="M1035">
        <v>65.400000000000006</v>
      </c>
      <c r="N1035">
        <v>2.5</v>
      </c>
      <c r="O1035">
        <v>211</v>
      </c>
      <c r="P1035" t="s">
        <v>28</v>
      </c>
    </row>
    <row r="1036" spans="1:16" x14ac:dyDescent="0.25">
      <c r="A1036" t="s">
        <v>1100</v>
      </c>
      <c r="B1036" s="2">
        <v>45698</v>
      </c>
      <c r="C1036" t="s">
        <v>35</v>
      </c>
      <c r="D1036" t="s">
        <v>36</v>
      </c>
      <c r="E1036" t="s">
        <v>40</v>
      </c>
      <c r="F1036">
        <v>75.099999999999994</v>
      </c>
      <c r="G1036">
        <v>61.7</v>
      </c>
      <c r="H1036">
        <v>45</v>
      </c>
      <c r="I1036">
        <v>10.199999999999999</v>
      </c>
      <c r="J1036">
        <v>0.7</v>
      </c>
      <c r="K1036">
        <v>16.899999999999999</v>
      </c>
      <c r="L1036">
        <v>28.1</v>
      </c>
      <c r="M1036">
        <v>78</v>
      </c>
      <c r="N1036">
        <v>2</v>
      </c>
      <c r="O1036">
        <v>229</v>
      </c>
      <c r="P1036" t="s">
        <v>28</v>
      </c>
    </row>
    <row r="1037" spans="1:16" x14ac:dyDescent="0.25">
      <c r="A1037" t="s">
        <v>1101</v>
      </c>
      <c r="B1037" s="2">
        <v>45805</v>
      </c>
      <c r="C1037" t="s">
        <v>77</v>
      </c>
      <c r="D1037" t="s">
        <v>39</v>
      </c>
      <c r="E1037" t="s">
        <v>27</v>
      </c>
      <c r="F1037">
        <v>63.8</v>
      </c>
      <c r="G1037">
        <v>132.4</v>
      </c>
      <c r="H1037">
        <v>31.6</v>
      </c>
      <c r="I1037">
        <v>10.9</v>
      </c>
      <c r="J1037">
        <v>0.6</v>
      </c>
      <c r="K1037">
        <v>41.4</v>
      </c>
      <c r="L1037">
        <v>23.1</v>
      </c>
      <c r="M1037">
        <v>68.099999999999994</v>
      </c>
      <c r="N1037">
        <v>1.4</v>
      </c>
      <c r="O1037">
        <v>255</v>
      </c>
      <c r="P1037" t="s">
        <v>28</v>
      </c>
    </row>
    <row r="1038" spans="1:16" x14ac:dyDescent="0.25">
      <c r="A1038" t="s">
        <v>1102</v>
      </c>
      <c r="B1038" s="2">
        <v>45706</v>
      </c>
      <c r="C1038" t="s">
        <v>54</v>
      </c>
      <c r="D1038" t="s">
        <v>18</v>
      </c>
      <c r="E1038" t="s">
        <v>97</v>
      </c>
      <c r="F1038">
        <v>36.700000000000003</v>
      </c>
      <c r="G1038">
        <v>130.1</v>
      </c>
      <c r="H1038">
        <v>30.2</v>
      </c>
      <c r="I1038">
        <v>6.3</v>
      </c>
      <c r="J1038">
        <v>0.79</v>
      </c>
      <c r="K1038">
        <v>29.4</v>
      </c>
      <c r="L1038">
        <v>20.2</v>
      </c>
      <c r="M1038">
        <v>86.6</v>
      </c>
      <c r="N1038">
        <v>3.4</v>
      </c>
      <c r="O1038">
        <v>205</v>
      </c>
      <c r="P1038" t="s">
        <v>28</v>
      </c>
    </row>
    <row r="1039" spans="1:16" x14ac:dyDescent="0.25">
      <c r="A1039" t="s">
        <v>1103</v>
      </c>
      <c r="B1039" s="2">
        <v>45953</v>
      </c>
      <c r="C1039" t="s">
        <v>81</v>
      </c>
      <c r="D1039" t="s">
        <v>39</v>
      </c>
      <c r="E1039" t="s">
        <v>27</v>
      </c>
      <c r="F1039">
        <v>106.5</v>
      </c>
      <c r="G1039">
        <v>72.5</v>
      </c>
      <c r="H1039">
        <v>25.5</v>
      </c>
      <c r="I1039">
        <v>6.2</v>
      </c>
      <c r="J1039">
        <v>0.86</v>
      </c>
      <c r="K1039">
        <v>13.2</v>
      </c>
      <c r="L1039">
        <v>22.1</v>
      </c>
      <c r="M1039">
        <v>71.400000000000006</v>
      </c>
      <c r="N1039">
        <v>1.6</v>
      </c>
      <c r="O1039">
        <v>270</v>
      </c>
      <c r="P1039" t="s">
        <v>28</v>
      </c>
    </row>
    <row r="1040" spans="1:16" x14ac:dyDescent="0.25">
      <c r="A1040" t="s">
        <v>1104</v>
      </c>
      <c r="B1040" s="2">
        <v>45781</v>
      </c>
      <c r="C1040" t="s">
        <v>81</v>
      </c>
      <c r="D1040" t="s">
        <v>39</v>
      </c>
      <c r="E1040" t="s">
        <v>97</v>
      </c>
      <c r="F1040">
        <v>29.3</v>
      </c>
      <c r="G1040">
        <v>187.2</v>
      </c>
      <c r="H1040">
        <v>15.4</v>
      </c>
      <c r="I1040">
        <v>20</v>
      </c>
      <c r="J1040">
        <v>0.51</v>
      </c>
      <c r="K1040">
        <v>52.2</v>
      </c>
      <c r="L1040">
        <v>31.9</v>
      </c>
      <c r="M1040">
        <v>98</v>
      </c>
      <c r="N1040">
        <v>2</v>
      </c>
      <c r="O1040">
        <v>231</v>
      </c>
      <c r="P1040" t="s">
        <v>28</v>
      </c>
    </row>
    <row r="1041" spans="1:16" x14ac:dyDescent="0.25">
      <c r="A1041" t="s">
        <v>1105</v>
      </c>
      <c r="B1041" s="2">
        <v>45772</v>
      </c>
      <c r="C1041" t="s">
        <v>42</v>
      </c>
      <c r="D1041" t="s">
        <v>23</v>
      </c>
      <c r="E1041" t="s">
        <v>45</v>
      </c>
      <c r="F1041">
        <v>29</v>
      </c>
      <c r="G1041">
        <v>87.6</v>
      </c>
      <c r="H1041">
        <v>14</v>
      </c>
      <c r="I1041">
        <v>27.1</v>
      </c>
      <c r="J1041">
        <v>1.42</v>
      </c>
      <c r="K1041">
        <v>24.2</v>
      </c>
      <c r="L1041">
        <v>27.1</v>
      </c>
      <c r="M1041">
        <v>46.3</v>
      </c>
      <c r="N1041">
        <v>1.9</v>
      </c>
      <c r="O1041">
        <v>180</v>
      </c>
      <c r="P1041" t="s">
        <v>33</v>
      </c>
    </row>
    <row r="1042" spans="1:16" x14ac:dyDescent="0.25">
      <c r="A1042" t="s">
        <v>1106</v>
      </c>
      <c r="B1042" s="2">
        <v>45943</v>
      </c>
      <c r="C1042" t="s">
        <v>38</v>
      </c>
      <c r="D1042" t="s">
        <v>39</v>
      </c>
      <c r="E1042" t="s">
        <v>19</v>
      </c>
      <c r="F1042">
        <v>25.9</v>
      </c>
      <c r="G1042">
        <v>29.7</v>
      </c>
      <c r="H1042">
        <v>30.8</v>
      </c>
      <c r="I1042">
        <v>4.7</v>
      </c>
      <c r="J1042">
        <v>2.1</v>
      </c>
      <c r="K1042">
        <v>31.2</v>
      </c>
      <c r="L1042">
        <v>22.3</v>
      </c>
      <c r="M1042">
        <v>77</v>
      </c>
      <c r="N1042">
        <v>1.9</v>
      </c>
      <c r="O1042">
        <v>155</v>
      </c>
      <c r="P1042" t="s">
        <v>33</v>
      </c>
    </row>
    <row r="1043" spans="1:16" x14ac:dyDescent="0.25">
      <c r="A1043" t="s">
        <v>1107</v>
      </c>
      <c r="B1043" s="2">
        <v>45885</v>
      </c>
      <c r="C1043" t="s">
        <v>52</v>
      </c>
      <c r="D1043" t="s">
        <v>31</v>
      </c>
      <c r="E1043" t="s">
        <v>91</v>
      </c>
      <c r="F1043">
        <v>17.600000000000001</v>
      </c>
      <c r="G1043">
        <v>58.2</v>
      </c>
      <c r="H1043">
        <v>22.8</v>
      </c>
      <c r="I1043">
        <v>4.2</v>
      </c>
      <c r="J1043">
        <v>0.56999999999999995</v>
      </c>
      <c r="K1043">
        <v>67.3</v>
      </c>
      <c r="L1043">
        <v>39.299999999999997</v>
      </c>
      <c r="M1043">
        <v>53.6</v>
      </c>
      <c r="N1043">
        <v>2.5</v>
      </c>
      <c r="O1043">
        <v>132</v>
      </c>
      <c r="P1043" t="s">
        <v>33</v>
      </c>
    </row>
    <row r="1044" spans="1:16" x14ac:dyDescent="0.25">
      <c r="A1044" t="s">
        <v>1108</v>
      </c>
      <c r="B1044" s="2">
        <v>45662</v>
      </c>
      <c r="C1044" t="s">
        <v>17</v>
      </c>
      <c r="D1044" t="s">
        <v>18</v>
      </c>
      <c r="E1044" t="s">
        <v>58</v>
      </c>
      <c r="F1044">
        <v>88.2</v>
      </c>
      <c r="G1044">
        <v>65.2</v>
      </c>
      <c r="H1044">
        <v>64.7</v>
      </c>
      <c r="I1044">
        <v>37.9</v>
      </c>
      <c r="J1044">
        <v>0.7</v>
      </c>
      <c r="K1044">
        <v>48.2</v>
      </c>
      <c r="L1044">
        <v>23</v>
      </c>
      <c r="M1044">
        <v>59.7</v>
      </c>
      <c r="N1044">
        <v>3</v>
      </c>
      <c r="O1044">
        <v>301</v>
      </c>
      <c r="P1044" t="s">
        <v>20</v>
      </c>
    </row>
    <row r="1045" spans="1:16" x14ac:dyDescent="0.25">
      <c r="A1045" t="s">
        <v>1109</v>
      </c>
      <c r="B1045" s="2">
        <v>45684</v>
      </c>
      <c r="C1045" t="s">
        <v>54</v>
      </c>
      <c r="D1045" t="s">
        <v>18</v>
      </c>
      <c r="E1045" t="s">
        <v>24</v>
      </c>
      <c r="F1045">
        <v>60.9</v>
      </c>
      <c r="G1045">
        <v>84.6</v>
      </c>
      <c r="H1045">
        <v>93.7</v>
      </c>
      <c r="I1045">
        <v>10.7</v>
      </c>
      <c r="J1045">
        <v>0.45</v>
      </c>
      <c r="K1045">
        <v>51.5</v>
      </c>
      <c r="L1045">
        <v>31.7</v>
      </c>
      <c r="M1045">
        <v>82.8</v>
      </c>
      <c r="N1045">
        <v>1.9</v>
      </c>
      <c r="O1045">
        <v>269</v>
      </c>
      <c r="P1045" t="s">
        <v>28</v>
      </c>
    </row>
    <row r="1046" spans="1:16" x14ac:dyDescent="0.25">
      <c r="A1046" t="s">
        <v>1110</v>
      </c>
      <c r="B1046" s="2">
        <v>45667</v>
      </c>
      <c r="C1046" t="s">
        <v>30</v>
      </c>
      <c r="D1046" t="s">
        <v>31</v>
      </c>
      <c r="E1046" t="s">
        <v>55</v>
      </c>
      <c r="F1046">
        <v>7.5</v>
      </c>
      <c r="G1046">
        <v>67.900000000000006</v>
      </c>
      <c r="H1046">
        <v>14</v>
      </c>
      <c r="I1046">
        <v>9</v>
      </c>
      <c r="J1046">
        <v>0.38</v>
      </c>
      <c r="K1046">
        <v>31.2</v>
      </c>
      <c r="L1046">
        <v>32</v>
      </c>
      <c r="M1046">
        <v>66.400000000000006</v>
      </c>
      <c r="N1046">
        <v>1.5</v>
      </c>
      <c r="O1046">
        <v>97</v>
      </c>
      <c r="P1046" t="s">
        <v>71</v>
      </c>
    </row>
    <row r="1047" spans="1:16" x14ac:dyDescent="0.25">
      <c r="A1047" t="s">
        <v>1111</v>
      </c>
      <c r="B1047" s="2">
        <v>45706</v>
      </c>
      <c r="C1047" t="s">
        <v>54</v>
      </c>
      <c r="D1047" t="s">
        <v>18</v>
      </c>
      <c r="E1047" t="s">
        <v>55</v>
      </c>
      <c r="F1047">
        <v>29.5</v>
      </c>
      <c r="G1047">
        <v>37.6</v>
      </c>
      <c r="H1047">
        <v>45.1</v>
      </c>
      <c r="I1047">
        <v>4.5999999999999996</v>
      </c>
      <c r="J1047">
        <v>0.27</v>
      </c>
      <c r="K1047">
        <v>47.2</v>
      </c>
      <c r="L1047">
        <v>22.7</v>
      </c>
      <c r="M1047">
        <v>62</v>
      </c>
      <c r="N1047">
        <v>1.4</v>
      </c>
      <c r="O1047">
        <v>139</v>
      </c>
      <c r="P1047" t="s">
        <v>33</v>
      </c>
    </row>
    <row r="1048" spans="1:16" x14ac:dyDescent="0.25">
      <c r="A1048" t="s">
        <v>1112</v>
      </c>
      <c r="B1048" s="2">
        <v>45815</v>
      </c>
      <c r="C1048" t="s">
        <v>26</v>
      </c>
      <c r="D1048" t="s">
        <v>23</v>
      </c>
      <c r="E1048" t="s">
        <v>61</v>
      </c>
      <c r="F1048">
        <v>11.2</v>
      </c>
      <c r="G1048">
        <v>100</v>
      </c>
      <c r="H1048">
        <v>96.4</v>
      </c>
      <c r="I1048">
        <v>6.4</v>
      </c>
      <c r="J1048">
        <v>1.01</v>
      </c>
      <c r="K1048">
        <v>39.200000000000003</v>
      </c>
      <c r="L1048">
        <v>18.399999999999999</v>
      </c>
      <c r="M1048">
        <v>33.799999999999997</v>
      </c>
      <c r="N1048">
        <v>1.4</v>
      </c>
      <c r="O1048">
        <v>207</v>
      </c>
      <c r="P1048" t="s">
        <v>28</v>
      </c>
    </row>
    <row r="1049" spans="1:16" x14ac:dyDescent="0.25">
      <c r="A1049" t="s">
        <v>1113</v>
      </c>
      <c r="B1049" s="2">
        <v>45807</v>
      </c>
      <c r="C1049" t="s">
        <v>77</v>
      </c>
      <c r="D1049" t="s">
        <v>39</v>
      </c>
      <c r="E1049" t="s">
        <v>58</v>
      </c>
      <c r="F1049">
        <v>63.9</v>
      </c>
      <c r="G1049">
        <v>101.9</v>
      </c>
      <c r="H1049">
        <v>45.7</v>
      </c>
      <c r="I1049">
        <v>9.1</v>
      </c>
      <c r="J1049">
        <v>0.48</v>
      </c>
      <c r="K1049">
        <v>14.2</v>
      </c>
      <c r="L1049">
        <v>23.8</v>
      </c>
      <c r="M1049">
        <v>88.8</v>
      </c>
      <c r="N1049">
        <v>1.4</v>
      </c>
      <c r="O1049">
        <v>230</v>
      </c>
      <c r="P1049" t="s">
        <v>28</v>
      </c>
    </row>
    <row r="1050" spans="1:16" x14ac:dyDescent="0.25">
      <c r="A1050" t="s">
        <v>1114</v>
      </c>
      <c r="B1050" s="2">
        <v>45787</v>
      </c>
      <c r="C1050" t="s">
        <v>64</v>
      </c>
      <c r="D1050" t="s">
        <v>36</v>
      </c>
      <c r="E1050" t="s">
        <v>58</v>
      </c>
      <c r="F1050">
        <v>54</v>
      </c>
      <c r="G1050">
        <v>107.6</v>
      </c>
      <c r="H1050">
        <v>13.9</v>
      </c>
      <c r="I1050">
        <v>10.6</v>
      </c>
      <c r="J1050">
        <v>1.2</v>
      </c>
      <c r="K1050">
        <v>26</v>
      </c>
      <c r="L1050">
        <v>29.2</v>
      </c>
      <c r="M1050">
        <v>79.5</v>
      </c>
      <c r="N1050">
        <v>3.7</v>
      </c>
      <c r="O1050">
        <v>217</v>
      </c>
      <c r="P1050" t="s">
        <v>28</v>
      </c>
    </row>
    <row r="1051" spans="1:16" x14ac:dyDescent="0.25">
      <c r="A1051" t="s">
        <v>1115</v>
      </c>
      <c r="B1051" s="2">
        <v>45992</v>
      </c>
      <c r="C1051" t="s">
        <v>35</v>
      </c>
      <c r="D1051" t="s">
        <v>36</v>
      </c>
      <c r="E1051" t="s">
        <v>27</v>
      </c>
      <c r="F1051">
        <v>48.5</v>
      </c>
      <c r="G1051">
        <v>145.19999999999999</v>
      </c>
      <c r="H1051">
        <v>39.9</v>
      </c>
      <c r="I1051">
        <v>37.299999999999997</v>
      </c>
      <c r="J1051">
        <v>0.62</v>
      </c>
      <c r="K1051">
        <v>11.9</v>
      </c>
      <c r="L1051">
        <v>23.6</v>
      </c>
      <c r="M1051">
        <v>81.900000000000006</v>
      </c>
      <c r="N1051">
        <v>2.4</v>
      </c>
      <c r="O1051">
        <v>251</v>
      </c>
      <c r="P1051" t="s">
        <v>28</v>
      </c>
    </row>
    <row r="1052" spans="1:16" x14ac:dyDescent="0.25">
      <c r="A1052" t="s">
        <v>1116</v>
      </c>
      <c r="B1052" s="2">
        <v>45863</v>
      </c>
      <c r="C1052" t="s">
        <v>67</v>
      </c>
      <c r="D1052" t="s">
        <v>18</v>
      </c>
      <c r="E1052" t="s">
        <v>27</v>
      </c>
      <c r="F1052">
        <v>11.9</v>
      </c>
      <c r="G1052">
        <v>35.299999999999997</v>
      </c>
      <c r="H1052">
        <v>67.900000000000006</v>
      </c>
      <c r="I1052">
        <v>16.3</v>
      </c>
      <c r="J1052">
        <v>0.71</v>
      </c>
      <c r="K1052">
        <v>35.5</v>
      </c>
      <c r="L1052">
        <v>29.7</v>
      </c>
      <c r="M1052">
        <v>53.3</v>
      </c>
      <c r="N1052">
        <v>1.1000000000000001</v>
      </c>
      <c r="O1052">
        <v>141</v>
      </c>
      <c r="P1052" t="s">
        <v>33</v>
      </c>
    </row>
    <row r="1053" spans="1:16" x14ac:dyDescent="0.25">
      <c r="A1053" t="s">
        <v>1117</v>
      </c>
      <c r="B1053" s="2">
        <v>45917</v>
      </c>
      <c r="C1053" t="s">
        <v>30</v>
      </c>
      <c r="D1053" t="s">
        <v>31</v>
      </c>
      <c r="E1053" t="s">
        <v>19</v>
      </c>
      <c r="F1053">
        <v>65.2</v>
      </c>
      <c r="G1053">
        <v>50.7</v>
      </c>
      <c r="H1053">
        <v>50.2</v>
      </c>
      <c r="I1053">
        <v>7.7</v>
      </c>
      <c r="J1053">
        <v>0.37</v>
      </c>
      <c r="K1053">
        <v>22.3</v>
      </c>
      <c r="L1053">
        <v>29.7</v>
      </c>
      <c r="M1053">
        <v>61.2</v>
      </c>
      <c r="N1053">
        <v>3.1</v>
      </c>
      <c r="O1053">
        <v>202</v>
      </c>
      <c r="P1053" t="s">
        <v>28</v>
      </c>
    </row>
    <row r="1054" spans="1:16" x14ac:dyDescent="0.25">
      <c r="A1054" t="s">
        <v>1118</v>
      </c>
      <c r="B1054" s="2">
        <v>45721</v>
      </c>
      <c r="C1054" t="s">
        <v>38</v>
      </c>
      <c r="D1054" t="s">
        <v>39</v>
      </c>
      <c r="E1054" t="s">
        <v>43</v>
      </c>
      <c r="F1054">
        <v>89.6</v>
      </c>
      <c r="G1054">
        <v>95.7</v>
      </c>
      <c r="H1054">
        <v>37.799999999999997</v>
      </c>
      <c r="I1054">
        <v>4</v>
      </c>
      <c r="J1054">
        <v>2.0299999999999998</v>
      </c>
      <c r="K1054">
        <v>33.200000000000003</v>
      </c>
      <c r="L1054">
        <v>38.5</v>
      </c>
      <c r="M1054">
        <v>56.8</v>
      </c>
      <c r="N1054">
        <v>2.2999999999999998</v>
      </c>
      <c r="O1054">
        <v>304</v>
      </c>
      <c r="P1054" t="s">
        <v>20</v>
      </c>
    </row>
    <row r="1055" spans="1:16" x14ac:dyDescent="0.25">
      <c r="A1055" t="s">
        <v>1119</v>
      </c>
      <c r="B1055" s="2">
        <v>45738</v>
      </c>
      <c r="C1055" t="s">
        <v>67</v>
      </c>
      <c r="D1055" t="s">
        <v>18</v>
      </c>
      <c r="E1055" t="s">
        <v>19</v>
      </c>
      <c r="F1055">
        <v>65.7</v>
      </c>
      <c r="G1055">
        <v>155.30000000000001</v>
      </c>
      <c r="H1055">
        <v>13</v>
      </c>
      <c r="I1055">
        <v>28.2</v>
      </c>
      <c r="J1055">
        <v>0.5</v>
      </c>
      <c r="K1055">
        <v>43.3</v>
      </c>
      <c r="L1055">
        <v>24.5</v>
      </c>
      <c r="M1055">
        <v>54.4</v>
      </c>
      <c r="N1055">
        <v>3.4</v>
      </c>
      <c r="O1055">
        <v>268</v>
      </c>
      <c r="P1055" t="s">
        <v>28</v>
      </c>
    </row>
    <row r="1056" spans="1:16" x14ac:dyDescent="0.25">
      <c r="A1056" t="s">
        <v>1120</v>
      </c>
      <c r="B1056" s="2">
        <v>45749</v>
      </c>
      <c r="C1056" t="s">
        <v>99</v>
      </c>
      <c r="D1056" t="s">
        <v>36</v>
      </c>
      <c r="E1056" t="s">
        <v>45</v>
      </c>
      <c r="F1056">
        <v>30.8</v>
      </c>
      <c r="G1056">
        <v>94.3</v>
      </c>
      <c r="H1056">
        <v>18.899999999999999</v>
      </c>
      <c r="I1056">
        <v>4.3</v>
      </c>
      <c r="J1056">
        <v>0.57999999999999996</v>
      </c>
      <c r="K1056">
        <v>15</v>
      </c>
      <c r="L1056">
        <v>25.1</v>
      </c>
      <c r="M1056">
        <v>70.3</v>
      </c>
      <c r="N1056">
        <v>2.9</v>
      </c>
      <c r="O1056">
        <v>150</v>
      </c>
      <c r="P1056" t="s">
        <v>33</v>
      </c>
    </row>
    <row r="1057" spans="1:16" x14ac:dyDescent="0.25">
      <c r="A1057" t="s">
        <v>1121</v>
      </c>
      <c r="B1057" s="2">
        <v>45766</v>
      </c>
      <c r="C1057" t="s">
        <v>67</v>
      </c>
      <c r="D1057" t="s">
        <v>18</v>
      </c>
      <c r="E1057" t="s">
        <v>45</v>
      </c>
      <c r="F1057">
        <v>17.7</v>
      </c>
      <c r="G1057">
        <v>45.1</v>
      </c>
      <c r="H1057">
        <v>13.2</v>
      </c>
      <c r="I1057">
        <v>13.5</v>
      </c>
      <c r="J1057">
        <v>1.1599999999999999</v>
      </c>
      <c r="K1057">
        <v>10.8</v>
      </c>
      <c r="L1057">
        <v>29.1</v>
      </c>
      <c r="M1057">
        <v>72.400000000000006</v>
      </c>
      <c r="N1057">
        <v>2.4</v>
      </c>
      <c r="O1057">
        <v>112</v>
      </c>
      <c r="P1057" t="s">
        <v>33</v>
      </c>
    </row>
    <row r="1058" spans="1:16" x14ac:dyDescent="0.25">
      <c r="A1058" t="s">
        <v>1122</v>
      </c>
      <c r="B1058" s="2">
        <v>45922</v>
      </c>
      <c r="C1058" t="s">
        <v>64</v>
      </c>
      <c r="D1058" t="s">
        <v>36</v>
      </c>
      <c r="E1058" t="s">
        <v>68</v>
      </c>
      <c r="F1058">
        <v>16.5</v>
      </c>
      <c r="G1058">
        <v>128.9</v>
      </c>
      <c r="H1058">
        <v>21.7</v>
      </c>
      <c r="I1058">
        <v>4.9000000000000004</v>
      </c>
      <c r="J1058">
        <v>0.59</v>
      </c>
      <c r="K1058">
        <v>34.1</v>
      </c>
      <c r="L1058">
        <v>25.6</v>
      </c>
      <c r="M1058">
        <v>53.4</v>
      </c>
      <c r="N1058">
        <v>1.5</v>
      </c>
      <c r="O1058">
        <v>161</v>
      </c>
      <c r="P1058" t="s">
        <v>33</v>
      </c>
    </row>
    <row r="1059" spans="1:16" x14ac:dyDescent="0.25">
      <c r="A1059" t="s">
        <v>1123</v>
      </c>
      <c r="B1059" s="2">
        <v>45674</v>
      </c>
      <c r="C1059" t="s">
        <v>64</v>
      </c>
      <c r="D1059" t="s">
        <v>36</v>
      </c>
      <c r="E1059" t="s">
        <v>27</v>
      </c>
      <c r="F1059">
        <v>52.5</v>
      </c>
      <c r="G1059">
        <v>106.5</v>
      </c>
      <c r="H1059">
        <v>48</v>
      </c>
      <c r="I1059">
        <v>10.199999999999999</v>
      </c>
      <c r="J1059">
        <v>0.79</v>
      </c>
      <c r="K1059">
        <v>23.2</v>
      </c>
      <c r="L1059">
        <v>21.4</v>
      </c>
      <c r="M1059">
        <v>55</v>
      </c>
      <c r="N1059">
        <v>3.5</v>
      </c>
      <c r="O1059">
        <v>229</v>
      </c>
      <c r="P1059" t="s">
        <v>28</v>
      </c>
    </row>
    <row r="1060" spans="1:16" x14ac:dyDescent="0.25">
      <c r="A1060" t="s">
        <v>1124</v>
      </c>
      <c r="B1060" s="2">
        <v>45684</v>
      </c>
      <c r="C1060" t="s">
        <v>30</v>
      </c>
      <c r="D1060" t="s">
        <v>31</v>
      </c>
      <c r="E1060" t="s">
        <v>68</v>
      </c>
      <c r="F1060">
        <v>48.7</v>
      </c>
      <c r="G1060">
        <v>110</v>
      </c>
      <c r="H1060">
        <v>17.399999999999999</v>
      </c>
      <c r="I1060">
        <v>7.7</v>
      </c>
      <c r="J1060">
        <v>0.56000000000000005</v>
      </c>
      <c r="K1060">
        <v>67.900000000000006</v>
      </c>
      <c r="L1060">
        <v>27.8</v>
      </c>
      <c r="M1060">
        <v>40.799999999999997</v>
      </c>
      <c r="N1060">
        <v>2</v>
      </c>
      <c r="O1060">
        <v>213</v>
      </c>
      <c r="P1060" t="s">
        <v>28</v>
      </c>
    </row>
    <row r="1061" spans="1:16" x14ac:dyDescent="0.25">
      <c r="A1061" t="s">
        <v>1125</v>
      </c>
      <c r="B1061" s="2">
        <v>45892</v>
      </c>
      <c r="C1061" t="s">
        <v>54</v>
      </c>
      <c r="D1061" t="s">
        <v>18</v>
      </c>
      <c r="E1061" t="s">
        <v>74</v>
      </c>
      <c r="F1061">
        <v>24</v>
      </c>
      <c r="G1061">
        <v>148.9</v>
      </c>
      <c r="H1061">
        <v>38.5</v>
      </c>
      <c r="I1061">
        <v>5.7</v>
      </c>
      <c r="J1061">
        <v>1.1599999999999999</v>
      </c>
      <c r="K1061">
        <v>57</v>
      </c>
      <c r="L1061">
        <v>23.7</v>
      </c>
      <c r="M1061">
        <v>71.7</v>
      </c>
      <c r="N1061">
        <v>1.6</v>
      </c>
      <c r="O1061">
        <v>225</v>
      </c>
      <c r="P1061" t="s">
        <v>28</v>
      </c>
    </row>
    <row r="1062" spans="1:16" x14ac:dyDescent="0.25">
      <c r="A1062" t="s">
        <v>1126</v>
      </c>
      <c r="B1062" s="2">
        <v>45707</v>
      </c>
      <c r="C1062" t="s">
        <v>42</v>
      </c>
      <c r="D1062" t="s">
        <v>23</v>
      </c>
      <c r="E1062" t="s">
        <v>55</v>
      </c>
      <c r="F1062">
        <v>54.9</v>
      </c>
      <c r="G1062">
        <v>163.80000000000001</v>
      </c>
      <c r="H1062">
        <v>47.9</v>
      </c>
      <c r="I1062">
        <v>8.8000000000000007</v>
      </c>
      <c r="J1062">
        <v>0.34</v>
      </c>
      <c r="K1062">
        <v>56.1</v>
      </c>
      <c r="L1062">
        <v>27.1</v>
      </c>
      <c r="M1062">
        <v>70.7</v>
      </c>
      <c r="N1062">
        <v>0.5</v>
      </c>
      <c r="O1062">
        <v>273</v>
      </c>
      <c r="P1062" t="s">
        <v>28</v>
      </c>
    </row>
    <row r="1063" spans="1:16" x14ac:dyDescent="0.25">
      <c r="A1063" t="s">
        <v>1127</v>
      </c>
      <c r="B1063" s="2">
        <v>46003</v>
      </c>
      <c r="C1063" t="s">
        <v>52</v>
      </c>
      <c r="D1063" t="s">
        <v>31</v>
      </c>
      <c r="E1063" t="s">
        <v>55</v>
      </c>
      <c r="F1063">
        <v>24.1</v>
      </c>
      <c r="G1063">
        <v>111.1</v>
      </c>
      <c r="H1063">
        <v>9.8000000000000007</v>
      </c>
      <c r="I1063">
        <v>8.6</v>
      </c>
      <c r="J1063">
        <v>2.13</v>
      </c>
      <c r="K1063">
        <v>23.7</v>
      </c>
      <c r="L1063">
        <v>28.6</v>
      </c>
      <c r="M1063">
        <v>62.1</v>
      </c>
      <c r="N1063">
        <v>1.8</v>
      </c>
      <c r="O1063">
        <v>189</v>
      </c>
      <c r="P1063" t="s">
        <v>33</v>
      </c>
    </row>
    <row r="1064" spans="1:16" x14ac:dyDescent="0.25">
      <c r="A1064" t="s">
        <v>1128</v>
      </c>
      <c r="B1064" s="2">
        <v>45667</v>
      </c>
      <c r="C1064" t="s">
        <v>99</v>
      </c>
      <c r="D1064" t="s">
        <v>36</v>
      </c>
      <c r="E1064" t="s">
        <v>91</v>
      </c>
      <c r="F1064">
        <v>54.8</v>
      </c>
      <c r="G1064">
        <v>64.5</v>
      </c>
      <c r="H1064">
        <v>38.799999999999997</v>
      </c>
      <c r="I1064">
        <v>3.1</v>
      </c>
      <c r="J1064">
        <v>1.51</v>
      </c>
      <c r="K1064">
        <v>22.9</v>
      </c>
      <c r="L1064">
        <v>26.2</v>
      </c>
      <c r="M1064">
        <v>64</v>
      </c>
      <c r="N1064">
        <v>1.4</v>
      </c>
      <c r="O1064">
        <v>211</v>
      </c>
      <c r="P1064" t="s">
        <v>28</v>
      </c>
    </row>
    <row r="1065" spans="1:16" x14ac:dyDescent="0.25">
      <c r="A1065" t="s">
        <v>1129</v>
      </c>
      <c r="B1065" s="2">
        <v>45892</v>
      </c>
      <c r="C1065" t="s">
        <v>17</v>
      </c>
      <c r="D1065" t="s">
        <v>18</v>
      </c>
      <c r="E1065" t="s">
        <v>74</v>
      </c>
      <c r="F1065">
        <v>90.1</v>
      </c>
      <c r="G1065">
        <v>72.3</v>
      </c>
      <c r="H1065">
        <v>34.6</v>
      </c>
      <c r="I1065">
        <v>22.9</v>
      </c>
      <c r="J1065">
        <v>1.49</v>
      </c>
      <c r="K1065">
        <v>41.1</v>
      </c>
      <c r="L1065">
        <v>26.8</v>
      </c>
      <c r="M1065">
        <v>49.1</v>
      </c>
      <c r="N1065">
        <v>2.4</v>
      </c>
      <c r="O1065">
        <v>291</v>
      </c>
      <c r="P1065" t="s">
        <v>28</v>
      </c>
    </row>
    <row r="1066" spans="1:16" x14ac:dyDescent="0.25">
      <c r="A1066" t="s">
        <v>1130</v>
      </c>
      <c r="B1066" s="2">
        <v>45803</v>
      </c>
      <c r="C1066" t="s">
        <v>50</v>
      </c>
      <c r="D1066" t="s">
        <v>31</v>
      </c>
      <c r="E1066" t="s">
        <v>32</v>
      </c>
      <c r="F1066">
        <v>41</v>
      </c>
      <c r="G1066">
        <v>109.4</v>
      </c>
      <c r="H1066">
        <v>13.7</v>
      </c>
      <c r="I1066">
        <v>14.7</v>
      </c>
      <c r="J1066">
        <v>0.52</v>
      </c>
      <c r="K1066">
        <v>28</v>
      </c>
      <c r="L1066">
        <v>24.1</v>
      </c>
      <c r="M1066">
        <v>63</v>
      </c>
      <c r="N1066">
        <v>0.8</v>
      </c>
      <c r="O1066">
        <v>184</v>
      </c>
      <c r="P1066" t="s">
        <v>33</v>
      </c>
    </row>
    <row r="1067" spans="1:16" x14ac:dyDescent="0.25">
      <c r="A1067" t="s">
        <v>1131</v>
      </c>
      <c r="B1067" s="2">
        <v>45933</v>
      </c>
      <c r="C1067" t="s">
        <v>22</v>
      </c>
      <c r="D1067" t="s">
        <v>23</v>
      </c>
      <c r="E1067" t="s">
        <v>32</v>
      </c>
      <c r="F1067">
        <v>82.5</v>
      </c>
      <c r="G1067">
        <v>85.6</v>
      </c>
      <c r="H1067">
        <v>34.6</v>
      </c>
      <c r="I1067">
        <v>8.4</v>
      </c>
      <c r="J1067">
        <v>0.38</v>
      </c>
      <c r="K1067">
        <v>42.3</v>
      </c>
      <c r="L1067">
        <v>25.1</v>
      </c>
      <c r="M1067">
        <v>69.599999999999994</v>
      </c>
      <c r="N1067">
        <v>2.8</v>
      </c>
      <c r="O1067">
        <v>250</v>
      </c>
      <c r="P1067" t="s">
        <v>28</v>
      </c>
    </row>
    <row r="1068" spans="1:16" x14ac:dyDescent="0.25">
      <c r="A1068" t="s">
        <v>1132</v>
      </c>
      <c r="B1068" s="2">
        <v>45988</v>
      </c>
      <c r="C1068" t="s">
        <v>30</v>
      </c>
      <c r="D1068" t="s">
        <v>31</v>
      </c>
      <c r="E1068" t="s">
        <v>43</v>
      </c>
      <c r="F1068">
        <v>72.400000000000006</v>
      </c>
      <c r="G1068">
        <v>45.1</v>
      </c>
      <c r="H1068">
        <v>54.9</v>
      </c>
      <c r="I1068">
        <v>16.2</v>
      </c>
      <c r="J1068">
        <v>0.36</v>
      </c>
      <c r="K1068">
        <v>60.2</v>
      </c>
      <c r="L1068">
        <v>28</v>
      </c>
      <c r="M1068">
        <v>50.7</v>
      </c>
      <c r="N1068">
        <v>2.2000000000000002</v>
      </c>
      <c r="O1068">
        <v>237</v>
      </c>
      <c r="P1068" t="s">
        <v>28</v>
      </c>
    </row>
    <row r="1069" spans="1:16" x14ac:dyDescent="0.25">
      <c r="A1069" t="s">
        <v>1133</v>
      </c>
      <c r="B1069" s="2">
        <v>45796</v>
      </c>
      <c r="C1069" t="s">
        <v>67</v>
      </c>
      <c r="D1069" t="s">
        <v>18</v>
      </c>
      <c r="E1069" t="s">
        <v>55</v>
      </c>
      <c r="F1069">
        <v>64.5</v>
      </c>
      <c r="G1069">
        <v>182.2</v>
      </c>
      <c r="H1069">
        <v>10.5</v>
      </c>
      <c r="I1069">
        <v>25.8</v>
      </c>
      <c r="J1069">
        <v>0.42</v>
      </c>
      <c r="K1069">
        <v>14.9</v>
      </c>
      <c r="L1069">
        <v>32.700000000000003</v>
      </c>
      <c r="M1069">
        <v>30.4</v>
      </c>
      <c r="N1069">
        <v>1.4</v>
      </c>
      <c r="O1069">
        <v>265</v>
      </c>
      <c r="P1069" t="s">
        <v>28</v>
      </c>
    </row>
    <row r="1070" spans="1:16" x14ac:dyDescent="0.25">
      <c r="A1070" t="s">
        <v>1134</v>
      </c>
      <c r="B1070" s="2">
        <v>45882</v>
      </c>
      <c r="C1070" t="s">
        <v>22</v>
      </c>
      <c r="D1070" t="s">
        <v>23</v>
      </c>
      <c r="E1070" t="s">
        <v>97</v>
      </c>
      <c r="F1070">
        <v>63</v>
      </c>
      <c r="G1070">
        <v>62.6</v>
      </c>
      <c r="H1070">
        <v>3.8</v>
      </c>
      <c r="I1070">
        <v>23.8</v>
      </c>
      <c r="J1070">
        <v>0.85</v>
      </c>
      <c r="K1070">
        <v>34.799999999999997</v>
      </c>
      <c r="L1070">
        <v>28.7</v>
      </c>
      <c r="M1070">
        <v>74.3</v>
      </c>
      <c r="N1070">
        <v>2.2000000000000002</v>
      </c>
      <c r="O1070">
        <v>198</v>
      </c>
      <c r="P1070" t="s">
        <v>33</v>
      </c>
    </row>
    <row r="1071" spans="1:16" x14ac:dyDescent="0.25">
      <c r="A1071" t="s">
        <v>1135</v>
      </c>
      <c r="B1071" s="2">
        <v>45942</v>
      </c>
      <c r="C1071" t="s">
        <v>50</v>
      </c>
      <c r="D1071" t="s">
        <v>31</v>
      </c>
      <c r="E1071" t="s">
        <v>58</v>
      </c>
      <c r="F1071">
        <v>57.7</v>
      </c>
      <c r="G1071">
        <v>56</v>
      </c>
      <c r="H1071">
        <v>6.6</v>
      </c>
      <c r="I1071">
        <v>24.9</v>
      </c>
      <c r="J1071">
        <v>1.06</v>
      </c>
      <c r="K1071">
        <v>32.4</v>
      </c>
      <c r="L1071">
        <v>26.9</v>
      </c>
      <c r="M1071">
        <v>85</v>
      </c>
      <c r="N1071">
        <v>1.1000000000000001</v>
      </c>
      <c r="O1071">
        <v>193</v>
      </c>
      <c r="P1071" t="s">
        <v>33</v>
      </c>
    </row>
    <row r="1072" spans="1:16" x14ac:dyDescent="0.25">
      <c r="A1072" t="s">
        <v>1136</v>
      </c>
      <c r="B1072" s="2">
        <v>45828</v>
      </c>
      <c r="C1072" t="s">
        <v>42</v>
      </c>
      <c r="D1072" t="s">
        <v>23</v>
      </c>
      <c r="E1072" t="s">
        <v>40</v>
      </c>
      <c r="F1072">
        <v>58.4</v>
      </c>
      <c r="G1072">
        <v>167.4</v>
      </c>
      <c r="H1072">
        <v>110.2</v>
      </c>
      <c r="I1072">
        <v>11.3</v>
      </c>
      <c r="J1072">
        <v>1.42</v>
      </c>
      <c r="K1072">
        <v>56.6</v>
      </c>
      <c r="L1072">
        <v>21.8</v>
      </c>
      <c r="M1072">
        <v>47.6</v>
      </c>
      <c r="N1072">
        <v>2.2000000000000002</v>
      </c>
      <c r="O1072">
        <v>359</v>
      </c>
      <c r="P1072" t="s">
        <v>20</v>
      </c>
    </row>
    <row r="1073" spans="1:16" x14ac:dyDescent="0.25">
      <c r="A1073" t="s">
        <v>1137</v>
      </c>
      <c r="B1073" s="2">
        <v>45836</v>
      </c>
      <c r="C1073" t="s">
        <v>22</v>
      </c>
      <c r="D1073" t="s">
        <v>23</v>
      </c>
      <c r="E1073" t="s">
        <v>43</v>
      </c>
      <c r="F1073">
        <v>27</v>
      </c>
      <c r="G1073">
        <v>36.5</v>
      </c>
      <c r="H1073">
        <v>5.9</v>
      </c>
      <c r="I1073">
        <v>11.3</v>
      </c>
      <c r="J1073">
        <v>0.77</v>
      </c>
      <c r="K1073">
        <v>33.6</v>
      </c>
      <c r="L1073">
        <v>20.9</v>
      </c>
      <c r="M1073">
        <v>61.2</v>
      </c>
      <c r="N1073">
        <v>1.5</v>
      </c>
      <c r="O1073">
        <v>114</v>
      </c>
      <c r="P1073" t="s">
        <v>33</v>
      </c>
    </row>
    <row r="1074" spans="1:16" x14ac:dyDescent="0.25">
      <c r="A1074" t="s">
        <v>1138</v>
      </c>
      <c r="B1074" s="2">
        <v>45796</v>
      </c>
      <c r="C1074" t="s">
        <v>64</v>
      </c>
      <c r="D1074" t="s">
        <v>36</v>
      </c>
      <c r="E1074" t="s">
        <v>91</v>
      </c>
      <c r="F1074">
        <v>26.7</v>
      </c>
      <c r="G1074">
        <v>65.2</v>
      </c>
      <c r="H1074">
        <v>23.3</v>
      </c>
      <c r="I1074">
        <v>27.9</v>
      </c>
      <c r="J1074">
        <v>0.14000000000000001</v>
      </c>
      <c r="K1074">
        <v>44.1</v>
      </c>
      <c r="L1074">
        <v>23.4</v>
      </c>
      <c r="M1074">
        <v>62.8</v>
      </c>
      <c r="N1074">
        <v>3.2</v>
      </c>
      <c r="O1074">
        <v>147</v>
      </c>
      <c r="P1074" t="s">
        <v>33</v>
      </c>
    </row>
    <row r="1075" spans="1:16" x14ac:dyDescent="0.25">
      <c r="A1075" t="s">
        <v>1139</v>
      </c>
      <c r="B1075" s="2">
        <v>45917</v>
      </c>
      <c r="C1075" t="s">
        <v>81</v>
      </c>
      <c r="D1075" t="s">
        <v>39</v>
      </c>
      <c r="E1075" t="s">
        <v>43</v>
      </c>
      <c r="F1075">
        <v>55.2</v>
      </c>
      <c r="G1075">
        <v>162.30000000000001</v>
      </c>
      <c r="H1075">
        <v>55</v>
      </c>
      <c r="I1075">
        <v>5.0999999999999996</v>
      </c>
      <c r="J1075">
        <v>0.72</v>
      </c>
      <c r="K1075">
        <v>38</v>
      </c>
      <c r="L1075">
        <v>21.6</v>
      </c>
      <c r="M1075">
        <v>42.4</v>
      </c>
      <c r="N1075">
        <v>1.4</v>
      </c>
      <c r="O1075">
        <v>276</v>
      </c>
      <c r="P1075" t="s">
        <v>28</v>
      </c>
    </row>
    <row r="1076" spans="1:16" x14ac:dyDescent="0.25">
      <c r="A1076" t="s">
        <v>1140</v>
      </c>
      <c r="B1076" s="2">
        <v>46010</v>
      </c>
      <c r="C1076" t="s">
        <v>50</v>
      </c>
      <c r="D1076" t="s">
        <v>31</v>
      </c>
      <c r="E1076" t="s">
        <v>91</v>
      </c>
      <c r="F1076">
        <v>66.5</v>
      </c>
      <c r="G1076">
        <v>26.3</v>
      </c>
      <c r="H1076">
        <v>25.1</v>
      </c>
      <c r="I1076">
        <v>2.8</v>
      </c>
      <c r="J1076">
        <v>2.3199999999999998</v>
      </c>
      <c r="K1076">
        <v>25.9</v>
      </c>
      <c r="L1076">
        <v>22.4</v>
      </c>
      <c r="M1076">
        <v>65.8</v>
      </c>
      <c r="N1076">
        <v>2.7</v>
      </c>
      <c r="O1076">
        <v>215</v>
      </c>
      <c r="P1076" t="s">
        <v>28</v>
      </c>
    </row>
    <row r="1077" spans="1:16" x14ac:dyDescent="0.25">
      <c r="A1077" t="s">
        <v>1141</v>
      </c>
      <c r="B1077" s="2">
        <v>45752</v>
      </c>
      <c r="C1077" t="s">
        <v>42</v>
      </c>
      <c r="D1077" t="s">
        <v>23</v>
      </c>
      <c r="E1077" t="s">
        <v>27</v>
      </c>
      <c r="F1077">
        <v>18.2</v>
      </c>
      <c r="G1077">
        <v>79.099999999999994</v>
      </c>
      <c r="H1077">
        <v>23.9</v>
      </c>
      <c r="I1077">
        <v>5.7</v>
      </c>
      <c r="J1077">
        <v>0.34</v>
      </c>
      <c r="K1077">
        <v>35.799999999999997</v>
      </c>
      <c r="L1077">
        <v>22.4</v>
      </c>
      <c r="M1077">
        <v>69.2</v>
      </c>
      <c r="N1077">
        <v>0.7</v>
      </c>
      <c r="O1077">
        <v>128</v>
      </c>
      <c r="P1077" t="s">
        <v>33</v>
      </c>
    </row>
    <row r="1078" spans="1:16" x14ac:dyDescent="0.25">
      <c r="A1078" t="s">
        <v>1142</v>
      </c>
      <c r="B1078" s="2">
        <v>45759</v>
      </c>
      <c r="C1078" t="s">
        <v>26</v>
      </c>
      <c r="D1078" t="s">
        <v>23</v>
      </c>
      <c r="E1078" t="s">
        <v>40</v>
      </c>
      <c r="F1078">
        <v>11</v>
      </c>
      <c r="G1078">
        <v>104.6</v>
      </c>
      <c r="H1078">
        <v>24.2</v>
      </c>
      <c r="I1078">
        <v>5.4</v>
      </c>
      <c r="J1078">
        <v>0.3</v>
      </c>
      <c r="K1078">
        <v>56.7</v>
      </c>
      <c r="L1078">
        <v>21.9</v>
      </c>
      <c r="M1078">
        <v>66.7</v>
      </c>
      <c r="N1078">
        <v>1</v>
      </c>
      <c r="O1078">
        <v>142</v>
      </c>
      <c r="P1078" t="s">
        <v>33</v>
      </c>
    </row>
    <row r="1079" spans="1:16" x14ac:dyDescent="0.25">
      <c r="A1079" t="s">
        <v>1143</v>
      </c>
      <c r="B1079" s="2">
        <v>45915</v>
      </c>
      <c r="C1079" t="s">
        <v>52</v>
      </c>
      <c r="D1079" t="s">
        <v>31</v>
      </c>
      <c r="E1079" t="s">
        <v>24</v>
      </c>
      <c r="F1079">
        <v>46.6</v>
      </c>
      <c r="G1079">
        <v>55.1</v>
      </c>
      <c r="H1079">
        <v>23.4</v>
      </c>
      <c r="I1079">
        <v>2.9</v>
      </c>
      <c r="J1079">
        <v>0.41</v>
      </c>
      <c r="K1079">
        <v>65.5</v>
      </c>
      <c r="L1079">
        <v>28.9</v>
      </c>
      <c r="M1079">
        <v>21.8</v>
      </c>
      <c r="N1079">
        <v>0.1</v>
      </c>
      <c r="O1079">
        <v>171</v>
      </c>
      <c r="P1079" t="s">
        <v>33</v>
      </c>
    </row>
    <row r="1080" spans="1:16" x14ac:dyDescent="0.25">
      <c r="A1080" t="s">
        <v>1144</v>
      </c>
      <c r="B1080" s="2">
        <v>45794</v>
      </c>
      <c r="C1080" t="s">
        <v>35</v>
      </c>
      <c r="D1080" t="s">
        <v>36</v>
      </c>
      <c r="E1080" t="s">
        <v>70</v>
      </c>
      <c r="F1080">
        <v>44</v>
      </c>
      <c r="G1080">
        <v>117.2</v>
      </c>
      <c r="H1080">
        <v>18.5</v>
      </c>
      <c r="I1080">
        <v>51.9</v>
      </c>
      <c r="J1080">
        <v>0.24</v>
      </c>
      <c r="K1080">
        <v>12</v>
      </c>
      <c r="L1080">
        <v>25.9</v>
      </c>
      <c r="M1080">
        <v>90.9</v>
      </c>
      <c r="N1080">
        <v>3.2</v>
      </c>
      <c r="O1080">
        <v>209</v>
      </c>
      <c r="P1080" t="s">
        <v>28</v>
      </c>
    </row>
    <row r="1081" spans="1:16" x14ac:dyDescent="0.25">
      <c r="A1081" t="s">
        <v>1145</v>
      </c>
      <c r="B1081" s="2">
        <v>45743</v>
      </c>
      <c r="C1081" t="s">
        <v>77</v>
      </c>
      <c r="D1081" t="s">
        <v>39</v>
      </c>
      <c r="E1081" t="s">
        <v>61</v>
      </c>
      <c r="F1081">
        <v>10.1</v>
      </c>
      <c r="G1081">
        <v>82.4</v>
      </c>
      <c r="H1081">
        <v>18.2</v>
      </c>
      <c r="I1081">
        <v>8.6</v>
      </c>
      <c r="J1081">
        <v>1.65</v>
      </c>
      <c r="K1081">
        <v>11.1</v>
      </c>
      <c r="L1081">
        <v>30.5</v>
      </c>
      <c r="M1081">
        <v>51.8</v>
      </c>
      <c r="N1081">
        <v>1.7</v>
      </c>
      <c r="O1081">
        <v>137</v>
      </c>
      <c r="P1081" t="s">
        <v>33</v>
      </c>
    </row>
    <row r="1082" spans="1:16" x14ac:dyDescent="0.25">
      <c r="A1082" t="s">
        <v>1146</v>
      </c>
      <c r="B1082" s="2">
        <v>45681</v>
      </c>
      <c r="C1082" t="s">
        <v>99</v>
      </c>
      <c r="D1082" t="s">
        <v>36</v>
      </c>
      <c r="E1082" t="s">
        <v>91</v>
      </c>
      <c r="F1082">
        <v>112.8</v>
      </c>
      <c r="G1082">
        <v>49.5</v>
      </c>
      <c r="H1082">
        <v>18.899999999999999</v>
      </c>
      <c r="I1082">
        <v>24.9</v>
      </c>
      <c r="J1082">
        <v>0.88</v>
      </c>
      <c r="K1082">
        <v>26.3</v>
      </c>
      <c r="L1082">
        <v>31.7</v>
      </c>
      <c r="M1082">
        <v>55.8</v>
      </c>
      <c r="N1082">
        <v>1.9</v>
      </c>
      <c r="O1082">
        <v>279</v>
      </c>
      <c r="P1082" t="s">
        <v>28</v>
      </c>
    </row>
    <row r="1083" spans="1:16" x14ac:dyDescent="0.25">
      <c r="A1083" t="s">
        <v>1147</v>
      </c>
      <c r="B1083" s="2">
        <v>45780</v>
      </c>
      <c r="C1083" t="s">
        <v>77</v>
      </c>
      <c r="D1083" t="s">
        <v>39</v>
      </c>
      <c r="E1083" t="s">
        <v>55</v>
      </c>
      <c r="F1083">
        <v>35.200000000000003</v>
      </c>
      <c r="G1083">
        <v>115.8</v>
      </c>
      <c r="H1083">
        <v>38.799999999999997</v>
      </c>
      <c r="I1083">
        <v>18.8</v>
      </c>
      <c r="J1083">
        <v>0.56999999999999995</v>
      </c>
      <c r="K1083">
        <v>31.3</v>
      </c>
      <c r="L1083">
        <v>23.1</v>
      </c>
      <c r="M1083">
        <v>72</v>
      </c>
      <c r="N1083">
        <v>1.6</v>
      </c>
      <c r="O1083">
        <v>204</v>
      </c>
      <c r="P1083" t="s">
        <v>28</v>
      </c>
    </row>
    <row r="1084" spans="1:16" x14ac:dyDescent="0.25">
      <c r="A1084" t="s">
        <v>1148</v>
      </c>
      <c r="B1084" s="2">
        <v>45841</v>
      </c>
      <c r="C1084" t="s">
        <v>35</v>
      </c>
      <c r="D1084" t="s">
        <v>36</v>
      </c>
      <c r="E1084" t="s">
        <v>40</v>
      </c>
      <c r="F1084">
        <v>56</v>
      </c>
      <c r="G1084">
        <v>28.3</v>
      </c>
      <c r="H1084">
        <v>44.7</v>
      </c>
      <c r="I1084">
        <v>3.8</v>
      </c>
      <c r="J1084">
        <v>0.6</v>
      </c>
      <c r="K1084">
        <v>13</v>
      </c>
      <c r="L1084">
        <v>34.5</v>
      </c>
      <c r="M1084">
        <v>59.6</v>
      </c>
      <c r="N1084">
        <v>1.7</v>
      </c>
      <c r="O1084">
        <v>167</v>
      </c>
      <c r="P1084" t="s">
        <v>33</v>
      </c>
    </row>
    <row r="1085" spans="1:16" x14ac:dyDescent="0.25">
      <c r="A1085" t="s">
        <v>1149</v>
      </c>
      <c r="B1085" s="2">
        <v>45761</v>
      </c>
      <c r="C1085" t="s">
        <v>17</v>
      </c>
      <c r="D1085" t="s">
        <v>18</v>
      </c>
      <c r="E1085" t="s">
        <v>24</v>
      </c>
      <c r="F1085">
        <v>124.5</v>
      </c>
      <c r="G1085">
        <v>15.6</v>
      </c>
      <c r="H1085">
        <v>27.6</v>
      </c>
      <c r="I1085">
        <v>12.9</v>
      </c>
      <c r="J1085">
        <v>0.87</v>
      </c>
      <c r="K1085">
        <v>15.2</v>
      </c>
      <c r="L1085">
        <v>27.3</v>
      </c>
      <c r="M1085">
        <v>33.200000000000003</v>
      </c>
      <c r="N1085">
        <v>1.9</v>
      </c>
      <c r="O1085">
        <v>269</v>
      </c>
      <c r="P1085" t="s">
        <v>28</v>
      </c>
    </row>
    <row r="1086" spans="1:16" x14ac:dyDescent="0.25">
      <c r="A1086" t="s">
        <v>1150</v>
      </c>
      <c r="B1086" s="2">
        <v>45918</v>
      </c>
      <c r="C1086" t="s">
        <v>42</v>
      </c>
      <c r="D1086" t="s">
        <v>23</v>
      </c>
      <c r="E1086" t="s">
        <v>97</v>
      </c>
      <c r="F1086">
        <v>30.9</v>
      </c>
      <c r="G1086">
        <v>63.8</v>
      </c>
      <c r="H1086">
        <v>10.4</v>
      </c>
      <c r="I1086">
        <v>2</v>
      </c>
      <c r="J1086">
        <v>1.49</v>
      </c>
      <c r="K1086">
        <v>53.5</v>
      </c>
      <c r="L1086">
        <v>32.4</v>
      </c>
      <c r="M1086">
        <v>76.599999999999994</v>
      </c>
      <c r="N1086">
        <v>2.9</v>
      </c>
      <c r="O1086">
        <v>162</v>
      </c>
      <c r="P1086" t="s">
        <v>33</v>
      </c>
    </row>
    <row r="1087" spans="1:16" x14ac:dyDescent="0.25">
      <c r="A1087" t="s">
        <v>1151</v>
      </c>
      <c r="B1087" s="2">
        <v>45817</v>
      </c>
      <c r="C1087" t="s">
        <v>50</v>
      </c>
      <c r="D1087" t="s">
        <v>31</v>
      </c>
      <c r="E1087" t="s">
        <v>43</v>
      </c>
      <c r="F1087">
        <v>84</v>
      </c>
      <c r="G1087">
        <v>63.3</v>
      </c>
      <c r="H1087">
        <v>24.3</v>
      </c>
      <c r="I1087">
        <v>36</v>
      </c>
      <c r="J1087">
        <v>0.33</v>
      </c>
      <c r="K1087">
        <v>83.1</v>
      </c>
      <c r="L1087">
        <v>30</v>
      </c>
      <c r="M1087">
        <v>33.1</v>
      </c>
      <c r="N1087">
        <v>2</v>
      </c>
      <c r="O1087">
        <v>266</v>
      </c>
      <c r="P1087" t="s">
        <v>28</v>
      </c>
    </row>
    <row r="1088" spans="1:16" x14ac:dyDescent="0.25">
      <c r="A1088" t="s">
        <v>1152</v>
      </c>
      <c r="B1088" s="2">
        <v>45777</v>
      </c>
      <c r="C1088" t="s">
        <v>99</v>
      </c>
      <c r="D1088" t="s">
        <v>36</v>
      </c>
      <c r="E1088" t="s">
        <v>43</v>
      </c>
      <c r="F1088">
        <v>33.799999999999997</v>
      </c>
      <c r="G1088">
        <v>73.099999999999994</v>
      </c>
      <c r="H1088">
        <v>59.5</v>
      </c>
      <c r="I1088">
        <v>8.4</v>
      </c>
      <c r="J1088">
        <v>0.41</v>
      </c>
      <c r="K1088">
        <v>38.299999999999997</v>
      </c>
      <c r="L1088">
        <v>27.5</v>
      </c>
      <c r="M1088">
        <v>52.5</v>
      </c>
      <c r="N1088">
        <v>3.1</v>
      </c>
      <c r="O1088">
        <v>183</v>
      </c>
      <c r="P1088" t="s">
        <v>33</v>
      </c>
    </row>
    <row r="1089" spans="1:16" x14ac:dyDescent="0.25">
      <c r="A1089" t="s">
        <v>1153</v>
      </c>
      <c r="B1089" s="2">
        <v>45736</v>
      </c>
      <c r="C1089" t="s">
        <v>42</v>
      </c>
      <c r="D1089" t="s">
        <v>23</v>
      </c>
      <c r="E1089" t="s">
        <v>19</v>
      </c>
      <c r="F1089">
        <v>78.900000000000006</v>
      </c>
      <c r="G1089">
        <v>97.3</v>
      </c>
      <c r="H1089">
        <v>15.8</v>
      </c>
      <c r="I1089">
        <v>24.4</v>
      </c>
      <c r="J1089">
        <v>0.51</v>
      </c>
      <c r="K1089">
        <v>19.399999999999999</v>
      </c>
      <c r="L1089">
        <v>27.4</v>
      </c>
      <c r="M1089">
        <v>78.099999999999994</v>
      </c>
      <c r="N1089">
        <v>2.7</v>
      </c>
      <c r="O1089">
        <v>241</v>
      </c>
      <c r="P1089" t="s">
        <v>28</v>
      </c>
    </row>
    <row r="1090" spans="1:16" x14ac:dyDescent="0.25">
      <c r="A1090" t="s">
        <v>1154</v>
      </c>
      <c r="B1090" s="2">
        <v>45805</v>
      </c>
      <c r="C1090" t="s">
        <v>54</v>
      </c>
      <c r="D1090" t="s">
        <v>18</v>
      </c>
      <c r="E1090" t="s">
        <v>32</v>
      </c>
      <c r="F1090">
        <v>51.2</v>
      </c>
      <c r="G1090">
        <v>44.4</v>
      </c>
      <c r="H1090">
        <v>37.799999999999997</v>
      </c>
      <c r="I1090">
        <v>10.8</v>
      </c>
      <c r="J1090">
        <v>0.66</v>
      </c>
      <c r="K1090">
        <v>95.1</v>
      </c>
      <c r="L1090">
        <v>33.4</v>
      </c>
      <c r="M1090">
        <v>72</v>
      </c>
      <c r="N1090">
        <v>2.8</v>
      </c>
      <c r="O1090">
        <v>208</v>
      </c>
      <c r="P1090" t="s">
        <v>28</v>
      </c>
    </row>
    <row r="1091" spans="1:16" x14ac:dyDescent="0.25">
      <c r="A1091" t="s">
        <v>1155</v>
      </c>
      <c r="B1091" s="2">
        <v>45878</v>
      </c>
      <c r="C1091" t="s">
        <v>50</v>
      </c>
      <c r="D1091" t="s">
        <v>31</v>
      </c>
      <c r="E1091" t="s">
        <v>32</v>
      </c>
      <c r="F1091">
        <v>33.5</v>
      </c>
      <c r="G1091">
        <v>19.5</v>
      </c>
      <c r="H1091">
        <v>36.200000000000003</v>
      </c>
      <c r="I1091">
        <v>2.2000000000000002</v>
      </c>
      <c r="J1091">
        <v>1.1200000000000001</v>
      </c>
      <c r="K1091">
        <v>31.4</v>
      </c>
      <c r="L1091">
        <v>36.200000000000003</v>
      </c>
      <c r="M1091">
        <v>73.2</v>
      </c>
      <c r="N1091">
        <v>2.2999999999999998</v>
      </c>
      <c r="O1091">
        <v>139</v>
      </c>
      <c r="P1091" t="s">
        <v>33</v>
      </c>
    </row>
    <row r="1092" spans="1:16" x14ac:dyDescent="0.25">
      <c r="A1092" t="s">
        <v>1156</v>
      </c>
      <c r="B1092" s="2">
        <v>45876</v>
      </c>
      <c r="C1092" t="s">
        <v>22</v>
      </c>
      <c r="D1092" t="s">
        <v>23</v>
      </c>
      <c r="E1092" t="s">
        <v>19</v>
      </c>
      <c r="F1092">
        <v>44.7</v>
      </c>
      <c r="G1092">
        <v>41.9</v>
      </c>
      <c r="H1092">
        <v>18.8</v>
      </c>
      <c r="I1092">
        <v>32.9</v>
      </c>
      <c r="J1092">
        <v>0.66</v>
      </c>
      <c r="K1092">
        <v>42.9</v>
      </c>
      <c r="L1092">
        <v>25.6</v>
      </c>
      <c r="M1092">
        <v>55</v>
      </c>
      <c r="N1092">
        <v>1.4</v>
      </c>
      <c r="O1092">
        <v>173</v>
      </c>
      <c r="P1092" t="s">
        <v>33</v>
      </c>
    </row>
    <row r="1093" spans="1:16" x14ac:dyDescent="0.25">
      <c r="A1093" t="s">
        <v>1157</v>
      </c>
      <c r="B1093" s="2">
        <v>45893</v>
      </c>
      <c r="C1093" t="s">
        <v>81</v>
      </c>
      <c r="D1093" t="s">
        <v>39</v>
      </c>
      <c r="E1093" t="s">
        <v>97</v>
      </c>
      <c r="F1093">
        <v>63.9</v>
      </c>
      <c r="G1093">
        <v>117.7</v>
      </c>
      <c r="H1093">
        <v>5.9</v>
      </c>
      <c r="I1093">
        <v>6.5</v>
      </c>
      <c r="J1093">
        <v>1.23</v>
      </c>
      <c r="K1093">
        <v>47.7</v>
      </c>
      <c r="L1093">
        <v>23.4</v>
      </c>
      <c r="M1093">
        <v>58.5</v>
      </c>
      <c r="N1093">
        <v>2.8</v>
      </c>
      <c r="O1093">
        <v>240</v>
      </c>
      <c r="P1093" t="s">
        <v>28</v>
      </c>
    </row>
    <row r="1094" spans="1:16" x14ac:dyDescent="0.25">
      <c r="A1094" t="s">
        <v>1158</v>
      </c>
      <c r="B1094" s="2">
        <v>45796</v>
      </c>
      <c r="C1094" t="s">
        <v>22</v>
      </c>
      <c r="D1094" t="s">
        <v>23</v>
      </c>
      <c r="E1094" t="s">
        <v>40</v>
      </c>
      <c r="F1094">
        <v>92.5</v>
      </c>
      <c r="G1094">
        <v>156.80000000000001</v>
      </c>
      <c r="H1094">
        <v>11.9</v>
      </c>
      <c r="I1094">
        <v>4.7</v>
      </c>
      <c r="J1094">
        <v>1.53</v>
      </c>
      <c r="K1094">
        <v>65.099999999999994</v>
      </c>
      <c r="L1094">
        <v>26.4</v>
      </c>
      <c r="M1094">
        <v>82.3</v>
      </c>
      <c r="N1094">
        <v>1.9</v>
      </c>
      <c r="O1094">
        <v>330</v>
      </c>
      <c r="P1094" t="s">
        <v>20</v>
      </c>
    </row>
    <row r="1095" spans="1:16" x14ac:dyDescent="0.25">
      <c r="A1095" t="s">
        <v>1159</v>
      </c>
      <c r="B1095" s="2">
        <v>45741</v>
      </c>
      <c r="C1095" t="s">
        <v>93</v>
      </c>
      <c r="D1095" t="s">
        <v>36</v>
      </c>
      <c r="E1095" t="s">
        <v>27</v>
      </c>
      <c r="F1095">
        <v>42.7</v>
      </c>
      <c r="G1095">
        <v>46.5</v>
      </c>
      <c r="H1095">
        <v>27.9</v>
      </c>
      <c r="I1095">
        <v>20</v>
      </c>
      <c r="J1095">
        <v>0.22</v>
      </c>
      <c r="K1095">
        <v>170.2</v>
      </c>
      <c r="L1095">
        <v>17.7</v>
      </c>
      <c r="M1095">
        <v>70.599999999999994</v>
      </c>
      <c r="N1095">
        <v>1.6</v>
      </c>
      <c r="O1095">
        <v>217</v>
      </c>
      <c r="P1095" t="s">
        <v>28</v>
      </c>
    </row>
    <row r="1096" spans="1:16" x14ac:dyDescent="0.25">
      <c r="A1096" t="s">
        <v>1160</v>
      </c>
      <c r="B1096" s="2">
        <v>46020</v>
      </c>
      <c r="C1096" t="s">
        <v>64</v>
      </c>
      <c r="D1096" t="s">
        <v>36</v>
      </c>
      <c r="E1096" t="s">
        <v>91</v>
      </c>
      <c r="F1096">
        <v>102.6</v>
      </c>
      <c r="G1096">
        <v>56.8</v>
      </c>
      <c r="H1096">
        <v>37.299999999999997</v>
      </c>
      <c r="I1096">
        <v>6.1</v>
      </c>
      <c r="J1096">
        <v>0.35</v>
      </c>
      <c r="K1096">
        <v>45</v>
      </c>
      <c r="L1096">
        <v>25.3</v>
      </c>
      <c r="M1096">
        <v>60.4</v>
      </c>
      <c r="N1096">
        <v>2.8</v>
      </c>
      <c r="O1096">
        <v>264</v>
      </c>
      <c r="P1096" t="s">
        <v>28</v>
      </c>
    </row>
    <row r="1097" spans="1:16" x14ac:dyDescent="0.25">
      <c r="A1097" t="s">
        <v>1161</v>
      </c>
      <c r="B1097" s="2">
        <v>45939</v>
      </c>
      <c r="C1097" t="s">
        <v>35</v>
      </c>
      <c r="D1097" t="s">
        <v>36</v>
      </c>
      <c r="E1097" t="s">
        <v>32</v>
      </c>
      <c r="F1097">
        <v>18.399999999999999</v>
      </c>
      <c r="G1097">
        <v>54.7</v>
      </c>
      <c r="H1097">
        <v>21.4</v>
      </c>
      <c r="I1097">
        <v>6.4</v>
      </c>
      <c r="J1097">
        <v>0.54</v>
      </c>
      <c r="K1097">
        <v>19.600000000000001</v>
      </c>
      <c r="L1097">
        <v>36</v>
      </c>
      <c r="M1097">
        <v>69.3</v>
      </c>
      <c r="N1097">
        <v>2.8</v>
      </c>
      <c r="O1097">
        <v>109</v>
      </c>
      <c r="P1097" t="s">
        <v>33</v>
      </c>
    </row>
    <row r="1098" spans="1:16" x14ac:dyDescent="0.25">
      <c r="A1098" t="s">
        <v>1162</v>
      </c>
      <c r="B1098" s="2">
        <v>45986</v>
      </c>
      <c r="C1098" t="s">
        <v>67</v>
      </c>
      <c r="D1098" t="s">
        <v>18</v>
      </c>
      <c r="E1098" t="s">
        <v>91</v>
      </c>
      <c r="F1098">
        <v>75.2</v>
      </c>
      <c r="G1098">
        <v>113.5</v>
      </c>
      <c r="H1098">
        <v>22.1</v>
      </c>
      <c r="I1098">
        <v>13.2</v>
      </c>
      <c r="J1098">
        <v>1.28</v>
      </c>
      <c r="K1098">
        <v>27.6</v>
      </c>
      <c r="L1098">
        <v>28.8</v>
      </c>
      <c r="M1098">
        <v>62.8</v>
      </c>
      <c r="N1098">
        <v>3.5</v>
      </c>
      <c r="O1098">
        <v>265</v>
      </c>
      <c r="P1098" t="s">
        <v>28</v>
      </c>
    </row>
    <row r="1099" spans="1:16" x14ac:dyDescent="0.25">
      <c r="A1099" t="s">
        <v>1163</v>
      </c>
      <c r="B1099" s="2">
        <v>45900</v>
      </c>
      <c r="C1099" t="s">
        <v>81</v>
      </c>
      <c r="D1099" t="s">
        <v>39</v>
      </c>
      <c r="E1099" t="s">
        <v>45</v>
      </c>
      <c r="F1099">
        <v>62</v>
      </c>
      <c r="G1099">
        <v>71.5</v>
      </c>
      <c r="H1099">
        <v>20.399999999999999</v>
      </c>
      <c r="I1099">
        <v>44.5</v>
      </c>
      <c r="J1099">
        <v>0.9</v>
      </c>
      <c r="K1099">
        <v>52.8</v>
      </c>
      <c r="L1099">
        <v>25.3</v>
      </c>
      <c r="M1099">
        <v>74.3</v>
      </c>
      <c r="N1099">
        <v>1.6</v>
      </c>
      <c r="O1099">
        <v>239</v>
      </c>
      <c r="P1099" t="s">
        <v>28</v>
      </c>
    </row>
    <row r="1100" spans="1:16" x14ac:dyDescent="0.25">
      <c r="A1100" t="s">
        <v>1164</v>
      </c>
      <c r="B1100" s="2">
        <v>45953</v>
      </c>
      <c r="C1100" t="s">
        <v>99</v>
      </c>
      <c r="D1100" t="s">
        <v>36</v>
      </c>
      <c r="E1100" t="s">
        <v>58</v>
      </c>
      <c r="F1100">
        <v>32.1</v>
      </c>
      <c r="G1100">
        <v>81.900000000000006</v>
      </c>
      <c r="H1100">
        <v>7.2</v>
      </c>
      <c r="I1100">
        <v>12</v>
      </c>
      <c r="J1100">
        <v>2.0699999999999998</v>
      </c>
      <c r="K1100">
        <v>34.1</v>
      </c>
      <c r="L1100">
        <v>26</v>
      </c>
      <c r="M1100">
        <v>55.7</v>
      </c>
      <c r="N1100">
        <v>2.2000000000000002</v>
      </c>
      <c r="O1100">
        <v>186</v>
      </c>
      <c r="P1100" t="s">
        <v>33</v>
      </c>
    </row>
    <row r="1101" spans="1:16" x14ac:dyDescent="0.25">
      <c r="A1101" t="s">
        <v>1165</v>
      </c>
      <c r="B1101" s="2">
        <v>46007</v>
      </c>
      <c r="C1101" t="s">
        <v>17</v>
      </c>
      <c r="D1101" t="s">
        <v>18</v>
      </c>
      <c r="E1101" t="s">
        <v>45</v>
      </c>
      <c r="F1101">
        <v>39.200000000000003</v>
      </c>
      <c r="G1101">
        <v>117.7</v>
      </c>
      <c r="H1101">
        <v>8.3000000000000007</v>
      </c>
      <c r="I1101">
        <v>5.9</v>
      </c>
      <c r="J1101">
        <v>1.67</v>
      </c>
      <c r="K1101">
        <v>64.8</v>
      </c>
      <c r="L1101">
        <v>25.4</v>
      </c>
      <c r="M1101">
        <v>67.3</v>
      </c>
      <c r="N1101">
        <v>2</v>
      </c>
      <c r="O1101">
        <v>221</v>
      </c>
      <c r="P1101" t="s">
        <v>28</v>
      </c>
    </row>
    <row r="1102" spans="1:16" x14ac:dyDescent="0.25">
      <c r="A1102" t="s">
        <v>1166</v>
      </c>
      <c r="B1102" s="2">
        <v>45771</v>
      </c>
      <c r="C1102" t="s">
        <v>26</v>
      </c>
      <c r="D1102" t="s">
        <v>23</v>
      </c>
      <c r="E1102" t="s">
        <v>58</v>
      </c>
      <c r="F1102">
        <v>14.4</v>
      </c>
      <c r="G1102">
        <v>110.9</v>
      </c>
      <c r="H1102">
        <v>18.7</v>
      </c>
      <c r="I1102">
        <v>28</v>
      </c>
      <c r="J1102">
        <v>0.36</v>
      </c>
      <c r="K1102">
        <v>52.3</v>
      </c>
      <c r="L1102">
        <v>27</v>
      </c>
      <c r="M1102">
        <v>88.1</v>
      </c>
      <c r="N1102">
        <v>0.8</v>
      </c>
      <c r="O1102">
        <v>162</v>
      </c>
      <c r="P1102" t="s">
        <v>33</v>
      </c>
    </row>
    <row r="1103" spans="1:16" x14ac:dyDescent="0.25">
      <c r="A1103" t="s">
        <v>1167</v>
      </c>
      <c r="B1103" s="2">
        <v>45973</v>
      </c>
      <c r="C1103" t="s">
        <v>54</v>
      </c>
      <c r="D1103" t="s">
        <v>18</v>
      </c>
      <c r="E1103" t="s">
        <v>68</v>
      </c>
      <c r="F1103">
        <v>32.700000000000003</v>
      </c>
      <c r="G1103">
        <v>23.7</v>
      </c>
      <c r="H1103">
        <v>13.3</v>
      </c>
      <c r="I1103">
        <v>8.5</v>
      </c>
      <c r="J1103">
        <v>1.71</v>
      </c>
      <c r="K1103">
        <v>65.099999999999994</v>
      </c>
      <c r="L1103">
        <v>35</v>
      </c>
      <c r="M1103">
        <v>57.1</v>
      </c>
      <c r="N1103">
        <v>3.2</v>
      </c>
      <c r="O1103">
        <v>156</v>
      </c>
      <c r="P1103" t="s">
        <v>33</v>
      </c>
    </row>
    <row r="1104" spans="1:16" x14ac:dyDescent="0.25">
      <c r="A1104" t="s">
        <v>1168</v>
      </c>
      <c r="B1104" s="2">
        <v>45869</v>
      </c>
      <c r="C1104" t="s">
        <v>26</v>
      </c>
      <c r="D1104" t="s">
        <v>23</v>
      </c>
      <c r="E1104" t="s">
        <v>58</v>
      </c>
      <c r="F1104">
        <v>108.2</v>
      </c>
      <c r="G1104">
        <v>115.5</v>
      </c>
      <c r="H1104">
        <v>10.3</v>
      </c>
      <c r="I1104">
        <v>3.7</v>
      </c>
      <c r="J1104">
        <v>0.94</v>
      </c>
      <c r="K1104">
        <v>8.6</v>
      </c>
      <c r="L1104">
        <v>28.7</v>
      </c>
      <c r="M1104">
        <v>79.400000000000006</v>
      </c>
      <c r="N1104">
        <v>1.9</v>
      </c>
      <c r="O1104">
        <v>286</v>
      </c>
      <c r="P1104" t="s">
        <v>28</v>
      </c>
    </row>
    <row r="1105" spans="1:16" x14ac:dyDescent="0.25">
      <c r="A1105" t="s">
        <v>1169</v>
      </c>
      <c r="B1105" s="2">
        <v>46003</v>
      </c>
      <c r="C1105" t="s">
        <v>42</v>
      </c>
      <c r="D1105" t="s">
        <v>23</v>
      </c>
      <c r="E1105" t="s">
        <v>32</v>
      </c>
      <c r="F1105">
        <v>26.6</v>
      </c>
      <c r="G1105">
        <v>128</v>
      </c>
      <c r="H1105">
        <v>7.5</v>
      </c>
      <c r="I1105">
        <v>8.8000000000000007</v>
      </c>
      <c r="J1105">
        <v>2.35</v>
      </c>
      <c r="K1105">
        <v>9.9</v>
      </c>
      <c r="L1105">
        <v>29.8</v>
      </c>
      <c r="M1105">
        <v>80.8</v>
      </c>
      <c r="N1105">
        <v>3</v>
      </c>
      <c r="O1105">
        <v>201</v>
      </c>
      <c r="P1105" t="s">
        <v>28</v>
      </c>
    </row>
    <row r="1106" spans="1:16" x14ac:dyDescent="0.25">
      <c r="A1106" t="s">
        <v>1170</v>
      </c>
      <c r="B1106" s="2">
        <v>46002</v>
      </c>
      <c r="C1106" t="s">
        <v>26</v>
      </c>
      <c r="D1106" t="s">
        <v>23</v>
      </c>
      <c r="E1106" t="s">
        <v>19</v>
      </c>
      <c r="F1106">
        <v>33.4</v>
      </c>
      <c r="G1106">
        <v>70</v>
      </c>
      <c r="H1106">
        <v>35.1</v>
      </c>
      <c r="I1106">
        <v>19.2</v>
      </c>
      <c r="J1106">
        <v>0.17</v>
      </c>
      <c r="K1106">
        <v>31.3</v>
      </c>
      <c r="L1106">
        <v>20</v>
      </c>
      <c r="M1106">
        <v>30.9</v>
      </c>
      <c r="N1106">
        <v>1.7</v>
      </c>
      <c r="O1106">
        <v>159</v>
      </c>
      <c r="P1106" t="s">
        <v>33</v>
      </c>
    </row>
    <row r="1107" spans="1:16" x14ac:dyDescent="0.25">
      <c r="A1107" t="s">
        <v>1171</v>
      </c>
      <c r="B1107" s="2">
        <v>45994</v>
      </c>
      <c r="C1107" t="s">
        <v>38</v>
      </c>
      <c r="D1107" t="s">
        <v>39</v>
      </c>
      <c r="E1107" t="s">
        <v>27</v>
      </c>
      <c r="F1107">
        <v>62.5</v>
      </c>
      <c r="G1107">
        <v>21.3</v>
      </c>
      <c r="H1107">
        <v>8.5</v>
      </c>
      <c r="I1107">
        <v>11.2</v>
      </c>
      <c r="J1107">
        <v>0.33</v>
      </c>
      <c r="K1107">
        <v>12.6</v>
      </c>
      <c r="L1107">
        <v>19.600000000000001</v>
      </c>
      <c r="M1107">
        <v>36.299999999999997</v>
      </c>
      <c r="N1107">
        <v>3.8</v>
      </c>
      <c r="O1107">
        <v>142</v>
      </c>
      <c r="P1107" t="s">
        <v>33</v>
      </c>
    </row>
    <row r="1108" spans="1:16" x14ac:dyDescent="0.25">
      <c r="A1108" t="s">
        <v>1172</v>
      </c>
      <c r="B1108" s="2">
        <v>45995</v>
      </c>
      <c r="C1108" t="s">
        <v>67</v>
      </c>
      <c r="D1108" t="s">
        <v>18</v>
      </c>
      <c r="E1108" t="s">
        <v>61</v>
      </c>
      <c r="F1108">
        <v>76.099999999999994</v>
      </c>
      <c r="G1108">
        <v>37.200000000000003</v>
      </c>
      <c r="H1108">
        <v>26.7</v>
      </c>
      <c r="I1108">
        <v>20.7</v>
      </c>
      <c r="J1108">
        <v>0.69</v>
      </c>
      <c r="K1108">
        <v>63.4</v>
      </c>
      <c r="L1108">
        <v>24.3</v>
      </c>
      <c r="M1108">
        <v>38.799999999999997</v>
      </c>
      <c r="N1108">
        <v>2</v>
      </c>
      <c r="O1108">
        <v>228</v>
      </c>
      <c r="P1108" t="s">
        <v>28</v>
      </c>
    </row>
    <row r="1109" spans="1:16" x14ac:dyDescent="0.25">
      <c r="A1109" t="s">
        <v>1173</v>
      </c>
      <c r="B1109" s="2">
        <v>45988</v>
      </c>
      <c r="C1109" t="s">
        <v>17</v>
      </c>
      <c r="D1109" t="s">
        <v>18</v>
      </c>
      <c r="E1109" t="s">
        <v>40</v>
      </c>
      <c r="F1109">
        <v>45.5</v>
      </c>
      <c r="G1109">
        <v>97.6</v>
      </c>
      <c r="H1109">
        <v>46.1</v>
      </c>
      <c r="I1109">
        <v>12.9</v>
      </c>
      <c r="J1109">
        <v>0.25</v>
      </c>
      <c r="K1109">
        <v>54</v>
      </c>
      <c r="L1109">
        <v>32.4</v>
      </c>
      <c r="M1109">
        <v>51.3</v>
      </c>
      <c r="N1109">
        <v>2.5</v>
      </c>
      <c r="O1109">
        <v>213</v>
      </c>
      <c r="P1109" t="s">
        <v>28</v>
      </c>
    </row>
    <row r="1110" spans="1:16" x14ac:dyDescent="0.25">
      <c r="A1110" t="s">
        <v>1174</v>
      </c>
      <c r="B1110" s="2">
        <v>45902</v>
      </c>
      <c r="C1110" t="s">
        <v>42</v>
      </c>
      <c r="D1110" t="s">
        <v>23</v>
      </c>
      <c r="E1110" t="s">
        <v>19</v>
      </c>
      <c r="F1110">
        <v>72.8</v>
      </c>
      <c r="G1110">
        <v>51.3</v>
      </c>
      <c r="H1110">
        <v>28.9</v>
      </c>
      <c r="I1110">
        <v>1.3</v>
      </c>
      <c r="J1110">
        <v>0.89</v>
      </c>
      <c r="K1110">
        <v>28.8</v>
      </c>
      <c r="L1110">
        <v>27.9</v>
      </c>
      <c r="M1110">
        <v>53.2</v>
      </c>
      <c r="N1110">
        <v>1</v>
      </c>
      <c r="O1110">
        <v>209</v>
      </c>
      <c r="P1110" t="s">
        <v>28</v>
      </c>
    </row>
    <row r="1111" spans="1:16" x14ac:dyDescent="0.25">
      <c r="A1111" t="s">
        <v>1175</v>
      </c>
      <c r="B1111" s="2">
        <v>46017</v>
      </c>
      <c r="C1111" t="s">
        <v>77</v>
      </c>
      <c r="D1111" t="s">
        <v>39</v>
      </c>
      <c r="E1111" t="s">
        <v>74</v>
      </c>
      <c r="F1111">
        <v>40.700000000000003</v>
      </c>
      <c r="G1111">
        <v>133.80000000000001</v>
      </c>
      <c r="H1111">
        <v>64.099999999999994</v>
      </c>
      <c r="I1111">
        <v>13.2</v>
      </c>
      <c r="J1111">
        <v>1</v>
      </c>
      <c r="K1111">
        <v>49.4</v>
      </c>
      <c r="L1111">
        <v>30.1</v>
      </c>
      <c r="M1111">
        <v>86.4</v>
      </c>
      <c r="N1111">
        <v>2.9</v>
      </c>
      <c r="O1111">
        <v>260</v>
      </c>
      <c r="P1111" t="s">
        <v>28</v>
      </c>
    </row>
    <row r="1112" spans="1:16" x14ac:dyDescent="0.25">
      <c r="A1112" t="s">
        <v>1176</v>
      </c>
      <c r="B1112" s="2">
        <v>45992</v>
      </c>
      <c r="C1112" t="s">
        <v>67</v>
      </c>
      <c r="D1112" t="s">
        <v>18</v>
      </c>
      <c r="E1112" t="s">
        <v>32</v>
      </c>
      <c r="F1112">
        <v>27.9</v>
      </c>
      <c r="G1112">
        <v>72.599999999999994</v>
      </c>
      <c r="H1112">
        <v>81.099999999999994</v>
      </c>
      <c r="I1112">
        <v>10.9</v>
      </c>
      <c r="J1112">
        <v>1.18</v>
      </c>
      <c r="K1112">
        <v>41.7</v>
      </c>
      <c r="L1112">
        <v>25.4</v>
      </c>
      <c r="M1112">
        <v>72</v>
      </c>
      <c r="N1112">
        <v>2.7</v>
      </c>
      <c r="O1112">
        <v>213</v>
      </c>
      <c r="P1112" t="s">
        <v>28</v>
      </c>
    </row>
    <row r="1113" spans="1:16" x14ac:dyDescent="0.25">
      <c r="A1113" t="s">
        <v>1177</v>
      </c>
      <c r="B1113" s="2">
        <v>46006</v>
      </c>
      <c r="C1113" t="s">
        <v>17</v>
      </c>
      <c r="D1113" t="s">
        <v>18</v>
      </c>
      <c r="E1113" t="s">
        <v>58</v>
      </c>
      <c r="F1113">
        <v>72</v>
      </c>
      <c r="G1113">
        <v>118.7</v>
      </c>
      <c r="H1113">
        <v>16.2</v>
      </c>
      <c r="I1113">
        <v>16</v>
      </c>
      <c r="J1113">
        <v>0.37</v>
      </c>
      <c r="K1113">
        <v>31.1</v>
      </c>
      <c r="L1113">
        <v>31.8</v>
      </c>
      <c r="M1113">
        <v>58.3</v>
      </c>
      <c r="N1113">
        <v>1.5</v>
      </c>
      <c r="O1113">
        <v>240</v>
      </c>
      <c r="P1113" t="s">
        <v>28</v>
      </c>
    </row>
    <row r="1114" spans="1:16" x14ac:dyDescent="0.25">
      <c r="A1114" t="s">
        <v>1178</v>
      </c>
      <c r="B1114" s="2">
        <v>45846</v>
      </c>
      <c r="C1114" t="s">
        <v>64</v>
      </c>
      <c r="D1114" t="s">
        <v>36</v>
      </c>
      <c r="E1114" t="s">
        <v>61</v>
      </c>
      <c r="F1114">
        <v>28.8</v>
      </c>
      <c r="G1114">
        <v>145.5</v>
      </c>
      <c r="H1114">
        <v>34.1</v>
      </c>
      <c r="I1114">
        <v>15.5</v>
      </c>
      <c r="J1114">
        <v>0.56999999999999995</v>
      </c>
      <c r="K1114">
        <v>4.9000000000000004</v>
      </c>
      <c r="L1114">
        <v>28.9</v>
      </c>
      <c r="M1114">
        <v>49.4</v>
      </c>
      <c r="N1114">
        <v>1.7</v>
      </c>
      <c r="O1114">
        <v>195</v>
      </c>
      <c r="P1114" t="s">
        <v>33</v>
      </c>
    </row>
    <row r="1115" spans="1:16" x14ac:dyDescent="0.25">
      <c r="A1115" t="s">
        <v>1179</v>
      </c>
      <c r="B1115" s="2">
        <v>45788</v>
      </c>
      <c r="C1115" t="s">
        <v>77</v>
      </c>
      <c r="D1115" t="s">
        <v>39</v>
      </c>
      <c r="E1115" t="s">
        <v>55</v>
      </c>
      <c r="F1115">
        <v>36</v>
      </c>
      <c r="G1115">
        <v>101.3</v>
      </c>
      <c r="H1115">
        <v>39.700000000000003</v>
      </c>
      <c r="I1115">
        <v>10.3</v>
      </c>
      <c r="J1115">
        <v>0.46</v>
      </c>
      <c r="K1115">
        <v>26.9</v>
      </c>
      <c r="L1115">
        <v>37.700000000000003</v>
      </c>
      <c r="M1115">
        <v>46.1</v>
      </c>
      <c r="N1115">
        <v>2.7</v>
      </c>
      <c r="O1115">
        <v>186</v>
      </c>
      <c r="P1115" t="s">
        <v>33</v>
      </c>
    </row>
    <row r="1116" spans="1:16" x14ac:dyDescent="0.25">
      <c r="A1116" t="s">
        <v>1180</v>
      </c>
      <c r="B1116" s="2">
        <v>45720</v>
      </c>
      <c r="C1116" t="s">
        <v>35</v>
      </c>
      <c r="D1116" t="s">
        <v>36</v>
      </c>
      <c r="E1116" t="s">
        <v>55</v>
      </c>
      <c r="F1116">
        <v>60.7</v>
      </c>
      <c r="G1116">
        <v>124</v>
      </c>
      <c r="H1116">
        <v>23.5</v>
      </c>
      <c r="I1116">
        <v>14.1</v>
      </c>
      <c r="J1116">
        <v>0.71</v>
      </c>
      <c r="K1116">
        <v>34.9</v>
      </c>
      <c r="L1116">
        <v>32.5</v>
      </c>
      <c r="M1116">
        <v>72.599999999999994</v>
      </c>
      <c r="N1116">
        <v>0.1</v>
      </c>
      <c r="O1116">
        <v>240</v>
      </c>
      <c r="P1116" t="s">
        <v>28</v>
      </c>
    </row>
    <row r="1117" spans="1:16" x14ac:dyDescent="0.25">
      <c r="A1117" t="s">
        <v>1181</v>
      </c>
      <c r="B1117" s="2">
        <v>45706</v>
      </c>
      <c r="C1117" t="s">
        <v>93</v>
      </c>
      <c r="D1117" t="s">
        <v>36</v>
      </c>
      <c r="E1117" t="s">
        <v>19</v>
      </c>
      <c r="F1117">
        <v>43.5</v>
      </c>
      <c r="G1117">
        <v>81.5</v>
      </c>
      <c r="H1117">
        <v>21.4</v>
      </c>
      <c r="I1117">
        <v>12.6</v>
      </c>
      <c r="J1117">
        <v>0.98</v>
      </c>
      <c r="K1117">
        <v>50.5</v>
      </c>
      <c r="L1117">
        <v>25.8</v>
      </c>
      <c r="M1117">
        <v>60.2</v>
      </c>
      <c r="N1117">
        <v>1.9</v>
      </c>
      <c r="O1117">
        <v>196</v>
      </c>
      <c r="P1117" t="s">
        <v>33</v>
      </c>
    </row>
    <row r="1118" spans="1:16" x14ac:dyDescent="0.25">
      <c r="A1118" t="s">
        <v>1182</v>
      </c>
      <c r="B1118" s="2">
        <v>45903</v>
      </c>
      <c r="C1118" t="s">
        <v>54</v>
      </c>
      <c r="D1118" t="s">
        <v>18</v>
      </c>
      <c r="E1118" t="s">
        <v>97</v>
      </c>
      <c r="F1118">
        <v>79.3</v>
      </c>
      <c r="G1118">
        <v>126.8</v>
      </c>
      <c r="H1118">
        <v>66.2</v>
      </c>
      <c r="I1118">
        <v>16.7</v>
      </c>
      <c r="J1118">
        <v>0.5</v>
      </c>
      <c r="K1118">
        <v>43.3</v>
      </c>
      <c r="L1118">
        <v>27.9</v>
      </c>
      <c r="M1118">
        <v>58.4</v>
      </c>
      <c r="N1118">
        <v>3.2</v>
      </c>
      <c r="O1118">
        <v>306</v>
      </c>
      <c r="P1118" t="s">
        <v>20</v>
      </c>
    </row>
    <row r="1119" spans="1:16" x14ac:dyDescent="0.25">
      <c r="A1119" t="s">
        <v>1183</v>
      </c>
      <c r="B1119" s="2">
        <v>45997</v>
      </c>
      <c r="C1119" t="s">
        <v>81</v>
      </c>
      <c r="D1119" t="s">
        <v>39</v>
      </c>
      <c r="E1119" t="s">
        <v>97</v>
      </c>
      <c r="F1119">
        <v>78.3</v>
      </c>
      <c r="G1119">
        <v>19.3</v>
      </c>
      <c r="H1119">
        <v>37</v>
      </c>
      <c r="I1119">
        <v>21.4</v>
      </c>
      <c r="J1119">
        <v>2.42</v>
      </c>
      <c r="K1119">
        <v>54.3</v>
      </c>
      <c r="L1119">
        <v>31.9</v>
      </c>
      <c r="M1119">
        <v>61.9</v>
      </c>
      <c r="N1119">
        <v>1.5</v>
      </c>
      <c r="O1119">
        <v>267</v>
      </c>
      <c r="P1119" t="s">
        <v>28</v>
      </c>
    </row>
    <row r="1120" spans="1:16" x14ac:dyDescent="0.25">
      <c r="A1120" t="s">
        <v>1184</v>
      </c>
      <c r="B1120" s="2">
        <v>45897</v>
      </c>
      <c r="C1120" t="s">
        <v>38</v>
      </c>
      <c r="D1120" t="s">
        <v>39</v>
      </c>
      <c r="E1120" t="s">
        <v>74</v>
      </c>
      <c r="F1120">
        <v>41.7</v>
      </c>
      <c r="G1120">
        <v>106.7</v>
      </c>
      <c r="H1120">
        <v>19.100000000000001</v>
      </c>
      <c r="I1120">
        <v>11.6</v>
      </c>
      <c r="J1120">
        <v>1.04</v>
      </c>
      <c r="K1120">
        <v>30</v>
      </c>
      <c r="L1120">
        <v>31.7</v>
      </c>
      <c r="M1120">
        <v>51.9</v>
      </c>
      <c r="N1120">
        <v>0.1</v>
      </c>
      <c r="O1120">
        <v>199</v>
      </c>
      <c r="P1120" t="s">
        <v>33</v>
      </c>
    </row>
    <row r="1121" spans="1:16" x14ac:dyDescent="0.25">
      <c r="A1121" t="s">
        <v>1185</v>
      </c>
      <c r="B1121" s="2">
        <v>45772</v>
      </c>
      <c r="C1121" t="s">
        <v>81</v>
      </c>
      <c r="D1121" t="s">
        <v>39</v>
      </c>
      <c r="E1121" t="s">
        <v>70</v>
      </c>
      <c r="F1121">
        <v>29.2</v>
      </c>
      <c r="G1121">
        <v>34.6</v>
      </c>
      <c r="H1121">
        <v>43.9</v>
      </c>
      <c r="I1121">
        <v>10.9</v>
      </c>
      <c r="J1121">
        <v>0.28999999999999998</v>
      </c>
      <c r="K1121">
        <v>52.7</v>
      </c>
      <c r="L1121">
        <v>25.5</v>
      </c>
      <c r="M1121">
        <v>62.5</v>
      </c>
      <c r="N1121">
        <v>2.7</v>
      </c>
      <c r="O1121">
        <v>143</v>
      </c>
      <c r="P1121" t="s">
        <v>33</v>
      </c>
    </row>
    <row r="1122" spans="1:16" x14ac:dyDescent="0.25">
      <c r="A1122" t="s">
        <v>1186</v>
      </c>
      <c r="B1122" s="2">
        <v>45726</v>
      </c>
      <c r="C1122" t="s">
        <v>93</v>
      </c>
      <c r="D1122" t="s">
        <v>36</v>
      </c>
      <c r="E1122" t="s">
        <v>43</v>
      </c>
      <c r="F1122">
        <v>62.6</v>
      </c>
      <c r="G1122">
        <v>70.5</v>
      </c>
      <c r="H1122">
        <v>30.7</v>
      </c>
      <c r="I1122">
        <v>14.5</v>
      </c>
      <c r="J1122">
        <v>0.05</v>
      </c>
      <c r="K1122">
        <v>21</v>
      </c>
      <c r="L1122">
        <v>30.4</v>
      </c>
      <c r="M1122">
        <v>78.099999999999994</v>
      </c>
      <c r="N1122">
        <v>2.7</v>
      </c>
      <c r="O1122">
        <v>191</v>
      </c>
      <c r="P1122" t="s">
        <v>33</v>
      </c>
    </row>
    <row r="1123" spans="1:16" x14ac:dyDescent="0.25">
      <c r="A1123" t="s">
        <v>1187</v>
      </c>
      <c r="B1123" s="2">
        <v>45973</v>
      </c>
      <c r="C1123" t="s">
        <v>54</v>
      </c>
      <c r="D1123" t="s">
        <v>18</v>
      </c>
      <c r="E1123" t="s">
        <v>27</v>
      </c>
      <c r="F1123">
        <v>82.1</v>
      </c>
      <c r="G1123">
        <v>72.599999999999994</v>
      </c>
      <c r="H1123">
        <v>42.6</v>
      </c>
      <c r="I1123">
        <v>15</v>
      </c>
      <c r="J1123">
        <v>0.24</v>
      </c>
      <c r="K1123">
        <v>17.8</v>
      </c>
      <c r="L1123">
        <v>33.1</v>
      </c>
      <c r="M1123">
        <v>44.6</v>
      </c>
      <c r="N1123">
        <v>2.2999999999999998</v>
      </c>
      <c r="O1123">
        <v>237</v>
      </c>
      <c r="P1123" t="s">
        <v>28</v>
      </c>
    </row>
    <row r="1124" spans="1:16" x14ac:dyDescent="0.25">
      <c r="A1124" t="s">
        <v>1188</v>
      </c>
      <c r="B1124" s="2">
        <v>45673</v>
      </c>
      <c r="C1124" t="s">
        <v>77</v>
      </c>
      <c r="D1124" t="s">
        <v>39</v>
      </c>
      <c r="E1124" t="s">
        <v>61</v>
      </c>
      <c r="F1124">
        <v>52.9</v>
      </c>
      <c r="G1124">
        <v>119.4</v>
      </c>
      <c r="H1124">
        <v>16.399999999999999</v>
      </c>
      <c r="I1124">
        <v>4.4000000000000004</v>
      </c>
      <c r="J1124">
        <v>1.57</v>
      </c>
      <c r="K1124">
        <v>39.299999999999997</v>
      </c>
      <c r="L1124">
        <v>31.1</v>
      </c>
      <c r="M1124">
        <v>55.4</v>
      </c>
      <c r="N1124">
        <v>2.8</v>
      </c>
      <c r="O1124">
        <v>235</v>
      </c>
      <c r="P1124" t="s">
        <v>28</v>
      </c>
    </row>
    <row r="1125" spans="1:16" x14ac:dyDescent="0.25">
      <c r="A1125" t="s">
        <v>1189</v>
      </c>
      <c r="B1125" s="2">
        <v>46021</v>
      </c>
      <c r="C1125" t="s">
        <v>35</v>
      </c>
      <c r="D1125" t="s">
        <v>36</v>
      </c>
      <c r="E1125" t="s">
        <v>58</v>
      </c>
      <c r="F1125">
        <v>119.8</v>
      </c>
      <c r="G1125">
        <v>155.80000000000001</v>
      </c>
      <c r="H1125">
        <v>25</v>
      </c>
      <c r="I1125">
        <v>40.9</v>
      </c>
      <c r="J1125">
        <v>1.29</v>
      </c>
      <c r="K1125">
        <v>17.600000000000001</v>
      </c>
      <c r="L1125">
        <v>22.5</v>
      </c>
      <c r="M1125">
        <v>65.2</v>
      </c>
      <c r="N1125">
        <v>1.9</v>
      </c>
      <c r="O1125">
        <v>382</v>
      </c>
      <c r="P1125" t="s">
        <v>20</v>
      </c>
    </row>
    <row r="1126" spans="1:16" x14ac:dyDescent="0.25">
      <c r="A1126" t="s">
        <v>1190</v>
      </c>
      <c r="B1126" s="2">
        <v>45722</v>
      </c>
      <c r="C1126" t="s">
        <v>77</v>
      </c>
      <c r="D1126" t="s">
        <v>39</v>
      </c>
      <c r="E1126" t="s">
        <v>19</v>
      </c>
      <c r="F1126">
        <v>53.9</v>
      </c>
      <c r="G1126">
        <v>118.7</v>
      </c>
      <c r="H1126">
        <v>4.5999999999999996</v>
      </c>
      <c r="I1126">
        <v>5</v>
      </c>
      <c r="J1126">
        <v>1.43</v>
      </c>
      <c r="K1126">
        <v>93.9</v>
      </c>
      <c r="L1126">
        <v>22.1</v>
      </c>
      <c r="M1126">
        <v>41.5</v>
      </c>
      <c r="N1126">
        <v>3.4</v>
      </c>
      <c r="O1126">
        <v>249</v>
      </c>
      <c r="P1126" t="s">
        <v>28</v>
      </c>
    </row>
    <row r="1127" spans="1:16" x14ac:dyDescent="0.25">
      <c r="A1127" t="s">
        <v>1191</v>
      </c>
      <c r="B1127" s="2">
        <v>45884</v>
      </c>
      <c r="C1127" t="s">
        <v>93</v>
      </c>
      <c r="D1127" t="s">
        <v>36</v>
      </c>
      <c r="E1127" t="s">
        <v>45</v>
      </c>
      <c r="F1127">
        <v>23</v>
      </c>
      <c r="G1127">
        <v>247.3</v>
      </c>
      <c r="H1127">
        <v>18.7</v>
      </c>
      <c r="I1127">
        <v>5.3</v>
      </c>
      <c r="J1127">
        <v>0.4</v>
      </c>
      <c r="K1127">
        <v>66.8</v>
      </c>
      <c r="L1127">
        <v>26.6</v>
      </c>
      <c r="M1127">
        <v>65.7</v>
      </c>
      <c r="N1127">
        <v>3.9</v>
      </c>
      <c r="O1127">
        <v>256</v>
      </c>
      <c r="P1127" t="s">
        <v>28</v>
      </c>
    </row>
    <row r="1128" spans="1:16" x14ac:dyDescent="0.25">
      <c r="A1128" t="s">
        <v>1192</v>
      </c>
      <c r="B1128" s="2">
        <v>45964</v>
      </c>
      <c r="C1128" t="s">
        <v>38</v>
      </c>
      <c r="D1128" t="s">
        <v>39</v>
      </c>
      <c r="E1128" t="s">
        <v>24</v>
      </c>
      <c r="F1128">
        <v>45.5</v>
      </c>
      <c r="G1128">
        <v>137.80000000000001</v>
      </c>
      <c r="H1128">
        <v>88.6</v>
      </c>
      <c r="I1128">
        <v>19</v>
      </c>
      <c r="J1128">
        <v>0.6</v>
      </c>
      <c r="K1128">
        <v>56.8</v>
      </c>
      <c r="L1128">
        <v>20.3</v>
      </c>
      <c r="M1128">
        <v>74.5</v>
      </c>
      <c r="N1128">
        <v>3.1</v>
      </c>
      <c r="O1128">
        <v>287</v>
      </c>
      <c r="P1128" t="s">
        <v>28</v>
      </c>
    </row>
    <row r="1129" spans="1:16" x14ac:dyDescent="0.25">
      <c r="A1129" t="s">
        <v>1193</v>
      </c>
      <c r="B1129" s="2">
        <v>45762</v>
      </c>
      <c r="C1129" t="s">
        <v>52</v>
      </c>
      <c r="D1129" t="s">
        <v>31</v>
      </c>
      <c r="E1129" t="s">
        <v>61</v>
      </c>
      <c r="F1129">
        <v>39.1</v>
      </c>
      <c r="G1129">
        <v>76.7</v>
      </c>
      <c r="H1129">
        <v>48.6</v>
      </c>
      <c r="I1129">
        <v>15.4</v>
      </c>
      <c r="J1129">
        <v>0.44</v>
      </c>
      <c r="K1129">
        <v>17.399999999999999</v>
      </c>
      <c r="L1129">
        <v>32.1</v>
      </c>
      <c r="M1129">
        <v>53.8</v>
      </c>
      <c r="N1129">
        <v>1.7</v>
      </c>
      <c r="O1129">
        <v>181</v>
      </c>
      <c r="P1129" t="s">
        <v>33</v>
      </c>
    </row>
    <row r="1130" spans="1:16" x14ac:dyDescent="0.25">
      <c r="A1130" t="s">
        <v>1194</v>
      </c>
      <c r="B1130" s="2">
        <v>45682</v>
      </c>
      <c r="C1130" t="s">
        <v>17</v>
      </c>
      <c r="D1130" t="s">
        <v>18</v>
      </c>
      <c r="E1130" t="s">
        <v>40</v>
      </c>
      <c r="F1130">
        <v>24.3</v>
      </c>
      <c r="G1130">
        <v>41.6</v>
      </c>
      <c r="H1130">
        <v>14.5</v>
      </c>
      <c r="I1130">
        <v>9.1999999999999993</v>
      </c>
      <c r="J1130">
        <v>0.51</v>
      </c>
      <c r="K1130">
        <v>67.900000000000006</v>
      </c>
      <c r="L1130">
        <v>30.3</v>
      </c>
      <c r="M1130">
        <v>98</v>
      </c>
      <c r="N1130">
        <v>3.1</v>
      </c>
      <c r="O1130">
        <v>127</v>
      </c>
      <c r="P1130" t="s">
        <v>33</v>
      </c>
    </row>
    <row r="1131" spans="1:16" x14ac:dyDescent="0.25">
      <c r="A1131" t="s">
        <v>1195</v>
      </c>
      <c r="B1131" s="2">
        <v>45900</v>
      </c>
      <c r="C1131" t="s">
        <v>99</v>
      </c>
      <c r="D1131" t="s">
        <v>36</v>
      </c>
      <c r="E1131" t="s">
        <v>55</v>
      </c>
      <c r="F1131">
        <v>38.9</v>
      </c>
      <c r="G1131">
        <v>171.5</v>
      </c>
      <c r="H1131">
        <v>30</v>
      </c>
      <c r="I1131">
        <v>4.5</v>
      </c>
      <c r="J1131">
        <v>1.35</v>
      </c>
      <c r="K1131">
        <v>40.4</v>
      </c>
      <c r="L1131">
        <v>38.6</v>
      </c>
      <c r="M1131">
        <v>76.900000000000006</v>
      </c>
      <c r="N1131">
        <v>1.4</v>
      </c>
      <c r="O1131">
        <v>253</v>
      </c>
      <c r="P1131" t="s">
        <v>28</v>
      </c>
    </row>
    <row r="1132" spans="1:16" x14ac:dyDescent="0.25">
      <c r="A1132" t="s">
        <v>1196</v>
      </c>
      <c r="B1132" s="2">
        <v>45986</v>
      </c>
      <c r="C1132" t="s">
        <v>52</v>
      </c>
      <c r="D1132" t="s">
        <v>31</v>
      </c>
      <c r="E1132" t="s">
        <v>97</v>
      </c>
      <c r="F1132">
        <v>25.3</v>
      </c>
      <c r="G1132">
        <v>52.8</v>
      </c>
      <c r="H1132">
        <v>100.2</v>
      </c>
      <c r="I1132">
        <v>31.4</v>
      </c>
      <c r="J1132">
        <v>1.4</v>
      </c>
      <c r="K1132">
        <v>48.5</v>
      </c>
      <c r="L1132">
        <v>22.4</v>
      </c>
      <c r="M1132">
        <v>56.5</v>
      </c>
      <c r="N1132">
        <v>2.1</v>
      </c>
      <c r="O1132">
        <v>234</v>
      </c>
      <c r="P1132" t="s">
        <v>28</v>
      </c>
    </row>
    <row r="1133" spans="1:16" x14ac:dyDescent="0.25">
      <c r="A1133" t="s">
        <v>1197</v>
      </c>
      <c r="B1133" s="2">
        <v>45966</v>
      </c>
      <c r="C1133" t="s">
        <v>38</v>
      </c>
      <c r="D1133" t="s">
        <v>39</v>
      </c>
      <c r="E1133" t="s">
        <v>74</v>
      </c>
      <c r="F1133">
        <v>67.400000000000006</v>
      </c>
      <c r="G1133">
        <v>105.7</v>
      </c>
      <c r="H1133">
        <v>12.6</v>
      </c>
      <c r="I1133">
        <v>2.2000000000000002</v>
      </c>
      <c r="J1133">
        <v>0.24</v>
      </c>
      <c r="K1133">
        <v>66.599999999999994</v>
      </c>
      <c r="L1133">
        <v>26.5</v>
      </c>
      <c r="M1133">
        <v>71.099999999999994</v>
      </c>
      <c r="N1133">
        <v>2.5</v>
      </c>
      <c r="O1133">
        <v>224</v>
      </c>
      <c r="P1133" t="s">
        <v>28</v>
      </c>
    </row>
    <row r="1134" spans="1:16" x14ac:dyDescent="0.25">
      <c r="A1134" t="s">
        <v>1198</v>
      </c>
      <c r="B1134" s="2">
        <v>45812</v>
      </c>
      <c r="C1134" t="s">
        <v>42</v>
      </c>
      <c r="D1134" t="s">
        <v>23</v>
      </c>
      <c r="E1134" t="s">
        <v>58</v>
      </c>
      <c r="F1134">
        <v>83.7</v>
      </c>
      <c r="G1134">
        <v>84.5</v>
      </c>
      <c r="H1134">
        <v>13.6</v>
      </c>
      <c r="I1134">
        <v>8.9</v>
      </c>
      <c r="J1134">
        <v>0.17</v>
      </c>
      <c r="K1134">
        <v>14.3</v>
      </c>
      <c r="L1134">
        <v>29.9</v>
      </c>
      <c r="M1134">
        <v>61</v>
      </c>
      <c r="N1134">
        <v>2.7</v>
      </c>
      <c r="O1134">
        <v>217</v>
      </c>
      <c r="P1134" t="s">
        <v>28</v>
      </c>
    </row>
    <row r="1135" spans="1:16" x14ac:dyDescent="0.25">
      <c r="A1135" t="s">
        <v>1199</v>
      </c>
      <c r="B1135" s="2">
        <v>45720</v>
      </c>
      <c r="C1135" t="s">
        <v>67</v>
      </c>
      <c r="D1135" t="s">
        <v>18</v>
      </c>
      <c r="E1135" t="s">
        <v>70</v>
      </c>
      <c r="F1135">
        <v>54.8</v>
      </c>
      <c r="G1135">
        <v>53.5</v>
      </c>
      <c r="H1135">
        <v>3.1</v>
      </c>
      <c r="I1135">
        <v>20.3</v>
      </c>
      <c r="J1135">
        <v>2.21</v>
      </c>
      <c r="K1135">
        <v>12.3</v>
      </c>
      <c r="L1135">
        <v>11.2</v>
      </c>
      <c r="M1135">
        <v>48.8</v>
      </c>
      <c r="N1135">
        <v>3.3</v>
      </c>
      <c r="O1135">
        <v>200</v>
      </c>
      <c r="P1135" t="s">
        <v>33</v>
      </c>
    </row>
    <row r="1136" spans="1:16" x14ac:dyDescent="0.25">
      <c r="A1136" t="s">
        <v>1200</v>
      </c>
      <c r="B1136" s="2">
        <v>45728</v>
      </c>
      <c r="C1136" t="s">
        <v>17</v>
      </c>
      <c r="D1136" t="s">
        <v>18</v>
      </c>
      <c r="E1136" t="s">
        <v>27</v>
      </c>
      <c r="F1136">
        <v>39.9</v>
      </c>
      <c r="G1136">
        <v>90.1</v>
      </c>
      <c r="H1136">
        <v>22.8</v>
      </c>
      <c r="I1136">
        <v>22.1</v>
      </c>
      <c r="J1136">
        <v>0.77</v>
      </c>
      <c r="K1136">
        <v>22.8</v>
      </c>
      <c r="L1136">
        <v>23.7</v>
      </c>
      <c r="M1136">
        <v>41.7</v>
      </c>
      <c r="N1136">
        <v>1.9</v>
      </c>
      <c r="O1136">
        <v>186</v>
      </c>
      <c r="P1136" t="s">
        <v>33</v>
      </c>
    </row>
    <row r="1137" spans="1:16" x14ac:dyDescent="0.25">
      <c r="A1137" t="s">
        <v>1201</v>
      </c>
      <c r="B1137" s="2">
        <v>45978</v>
      </c>
      <c r="C1137" t="s">
        <v>30</v>
      </c>
      <c r="D1137" t="s">
        <v>31</v>
      </c>
      <c r="E1137" t="s">
        <v>27</v>
      </c>
      <c r="F1137">
        <v>48.6</v>
      </c>
      <c r="G1137">
        <v>128.9</v>
      </c>
      <c r="H1137">
        <v>48.5</v>
      </c>
      <c r="I1137">
        <v>10.9</v>
      </c>
      <c r="J1137">
        <v>2.33</v>
      </c>
      <c r="K1137">
        <v>8.6999999999999993</v>
      </c>
      <c r="L1137">
        <v>22.4</v>
      </c>
      <c r="M1137">
        <v>58.6</v>
      </c>
      <c r="N1137">
        <v>2.4</v>
      </c>
      <c r="O1137">
        <v>270</v>
      </c>
      <c r="P1137" t="s">
        <v>28</v>
      </c>
    </row>
    <row r="1138" spans="1:16" x14ac:dyDescent="0.25">
      <c r="A1138" t="s">
        <v>1202</v>
      </c>
      <c r="B1138" s="2">
        <v>45851</v>
      </c>
      <c r="C1138" t="s">
        <v>26</v>
      </c>
      <c r="D1138" t="s">
        <v>23</v>
      </c>
      <c r="E1138" t="s">
        <v>32</v>
      </c>
      <c r="F1138">
        <v>107.5</v>
      </c>
      <c r="G1138">
        <v>144.1</v>
      </c>
      <c r="H1138">
        <v>26</v>
      </c>
      <c r="I1138">
        <v>13.6</v>
      </c>
      <c r="J1138">
        <v>0.98</v>
      </c>
      <c r="K1138">
        <v>20.6</v>
      </c>
      <c r="L1138">
        <v>36.299999999999997</v>
      </c>
      <c r="M1138">
        <v>62</v>
      </c>
      <c r="N1138">
        <v>2.5</v>
      </c>
      <c r="O1138">
        <v>330</v>
      </c>
      <c r="P1138" t="s">
        <v>20</v>
      </c>
    </row>
    <row r="1139" spans="1:16" x14ac:dyDescent="0.25">
      <c r="A1139" t="s">
        <v>1203</v>
      </c>
      <c r="B1139" s="2">
        <v>45920</v>
      </c>
      <c r="C1139" t="s">
        <v>30</v>
      </c>
      <c r="D1139" t="s">
        <v>31</v>
      </c>
      <c r="E1139" t="s">
        <v>24</v>
      </c>
      <c r="F1139">
        <v>20.6</v>
      </c>
      <c r="G1139">
        <v>115.2</v>
      </c>
      <c r="H1139">
        <v>13.7</v>
      </c>
      <c r="I1139">
        <v>7.4</v>
      </c>
      <c r="J1139">
        <v>0.99</v>
      </c>
      <c r="K1139">
        <v>15.7</v>
      </c>
      <c r="L1139">
        <v>27.6</v>
      </c>
      <c r="M1139">
        <v>52.1</v>
      </c>
      <c r="N1139">
        <v>3.1</v>
      </c>
      <c r="O1139">
        <v>156</v>
      </c>
      <c r="P1139" t="s">
        <v>33</v>
      </c>
    </row>
    <row r="1140" spans="1:16" x14ac:dyDescent="0.25">
      <c r="A1140" t="s">
        <v>1204</v>
      </c>
      <c r="B1140" s="2">
        <v>45952</v>
      </c>
      <c r="C1140" t="s">
        <v>1205</v>
      </c>
      <c r="D1140" t="s">
        <v>36</v>
      </c>
      <c r="E1140" t="s">
        <v>24</v>
      </c>
      <c r="F1140">
        <v>31.3</v>
      </c>
      <c r="G1140">
        <v>105.5</v>
      </c>
      <c r="H1140">
        <v>20</v>
      </c>
      <c r="I1140">
        <v>31</v>
      </c>
      <c r="J1140">
        <v>0.35</v>
      </c>
      <c r="K1140">
        <v>21.8</v>
      </c>
      <c r="L1140">
        <v>24.5</v>
      </c>
      <c r="M1140">
        <v>79.400000000000006</v>
      </c>
      <c r="N1140">
        <v>1</v>
      </c>
      <c r="O1140">
        <v>175</v>
      </c>
      <c r="P1140" t="s">
        <v>33</v>
      </c>
    </row>
    <row r="1141" spans="1:16" x14ac:dyDescent="0.25">
      <c r="A1141" t="s">
        <v>1206</v>
      </c>
      <c r="B1141" s="2">
        <v>45994</v>
      </c>
      <c r="C1141" t="s">
        <v>54</v>
      </c>
      <c r="D1141" t="s">
        <v>18</v>
      </c>
      <c r="E1141" t="s">
        <v>43</v>
      </c>
      <c r="F1141">
        <v>28.6</v>
      </c>
      <c r="G1141">
        <v>38.5</v>
      </c>
      <c r="H1141">
        <v>21.7</v>
      </c>
      <c r="I1141">
        <v>7</v>
      </c>
      <c r="J1141">
        <v>1.2</v>
      </c>
      <c r="K1141">
        <v>63.3</v>
      </c>
      <c r="L1141">
        <v>19.399999999999999</v>
      </c>
      <c r="M1141">
        <v>54.5</v>
      </c>
      <c r="N1141">
        <v>0.9</v>
      </c>
      <c r="O1141">
        <v>152</v>
      </c>
      <c r="P1141" t="s">
        <v>33</v>
      </c>
    </row>
    <row r="1142" spans="1:16" x14ac:dyDescent="0.25">
      <c r="A1142" t="s">
        <v>1207</v>
      </c>
      <c r="B1142" s="2">
        <v>45761</v>
      </c>
      <c r="C1142" t="s">
        <v>42</v>
      </c>
      <c r="D1142" t="s">
        <v>23</v>
      </c>
      <c r="E1142" t="s">
        <v>70</v>
      </c>
      <c r="F1142">
        <v>61.9</v>
      </c>
      <c r="G1142">
        <v>106.3</v>
      </c>
      <c r="H1142">
        <v>55.2</v>
      </c>
      <c r="I1142">
        <v>5.6</v>
      </c>
      <c r="J1142">
        <v>0.27</v>
      </c>
      <c r="K1142">
        <v>64.3</v>
      </c>
      <c r="L1142">
        <v>36.5</v>
      </c>
      <c r="M1142">
        <v>65.3</v>
      </c>
      <c r="N1142">
        <v>3.1</v>
      </c>
      <c r="O1142">
        <v>252</v>
      </c>
      <c r="P1142" t="s">
        <v>28</v>
      </c>
    </row>
    <row r="1143" spans="1:16" x14ac:dyDescent="0.25">
      <c r="A1143" t="s">
        <v>1208</v>
      </c>
      <c r="B1143" s="2">
        <v>45784</v>
      </c>
      <c r="C1143" t="s">
        <v>52</v>
      </c>
      <c r="D1143" t="s">
        <v>31</v>
      </c>
      <c r="E1143" t="s">
        <v>58</v>
      </c>
      <c r="F1143">
        <v>54</v>
      </c>
      <c r="G1143">
        <v>141.80000000000001</v>
      </c>
      <c r="H1143">
        <v>46.5</v>
      </c>
      <c r="I1143">
        <v>11.2</v>
      </c>
      <c r="J1143">
        <v>1.1399999999999999</v>
      </c>
      <c r="K1143">
        <v>32.1</v>
      </c>
      <c r="L1143">
        <v>19.3</v>
      </c>
      <c r="M1143">
        <v>34.700000000000003</v>
      </c>
      <c r="N1143">
        <v>2.2000000000000002</v>
      </c>
      <c r="O1143">
        <v>267</v>
      </c>
      <c r="P1143" t="s">
        <v>28</v>
      </c>
    </row>
    <row r="1144" spans="1:16" x14ac:dyDescent="0.25">
      <c r="A1144" t="s">
        <v>1209</v>
      </c>
      <c r="B1144" s="2">
        <v>45877</v>
      </c>
      <c r="C1144" t="s">
        <v>99</v>
      </c>
      <c r="D1144" t="s">
        <v>36</v>
      </c>
      <c r="E1144" t="s">
        <v>40</v>
      </c>
      <c r="F1144">
        <v>22.8</v>
      </c>
      <c r="G1144">
        <v>87.1</v>
      </c>
      <c r="H1144">
        <v>24.9</v>
      </c>
      <c r="I1144">
        <v>21.8</v>
      </c>
      <c r="J1144">
        <v>0.19</v>
      </c>
      <c r="K1144">
        <v>33.799999999999997</v>
      </c>
      <c r="L1144">
        <v>22.5</v>
      </c>
      <c r="M1144">
        <v>54.6</v>
      </c>
      <c r="N1144">
        <v>2</v>
      </c>
      <c r="O1144">
        <v>148</v>
      </c>
      <c r="P1144" t="s">
        <v>33</v>
      </c>
    </row>
    <row r="1145" spans="1:16" x14ac:dyDescent="0.25">
      <c r="A1145" t="s">
        <v>1210</v>
      </c>
      <c r="B1145" s="2">
        <v>45990</v>
      </c>
      <c r="C1145" t="s">
        <v>67</v>
      </c>
      <c r="D1145" t="s">
        <v>18</v>
      </c>
      <c r="E1145" t="s">
        <v>19</v>
      </c>
      <c r="F1145">
        <v>79.8</v>
      </c>
      <c r="G1145">
        <v>148.30000000000001</v>
      </c>
      <c r="H1145">
        <v>68.7</v>
      </c>
      <c r="I1145">
        <v>7.8</v>
      </c>
      <c r="J1145">
        <v>0.19</v>
      </c>
      <c r="K1145">
        <v>49.7</v>
      </c>
      <c r="L1145">
        <v>27</v>
      </c>
      <c r="M1145">
        <v>56.7</v>
      </c>
      <c r="N1145">
        <v>1.9</v>
      </c>
      <c r="O1145">
        <v>312</v>
      </c>
      <c r="P1145" t="s">
        <v>20</v>
      </c>
    </row>
    <row r="1146" spans="1:16" x14ac:dyDescent="0.25">
      <c r="A1146" t="s">
        <v>1211</v>
      </c>
      <c r="B1146" s="2">
        <v>45963</v>
      </c>
      <c r="C1146" t="s">
        <v>50</v>
      </c>
      <c r="D1146" t="s">
        <v>31</v>
      </c>
      <c r="E1146" t="s">
        <v>68</v>
      </c>
      <c r="F1146">
        <v>9.1</v>
      </c>
      <c r="G1146">
        <v>32.700000000000003</v>
      </c>
      <c r="H1146">
        <v>43.8</v>
      </c>
      <c r="I1146">
        <v>1.2</v>
      </c>
      <c r="J1146">
        <v>0.52</v>
      </c>
      <c r="K1146">
        <v>44.6</v>
      </c>
      <c r="L1146">
        <v>24.9</v>
      </c>
      <c r="M1146">
        <v>52.2</v>
      </c>
      <c r="N1146">
        <v>2.9</v>
      </c>
      <c r="O1146">
        <v>105</v>
      </c>
      <c r="P1146" t="s">
        <v>33</v>
      </c>
    </row>
    <row r="1147" spans="1:16" x14ac:dyDescent="0.25">
      <c r="A1147" t="s">
        <v>1212</v>
      </c>
      <c r="B1147" s="2">
        <v>45725</v>
      </c>
      <c r="C1147" t="s">
        <v>30</v>
      </c>
      <c r="D1147" t="s">
        <v>31</v>
      </c>
      <c r="E1147" t="s">
        <v>68</v>
      </c>
      <c r="F1147">
        <v>40</v>
      </c>
      <c r="G1147">
        <v>64</v>
      </c>
      <c r="H1147">
        <v>8.9</v>
      </c>
      <c r="I1147">
        <v>17.5</v>
      </c>
      <c r="J1147">
        <v>1.71</v>
      </c>
      <c r="K1147">
        <v>20.100000000000001</v>
      </c>
      <c r="L1147">
        <v>28.6</v>
      </c>
      <c r="M1147">
        <v>56.2</v>
      </c>
      <c r="N1147">
        <v>1.8</v>
      </c>
      <c r="O1147">
        <v>177</v>
      </c>
      <c r="P1147" t="s">
        <v>33</v>
      </c>
    </row>
    <row r="1148" spans="1:16" x14ac:dyDescent="0.25">
      <c r="A1148" t="s">
        <v>1213</v>
      </c>
      <c r="B1148" s="2">
        <v>45980</v>
      </c>
      <c r="C1148" t="s">
        <v>81</v>
      </c>
      <c r="D1148" t="s">
        <v>39</v>
      </c>
      <c r="E1148" t="s">
        <v>55</v>
      </c>
      <c r="F1148">
        <v>68.400000000000006</v>
      </c>
      <c r="G1148">
        <v>88.9</v>
      </c>
      <c r="H1148">
        <v>15.7</v>
      </c>
      <c r="I1148">
        <v>8.3000000000000007</v>
      </c>
      <c r="J1148">
        <v>0.45</v>
      </c>
      <c r="K1148">
        <v>94.3</v>
      </c>
      <c r="L1148">
        <v>27.5</v>
      </c>
      <c r="N1148">
        <v>3.3</v>
      </c>
      <c r="O1148">
        <v>239</v>
      </c>
      <c r="P1148" t="s">
        <v>28</v>
      </c>
    </row>
    <row r="1149" spans="1:16" x14ac:dyDescent="0.25">
      <c r="A1149" t="s">
        <v>1214</v>
      </c>
      <c r="B1149" s="2">
        <v>45923</v>
      </c>
      <c r="C1149" t="s">
        <v>77</v>
      </c>
      <c r="D1149" t="s">
        <v>39</v>
      </c>
      <c r="E1149" t="s">
        <v>58</v>
      </c>
      <c r="F1149">
        <v>58</v>
      </c>
      <c r="G1149">
        <v>36.1</v>
      </c>
      <c r="H1149">
        <v>13.7</v>
      </c>
      <c r="I1149">
        <v>7.6</v>
      </c>
      <c r="J1149">
        <v>0.85</v>
      </c>
      <c r="K1149">
        <v>25.1</v>
      </c>
      <c r="L1149">
        <v>29.2</v>
      </c>
      <c r="M1149">
        <v>79.2</v>
      </c>
      <c r="N1149">
        <v>2.5</v>
      </c>
      <c r="O1149">
        <v>165</v>
      </c>
      <c r="P1149" t="s">
        <v>33</v>
      </c>
    </row>
    <row r="1150" spans="1:16" x14ac:dyDescent="0.25">
      <c r="A1150" t="s">
        <v>1215</v>
      </c>
      <c r="B1150" s="2">
        <v>45959</v>
      </c>
      <c r="C1150" t="s">
        <v>77</v>
      </c>
      <c r="D1150" t="s">
        <v>39</v>
      </c>
      <c r="E1150" t="s">
        <v>58</v>
      </c>
      <c r="F1150">
        <v>49.9</v>
      </c>
      <c r="G1150">
        <v>110.2</v>
      </c>
      <c r="H1150">
        <v>63.5</v>
      </c>
      <c r="I1150">
        <v>9</v>
      </c>
      <c r="J1150">
        <v>0.7</v>
      </c>
      <c r="K1150">
        <v>13.4</v>
      </c>
      <c r="L1150">
        <v>31.7</v>
      </c>
      <c r="M1150">
        <v>87.4</v>
      </c>
      <c r="N1150">
        <v>1.5</v>
      </c>
      <c r="O1150">
        <v>232</v>
      </c>
      <c r="P1150" t="s">
        <v>28</v>
      </c>
    </row>
    <row r="1151" spans="1:16" x14ac:dyDescent="0.25">
      <c r="A1151" t="s">
        <v>1216</v>
      </c>
      <c r="B1151" s="2">
        <v>45997</v>
      </c>
      <c r="C1151" t="s">
        <v>64</v>
      </c>
      <c r="D1151" t="s">
        <v>36</v>
      </c>
      <c r="E1151" t="s">
        <v>91</v>
      </c>
      <c r="F1151">
        <v>31.8</v>
      </c>
      <c r="G1151">
        <v>95.6</v>
      </c>
      <c r="H1151">
        <v>41.2</v>
      </c>
      <c r="I1151">
        <v>37</v>
      </c>
      <c r="J1151">
        <v>0.31</v>
      </c>
      <c r="K1151">
        <v>26.1</v>
      </c>
      <c r="L1151">
        <v>35.6</v>
      </c>
      <c r="M1151">
        <v>65</v>
      </c>
      <c r="N1151">
        <v>2.4</v>
      </c>
      <c r="O1151">
        <v>191</v>
      </c>
      <c r="P1151" t="s">
        <v>33</v>
      </c>
    </row>
    <row r="1152" spans="1:16" x14ac:dyDescent="0.25">
      <c r="A1152" t="s">
        <v>1217</v>
      </c>
      <c r="B1152" s="2">
        <v>45677</v>
      </c>
      <c r="C1152" t="s">
        <v>81</v>
      </c>
      <c r="D1152" t="s">
        <v>39</v>
      </c>
      <c r="E1152" t="s">
        <v>222</v>
      </c>
      <c r="F1152">
        <v>57.1</v>
      </c>
      <c r="G1152">
        <v>80.400000000000006</v>
      </c>
      <c r="H1152">
        <v>20.8</v>
      </c>
      <c r="I1152">
        <v>24</v>
      </c>
      <c r="J1152">
        <v>0.5</v>
      </c>
      <c r="K1152">
        <v>26.3</v>
      </c>
      <c r="L1152">
        <v>25.5</v>
      </c>
      <c r="M1152">
        <v>47.2</v>
      </c>
      <c r="N1152">
        <v>2.9</v>
      </c>
      <c r="O1152">
        <v>201</v>
      </c>
      <c r="P1152" t="s">
        <v>28</v>
      </c>
    </row>
    <row r="1153" spans="1:16" x14ac:dyDescent="0.25">
      <c r="A1153" t="s">
        <v>1218</v>
      </c>
      <c r="B1153" s="2">
        <v>45859</v>
      </c>
      <c r="C1153" t="s">
        <v>93</v>
      </c>
      <c r="D1153" t="s">
        <v>36</v>
      </c>
      <c r="E1153" t="s">
        <v>61</v>
      </c>
      <c r="F1153">
        <v>16.100000000000001</v>
      </c>
      <c r="G1153">
        <v>142.6</v>
      </c>
      <c r="H1153">
        <v>11.4</v>
      </c>
      <c r="I1153">
        <v>9.4</v>
      </c>
      <c r="J1153">
        <v>0.77</v>
      </c>
      <c r="K1153">
        <v>37.6</v>
      </c>
      <c r="L1153">
        <v>14</v>
      </c>
      <c r="M1153">
        <v>98</v>
      </c>
      <c r="N1153">
        <v>2.2000000000000002</v>
      </c>
      <c r="O1153">
        <v>170</v>
      </c>
      <c r="P1153" t="s">
        <v>33</v>
      </c>
    </row>
    <row r="1154" spans="1:16" x14ac:dyDescent="0.25">
      <c r="A1154" t="s">
        <v>1219</v>
      </c>
      <c r="B1154" s="2">
        <v>45669</v>
      </c>
      <c r="C1154" t="s">
        <v>64</v>
      </c>
      <c r="D1154" t="s">
        <v>36</v>
      </c>
      <c r="E1154" t="s">
        <v>91</v>
      </c>
      <c r="F1154">
        <v>84.6</v>
      </c>
      <c r="G1154">
        <v>58</v>
      </c>
      <c r="H1154">
        <v>21.9</v>
      </c>
      <c r="I1154">
        <v>14.9</v>
      </c>
      <c r="J1154">
        <v>0.05</v>
      </c>
      <c r="K1154">
        <v>19.600000000000001</v>
      </c>
      <c r="L1154">
        <v>23.9</v>
      </c>
      <c r="M1154">
        <v>64.7</v>
      </c>
      <c r="N1154">
        <v>1.7</v>
      </c>
      <c r="O1154">
        <v>211</v>
      </c>
      <c r="P1154" t="s">
        <v>28</v>
      </c>
    </row>
    <row r="1155" spans="1:16" x14ac:dyDescent="0.25">
      <c r="A1155" t="s">
        <v>1220</v>
      </c>
      <c r="B1155" s="2">
        <v>45712</v>
      </c>
      <c r="C1155" t="s">
        <v>81</v>
      </c>
      <c r="D1155" t="s">
        <v>39</v>
      </c>
      <c r="E1155" t="s">
        <v>40</v>
      </c>
      <c r="F1155">
        <v>37.700000000000003</v>
      </c>
      <c r="G1155">
        <v>38.1</v>
      </c>
      <c r="H1155">
        <v>13.4</v>
      </c>
      <c r="I1155">
        <v>23.6</v>
      </c>
      <c r="J1155">
        <v>0.56999999999999995</v>
      </c>
      <c r="K1155">
        <v>18.2</v>
      </c>
      <c r="L1155">
        <v>33.1</v>
      </c>
      <c r="M1155">
        <v>39.5</v>
      </c>
      <c r="N1155">
        <v>3.3</v>
      </c>
      <c r="O1155">
        <v>135</v>
      </c>
      <c r="P1155" t="s">
        <v>33</v>
      </c>
    </row>
    <row r="1156" spans="1:16" x14ac:dyDescent="0.25">
      <c r="A1156" t="s">
        <v>1221</v>
      </c>
      <c r="B1156" s="2">
        <v>45779</v>
      </c>
      <c r="C1156" t="s">
        <v>30</v>
      </c>
      <c r="D1156" t="s">
        <v>31</v>
      </c>
      <c r="E1156" t="s">
        <v>32</v>
      </c>
      <c r="F1156">
        <v>26.3</v>
      </c>
      <c r="G1156">
        <v>15.4</v>
      </c>
      <c r="H1156">
        <v>58.8</v>
      </c>
      <c r="I1156">
        <v>15.3</v>
      </c>
      <c r="J1156">
        <v>0.51</v>
      </c>
      <c r="K1156">
        <v>40.5</v>
      </c>
      <c r="L1156">
        <v>25.2</v>
      </c>
      <c r="M1156">
        <v>68.8</v>
      </c>
      <c r="N1156">
        <v>3.3</v>
      </c>
      <c r="O1156">
        <v>141</v>
      </c>
      <c r="P1156" t="s">
        <v>33</v>
      </c>
    </row>
    <row r="1157" spans="1:16" x14ac:dyDescent="0.25">
      <c r="A1157" t="s">
        <v>1222</v>
      </c>
      <c r="B1157" s="2">
        <v>46008</v>
      </c>
      <c r="C1157" t="s">
        <v>26</v>
      </c>
      <c r="D1157" t="s">
        <v>23</v>
      </c>
      <c r="E1157" t="s">
        <v>97</v>
      </c>
      <c r="F1157">
        <v>40.299999999999997</v>
      </c>
      <c r="G1157">
        <v>40.200000000000003</v>
      </c>
      <c r="H1157">
        <v>51.2</v>
      </c>
      <c r="I1157">
        <v>17.100000000000001</v>
      </c>
      <c r="J1157">
        <v>1.0900000000000001</v>
      </c>
      <c r="K1157">
        <v>24.9</v>
      </c>
      <c r="L1157">
        <v>26.4</v>
      </c>
      <c r="M1157">
        <v>33.299999999999997</v>
      </c>
      <c r="N1157">
        <v>0.2</v>
      </c>
      <c r="O1157">
        <v>182</v>
      </c>
      <c r="P1157" t="s">
        <v>33</v>
      </c>
    </row>
    <row r="1158" spans="1:16" x14ac:dyDescent="0.25">
      <c r="A1158" t="s">
        <v>1223</v>
      </c>
      <c r="B1158" s="2">
        <v>45895</v>
      </c>
      <c r="C1158" t="s">
        <v>67</v>
      </c>
      <c r="D1158" t="s">
        <v>18</v>
      </c>
      <c r="E1158" t="s">
        <v>91</v>
      </c>
      <c r="F1158">
        <v>49</v>
      </c>
      <c r="G1158">
        <v>84.1</v>
      </c>
      <c r="H1158">
        <v>11.3</v>
      </c>
      <c r="I1158">
        <v>15.7</v>
      </c>
      <c r="J1158">
        <v>0.28999999999999998</v>
      </c>
      <c r="K1158">
        <v>52.8</v>
      </c>
      <c r="L1158">
        <v>29.1</v>
      </c>
      <c r="M1158">
        <v>98</v>
      </c>
      <c r="N1158">
        <v>1</v>
      </c>
      <c r="O1158">
        <v>184</v>
      </c>
      <c r="P1158" t="s">
        <v>33</v>
      </c>
    </row>
    <row r="1159" spans="1:16" x14ac:dyDescent="0.25">
      <c r="A1159" t="s">
        <v>1224</v>
      </c>
      <c r="B1159" s="2">
        <v>45872</v>
      </c>
      <c r="C1159" t="s">
        <v>22</v>
      </c>
      <c r="D1159" t="s">
        <v>23</v>
      </c>
      <c r="E1159" t="s">
        <v>70</v>
      </c>
      <c r="F1159">
        <v>40.5</v>
      </c>
      <c r="G1159">
        <v>41.3</v>
      </c>
      <c r="H1159">
        <v>28.8</v>
      </c>
      <c r="I1159">
        <v>17.2</v>
      </c>
      <c r="J1159">
        <v>1.03</v>
      </c>
      <c r="K1159">
        <v>46.6</v>
      </c>
      <c r="L1159">
        <v>34.700000000000003</v>
      </c>
      <c r="M1159">
        <v>63.4</v>
      </c>
      <c r="N1159">
        <v>2.8</v>
      </c>
      <c r="O1159">
        <v>173</v>
      </c>
      <c r="P1159" t="s">
        <v>33</v>
      </c>
    </row>
    <row r="1160" spans="1:16" x14ac:dyDescent="0.25">
      <c r="A1160" t="s">
        <v>1225</v>
      </c>
      <c r="B1160" s="2">
        <v>45689</v>
      </c>
      <c r="C1160" t="s">
        <v>81</v>
      </c>
      <c r="D1160" t="s">
        <v>39</v>
      </c>
      <c r="E1160" t="s">
        <v>74</v>
      </c>
      <c r="F1160">
        <v>15.1</v>
      </c>
      <c r="G1160">
        <v>150.69999999999999</v>
      </c>
      <c r="H1160">
        <v>58.4</v>
      </c>
      <c r="I1160">
        <v>10.5</v>
      </c>
      <c r="J1160">
        <v>1.23</v>
      </c>
      <c r="K1160">
        <v>40.9</v>
      </c>
      <c r="L1160">
        <v>26</v>
      </c>
      <c r="M1160">
        <v>48.9</v>
      </c>
      <c r="N1160">
        <v>3.2</v>
      </c>
      <c r="O1160">
        <v>225</v>
      </c>
      <c r="P1160" t="s">
        <v>28</v>
      </c>
    </row>
    <row r="1161" spans="1:16" x14ac:dyDescent="0.25">
      <c r="A1161" t="s">
        <v>1226</v>
      </c>
      <c r="B1161" s="2">
        <v>45758</v>
      </c>
      <c r="C1161" t="s">
        <v>52</v>
      </c>
      <c r="D1161" t="s">
        <v>31</v>
      </c>
      <c r="E1161" t="s">
        <v>43</v>
      </c>
      <c r="F1161">
        <v>74.3</v>
      </c>
      <c r="G1161">
        <v>25.4</v>
      </c>
      <c r="H1161">
        <v>9.1999999999999993</v>
      </c>
      <c r="I1161">
        <v>3.3</v>
      </c>
      <c r="J1161">
        <v>1.53</v>
      </c>
      <c r="K1161">
        <v>23.6</v>
      </c>
      <c r="L1161">
        <v>27.3</v>
      </c>
      <c r="M1161">
        <v>71.3</v>
      </c>
      <c r="N1161">
        <v>0.3</v>
      </c>
      <c r="O1161">
        <v>194</v>
      </c>
      <c r="P1161" t="s">
        <v>33</v>
      </c>
    </row>
    <row r="1162" spans="1:16" x14ac:dyDescent="0.25">
      <c r="A1162" t="s">
        <v>1227</v>
      </c>
      <c r="B1162" s="2">
        <v>45663</v>
      </c>
      <c r="C1162" t="s">
        <v>64</v>
      </c>
      <c r="D1162" t="s">
        <v>36</v>
      </c>
      <c r="E1162" t="s">
        <v>61</v>
      </c>
      <c r="F1162">
        <v>79.7</v>
      </c>
      <c r="G1162">
        <v>37.4</v>
      </c>
      <c r="H1162">
        <v>18.2</v>
      </c>
      <c r="I1162">
        <v>30.9</v>
      </c>
      <c r="J1162">
        <v>0.51</v>
      </c>
      <c r="K1162">
        <v>42</v>
      </c>
      <c r="L1162">
        <v>27.4</v>
      </c>
      <c r="M1162">
        <v>73.2</v>
      </c>
      <c r="N1162">
        <v>1.1000000000000001</v>
      </c>
      <c r="O1162">
        <v>220</v>
      </c>
      <c r="P1162" t="s">
        <v>28</v>
      </c>
    </row>
    <row r="1163" spans="1:16" x14ac:dyDescent="0.25">
      <c r="A1163" t="s">
        <v>1228</v>
      </c>
      <c r="B1163" s="2">
        <v>45993</v>
      </c>
      <c r="C1163" t="s">
        <v>30</v>
      </c>
      <c r="D1163" t="s">
        <v>31</v>
      </c>
      <c r="E1163" t="s">
        <v>40</v>
      </c>
      <c r="F1163">
        <v>50.3</v>
      </c>
      <c r="G1163">
        <v>118.8</v>
      </c>
      <c r="H1163">
        <v>26.7</v>
      </c>
      <c r="I1163">
        <v>5.6</v>
      </c>
      <c r="J1163">
        <v>0.59</v>
      </c>
      <c r="K1163">
        <v>38.6</v>
      </c>
      <c r="L1163">
        <v>31</v>
      </c>
      <c r="M1163">
        <v>50.3</v>
      </c>
      <c r="N1163">
        <v>2</v>
      </c>
      <c r="O1163">
        <v>215</v>
      </c>
      <c r="P1163" t="s">
        <v>28</v>
      </c>
    </row>
    <row r="1164" spans="1:16" x14ac:dyDescent="0.25">
      <c r="A1164" t="s">
        <v>1229</v>
      </c>
      <c r="B1164" s="2">
        <v>45806</v>
      </c>
      <c r="C1164" t="s">
        <v>81</v>
      </c>
      <c r="D1164" t="s">
        <v>39</v>
      </c>
      <c r="E1164" t="s">
        <v>58</v>
      </c>
      <c r="F1164">
        <v>121.2</v>
      </c>
      <c r="G1164">
        <v>92.1</v>
      </c>
      <c r="H1164">
        <v>19.899999999999999</v>
      </c>
      <c r="I1164">
        <v>10.1</v>
      </c>
      <c r="J1164">
        <v>0.2</v>
      </c>
      <c r="K1164">
        <v>24.9</v>
      </c>
      <c r="L1164">
        <v>34.5</v>
      </c>
      <c r="M1164">
        <v>56.4</v>
      </c>
      <c r="N1164">
        <v>1.6</v>
      </c>
      <c r="O1164">
        <v>293</v>
      </c>
      <c r="P1164" t="s">
        <v>28</v>
      </c>
    </row>
    <row r="1165" spans="1:16" x14ac:dyDescent="0.25">
      <c r="A1165" t="s">
        <v>1230</v>
      </c>
      <c r="B1165" s="2">
        <v>45959</v>
      </c>
      <c r="C1165" t="s">
        <v>26</v>
      </c>
      <c r="D1165" t="s">
        <v>23</v>
      </c>
      <c r="E1165" t="s">
        <v>58</v>
      </c>
      <c r="F1165">
        <v>57.7</v>
      </c>
      <c r="G1165">
        <v>54.1</v>
      </c>
      <c r="H1165">
        <v>6.6</v>
      </c>
      <c r="I1165">
        <v>8.3000000000000007</v>
      </c>
      <c r="J1165">
        <v>0.7</v>
      </c>
      <c r="K1165">
        <v>31.3</v>
      </c>
      <c r="L1165">
        <v>39.1</v>
      </c>
      <c r="M1165">
        <v>65.5</v>
      </c>
      <c r="N1165">
        <v>2.4</v>
      </c>
      <c r="O1165">
        <v>170</v>
      </c>
      <c r="P1165" t="s">
        <v>33</v>
      </c>
    </row>
    <row r="1166" spans="1:16" x14ac:dyDescent="0.25">
      <c r="A1166" t="s">
        <v>1231</v>
      </c>
      <c r="B1166" s="2">
        <v>45676</v>
      </c>
      <c r="C1166" t="s">
        <v>17</v>
      </c>
      <c r="D1166" t="s">
        <v>18</v>
      </c>
      <c r="E1166" t="s">
        <v>68</v>
      </c>
      <c r="F1166">
        <v>31.6</v>
      </c>
      <c r="G1166">
        <v>74.900000000000006</v>
      </c>
      <c r="H1166">
        <v>27.4</v>
      </c>
      <c r="I1166">
        <v>23.1</v>
      </c>
      <c r="J1166">
        <v>0.18</v>
      </c>
      <c r="K1166">
        <v>24.6</v>
      </c>
      <c r="L1166">
        <v>29.1</v>
      </c>
      <c r="M1166">
        <v>83</v>
      </c>
      <c r="N1166">
        <v>2.7</v>
      </c>
      <c r="O1166">
        <v>153</v>
      </c>
      <c r="P1166" t="s">
        <v>33</v>
      </c>
    </row>
    <row r="1167" spans="1:16" x14ac:dyDescent="0.25">
      <c r="A1167" t="s">
        <v>1232</v>
      </c>
      <c r="B1167" s="2">
        <v>46000</v>
      </c>
      <c r="C1167" t="s">
        <v>22</v>
      </c>
      <c r="D1167" t="s">
        <v>23</v>
      </c>
      <c r="E1167" t="s">
        <v>58</v>
      </c>
      <c r="F1167">
        <v>50.5</v>
      </c>
      <c r="G1167">
        <v>93.4</v>
      </c>
      <c r="H1167">
        <v>46.3</v>
      </c>
      <c r="I1167">
        <v>8.9</v>
      </c>
      <c r="J1167">
        <v>0.38</v>
      </c>
      <c r="K1167">
        <v>31.3</v>
      </c>
      <c r="L1167">
        <v>22.6</v>
      </c>
      <c r="M1167">
        <v>64.8</v>
      </c>
      <c r="N1167">
        <v>1.2</v>
      </c>
      <c r="O1167">
        <v>208</v>
      </c>
      <c r="P1167" t="s">
        <v>28</v>
      </c>
    </row>
    <row r="1168" spans="1:16" x14ac:dyDescent="0.25">
      <c r="A1168" t="s">
        <v>1233</v>
      </c>
      <c r="B1168" s="2">
        <v>45854</v>
      </c>
      <c r="C1168" t="s">
        <v>42</v>
      </c>
      <c r="D1168" t="s">
        <v>23</v>
      </c>
      <c r="E1168" t="s">
        <v>55</v>
      </c>
      <c r="F1168">
        <v>65.2</v>
      </c>
      <c r="G1168">
        <v>104.8</v>
      </c>
      <c r="H1168">
        <v>45.8</v>
      </c>
      <c r="I1168">
        <v>18.100000000000001</v>
      </c>
      <c r="J1168">
        <v>0.37</v>
      </c>
      <c r="K1168">
        <v>30.7</v>
      </c>
      <c r="L1168">
        <v>29.8</v>
      </c>
      <c r="M1168">
        <v>54</v>
      </c>
      <c r="N1168">
        <v>0.9</v>
      </c>
      <c r="O1168">
        <v>245</v>
      </c>
      <c r="P1168" t="s">
        <v>28</v>
      </c>
    </row>
    <row r="1169" spans="1:16" x14ac:dyDescent="0.25">
      <c r="A1169" t="s">
        <v>1234</v>
      </c>
      <c r="B1169" s="2">
        <v>45894</v>
      </c>
      <c r="C1169" t="s">
        <v>77</v>
      </c>
      <c r="D1169" t="s">
        <v>39</v>
      </c>
      <c r="E1169" t="s">
        <v>1235</v>
      </c>
      <c r="F1169">
        <v>35.799999999999997</v>
      </c>
      <c r="G1169">
        <v>37.5</v>
      </c>
      <c r="H1169">
        <v>61.1</v>
      </c>
      <c r="I1169">
        <v>6.6</v>
      </c>
      <c r="J1169">
        <v>0.63</v>
      </c>
      <c r="K1169">
        <v>13.4</v>
      </c>
      <c r="L1169">
        <v>12.3</v>
      </c>
      <c r="M1169">
        <v>61.3</v>
      </c>
      <c r="N1169">
        <v>1.9</v>
      </c>
      <c r="O1169">
        <v>157</v>
      </c>
      <c r="P1169" t="s">
        <v>33</v>
      </c>
    </row>
    <row r="1170" spans="1:16" x14ac:dyDescent="0.25">
      <c r="A1170" t="s">
        <v>1236</v>
      </c>
      <c r="B1170" s="2">
        <v>45922</v>
      </c>
      <c r="C1170" t="s">
        <v>93</v>
      </c>
      <c r="D1170" t="s">
        <v>36</v>
      </c>
      <c r="E1170" t="s">
        <v>27</v>
      </c>
      <c r="F1170">
        <v>38.299999999999997</v>
      </c>
      <c r="G1170">
        <v>104.6</v>
      </c>
      <c r="H1170">
        <v>39.9</v>
      </c>
      <c r="I1170">
        <v>13.8</v>
      </c>
      <c r="J1170">
        <v>1.06</v>
      </c>
      <c r="K1170">
        <v>22.3</v>
      </c>
      <c r="L1170">
        <v>12.2</v>
      </c>
      <c r="M1170">
        <v>76.8</v>
      </c>
      <c r="N1170">
        <v>0.7</v>
      </c>
      <c r="O1170">
        <v>207</v>
      </c>
      <c r="P1170" t="s">
        <v>28</v>
      </c>
    </row>
    <row r="1171" spans="1:16" x14ac:dyDescent="0.25">
      <c r="A1171" t="s">
        <v>1237</v>
      </c>
      <c r="B1171" s="2">
        <v>45737</v>
      </c>
      <c r="C1171" t="s">
        <v>99</v>
      </c>
      <c r="D1171" t="s">
        <v>36</v>
      </c>
      <c r="E1171" t="s">
        <v>32</v>
      </c>
      <c r="F1171">
        <v>59.2</v>
      </c>
      <c r="G1171">
        <v>41.7</v>
      </c>
      <c r="H1171">
        <v>28.1</v>
      </c>
      <c r="I1171">
        <v>39.6</v>
      </c>
      <c r="J1171">
        <v>0.67</v>
      </c>
      <c r="K1171">
        <v>26</v>
      </c>
      <c r="L1171">
        <v>21.3</v>
      </c>
      <c r="M1171">
        <v>77.400000000000006</v>
      </c>
      <c r="N1171">
        <v>3</v>
      </c>
      <c r="O1171">
        <v>200</v>
      </c>
      <c r="P1171" t="s">
        <v>33</v>
      </c>
    </row>
    <row r="1172" spans="1:16" x14ac:dyDescent="0.25">
      <c r="A1172" t="s">
        <v>1238</v>
      </c>
      <c r="B1172" s="2">
        <v>45832</v>
      </c>
      <c r="C1172" t="s">
        <v>26</v>
      </c>
      <c r="D1172" t="s">
        <v>23</v>
      </c>
      <c r="E1172" t="s">
        <v>91</v>
      </c>
      <c r="F1172">
        <v>28.7</v>
      </c>
      <c r="G1172">
        <v>98.9</v>
      </c>
      <c r="H1172">
        <v>24.6</v>
      </c>
      <c r="I1172">
        <v>19.5</v>
      </c>
      <c r="J1172">
        <v>1.21</v>
      </c>
      <c r="K1172">
        <v>32.799999999999997</v>
      </c>
      <c r="L1172">
        <v>27.2</v>
      </c>
      <c r="M1172">
        <v>67.400000000000006</v>
      </c>
      <c r="N1172">
        <v>2.6</v>
      </c>
      <c r="O1172">
        <v>189</v>
      </c>
      <c r="P1172" t="s">
        <v>33</v>
      </c>
    </row>
    <row r="1173" spans="1:16" x14ac:dyDescent="0.25">
      <c r="A1173" t="s">
        <v>1239</v>
      </c>
      <c r="B1173" s="2">
        <v>45876</v>
      </c>
      <c r="C1173" t="s">
        <v>77</v>
      </c>
      <c r="D1173" t="s">
        <v>39</v>
      </c>
      <c r="E1173" t="s">
        <v>32</v>
      </c>
      <c r="F1173">
        <v>127.8</v>
      </c>
      <c r="G1173">
        <v>57.1</v>
      </c>
      <c r="H1173">
        <v>39.5</v>
      </c>
      <c r="I1173">
        <v>9.5</v>
      </c>
      <c r="J1173">
        <v>0.16</v>
      </c>
      <c r="K1173">
        <v>25.2</v>
      </c>
      <c r="L1173">
        <v>22.4</v>
      </c>
      <c r="M1173">
        <v>90.2</v>
      </c>
      <c r="N1173">
        <v>2.4</v>
      </c>
      <c r="O1173">
        <v>295</v>
      </c>
      <c r="P1173" t="s">
        <v>28</v>
      </c>
    </row>
    <row r="1174" spans="1:16" x14ac:dyDescent="0.25">
      <c r="A1174" t="s">
        <v>1240</v>
      </c>
      <c r="B1174" s="2">
        <v>45947</v>
      </c>
      <c r="C1174" t="s">
        <v>54</v>
      </c>
      <c r="D1174" t="s">
        <v>18</v>
      </c>
      <c r="E1174" t="s">
        <v>91</v>
      </c>
      <c r="F1174">
        <v>17.600000000000001</v>
      </c>
      <c r="G1174">
        <v>184.2</v>
      </c>
      <c r="H1174">
        <v>16.3</v>
      </c>
      <c r="I1174">
        <v>7.3</v>
      </c>
      <c r="J1174">
        <v>0.13</v>
      </c>
      <c r="K1174">
        <v>40.299999999999997</v>
      </c>
      <c r="L1174">
        <v>34.6</v>
      </c>
      <c r="M1174">
        <v>59.7</v>
      </c>
      <c r="N1174">
        <v>2.2999999999999998</v>
      </c>
      <c r="O1174">
        <v>187</v>
      </c>
      <c r="P1174" t="s">
        <v>33</v>
      </c>
    </row>
    <row r="1175" spans="1:16" x14ac:dyDescent="0.25">
      <c r="A1175" t="s">
        <v>1241</v>
      </c>
      <c r="B1175" s="2">
        <v>45843</v>
      </c>
      <c r="C1175" t="s">
        <v>22</v>
      </c>
      <c r="D1175" t="s">
        <v>23</v>
      </c>
      <c r="E1175" t="s">
        <v>97</v>
      </c>
      <c r="F1175">
        <v>22.2</v>
      </c>
      <c r="G1175">
        <v>43.3</v>
      </c>
      <c r="H1175">
        <v>6.7</v>
      </c>
      <c r="I1175">
        <v>6</v>
      </c>
      <c r="J1175">
        <v>0.74</v>
      </c>
      <c r="K1175">
        <v>29.3</v>
      </c>
      <c r="L1175">
        <v>36.799999999999997</v>
      </c>
      <c r="M1175">
        <v>59.6</v>
      </c>
      <c r="N1175">
        <v>2.5</v>
      </c>
      <c r="O1175">
        <v>105</v>
      </c>
      <c r="P1175" t="s">
        <v>33</v>
      </c>
    </row>
    <row r="1176" spans="1:16" x14ac:dyDescent="0.25">
      <c r="A1176" t="s">
        <v>1242</v>
      </c>
      <c r="B1176" s="2">
        <v>45871</v>
      </c>
      <c r="C1176" t="s">
        <v>77</v>
      </c>
      <c r="D1176" t="s">
        <v>39</v>
      </c>
      <c r="E1176" t="s">
        <v>91</v>
      </c>
      <c r="F1176">
        <v>45.9</v>
      </c>
      <c r="G1176">
        <v>110.8</v>
      </c>
      <c r="H1176">
        <v>7.5</v>
      </c>
      <c r="I1176">
        <v>16.2</v>
      </c>
      <c r="J1176">
        <v>0.36</v>
      </c>
      <c r="K1176">
        <v>19</v>
      </c>
      <c r="L1176">
        <v>31.7</v>
      </c>
      <c r="M1176">
        <v>69.2</v>
      </c>
      <c r="N1176">
        <v>2.2999999999999998</v>
      </c>
      <c r="O1176">
        <v>180</v>
      </c>
      <c r="P1176" t="s">
        <v>33</v>
      </c>
    </row>
    <row r="1177" spans="1:16" x14ac:dyDescent="0.25">
      <c r="A1177" t="s">
        <v>1243</v>
      </c>
      <c r="B1177" s="2">
        <v>45843</v>
      </c>
      <c r="C1177" t="s">
        <v>17</v>
      </c>
      <c r="D1177" t="s">
        <v>18</v>
      </c>
      <c r="E1177" t="s">
        <v>55</v>
      </c>
      <c r="F1177">
        <v>78.3</v>
      </c>
      <c r="G1177">
        <v>71.2</v>
      </c>
      <c r="H1177">
        <v>29.4</v>
      </c>
      <c r="I1177">
        <v>0.4</v>
      </c>
      <c r="J1177">
        <v>0.96</v>
      </c>
      <c r="K1177">
        <v>20.399999999999999</v>
      </c>
      <c r="L1177">
        <v>25.8</v>
      </c>
      <c r="M1177">
        <v>56.4</v>
      </c>
      <c r="N1177">
        <v>0.8</v>
      </c>
      <c r="O1177">
        <v>229</v>
      </c>
      <c r="P1177" t="s">
        <v>28</v>
      </c>
    </row>
    <row r="1178" spans="1:16" x14ac:dyDescent="0.25">
      <c r="A1178" t="s">
        <v>1244</v>
      </c>
      <c r="B1178" s="2">
        <v>45774</v>
      </c>
      <c r="C1178" t="s">
        <v>93</v>
      </c>
      <c r="D1178" t="s">
        <v>36</v>
      </c>
      <c r="E1178" t="s">
        <v>61</v>
      </c>
      <c r="F1178">
        <v>74</v>
      </c>
      <c r="G1178">
        <v>72.8</v>
      </c>
      <c r="H1178">
        <v>35.700000000000003</v>
      </c>
      <c r="I1178">
        <v>1.6</v>
      </c>
      <c r="J1178">
        <v>1.65</v>
      </c>
      <c r="K1178">
        <v>84.5</v>
      </c>
      <c r="L1178">
        <v>24.2</v>
      </c>
      <c r="M1178">
        <v>86</v>
      </c>
      <c r="N1178">
        <v>1.6</v>
      </c>
      <c r="O1178">
        <v>275</v>
      </c>
      <c r="P1178" t="s">
        <v>28</v>
      </c>
    </row>
    <row r="1179" spans="1:16" x14ac:dyDescent="0.25">
      <c r="A1179" t="s">
        <v>1245</v>
      </c>
      <c r="B1179" s="2">
        <v>45663</v>
      </c>
      <c r="C1179" t="s">
        <v>64</v>
      </c>
      <c r="D1179" t="s">
        <v>36</v>
      </c>
      <c r="E1179" t="s">
        <v>58</v>
      </c>
      <c r="F1179">
        <v>63.3</v>
      </c>
      <c r="G1179">
        <v>121.9</v>
      </c>
      <c r="H1179">
        <v>18.8</v>
      </c>
      <c r="I1179">
        <v>6.3</v>
      </c>
      <c r="J1179">
        <v>0.83</v>
      </c>
      <c r="K1179">
        <v>37.9</v>
      </c>
      <c r="L1179">
        <v>28.1</v>
      </c>
      <c r="M1179">
        <v>49.5</v>
      </c>
      <c r="N1179">
        <v>3.2</v>
      </c>
      <c r="O1179">
        <v>238</v>
      </c>
      <c r="P1179" t="s">
        <v>28</v>
      </c>
    </row>
    <row r="1180" spans="1:16" x14ac:dyDescent="0.25">
      <c r="A1180" t="s">
        <v>1246</v>
      </c>
      <c r="B1180" s="2">
        <v>45951</v>
      </c>
      <c r="C1180" t="s">
        <v>38</v>
      </c>
      <c r="D1180" t="s">
        <v>39</v>
      </c>
      <c r="E1180" t="s">
        <v>32</v>
      </c>
      <c r="F1180">
        <v>127.7</v>
      </c>
      <c r="G1180">
        <v>41.4</v>
      </c>
      <c r="H1180">
        <v>25.8</v>
      </c>
      <c r="I1180">
        <v>16.3</v>
      </c>
      <c r="J1180">
        <v>3.16</v>
      </c>
      <c r="K1180">
        <v>24.3</v>
      </c>
      <c r="L1180">
        <v>37.299999999999997</v>
      </c>
      <c r="M1180">
        <v>71.599999999999994</v>
      </c>
      <c r="N1180">
        <v>3.8</v>
      </c>
      <c r="O1180">
        <v>353</v>
      </c>
      <c r="P1180" t="s">
        <v>20</v>
      </c>
    </row>
    <row r="1181" spans="1:16" x14ac:dyDescent="0.25">
      <c r="A1181" t="s">
        <v>1247</v>
      </c>
      <c r="B1181" s="2">
        <v>45751</v>
      </c>
      <c r="C1181" t="s">
        <v>35</v>
      </c>
      <c r="D1181" t="s">
        <v>36</v>
      </c>
      <c r="E1181" t="s">
        <v>32</v>
      </c>
      <c r="F1181">
        <v>56.9</v>
      </c>
      <c r="G1181">
        <v>193.5</v>
      </c>
      <c r="H1181">
        <v>15.5</v>
      </c>
      <c r="I1181">
        <v>9.4</v>
      </c>
      <c r="J1181">
        <v>0.56999999999999995</v>
      </c>
      <c r="K1181">
        <v>56.3</v>
      </c>
      <c r="L1181">
        <v>19</v>
      </c>
      <c r="M1181">
        <v>50</v>
      </c>
      <c r="N1181">
        <v>2.2000000000000002</v>
      </c>
      <c r="O1181">
        <v>275</v>
      </c>
      <c r="P1181" t="s">
        <v>28</v>
      </c>
    </row>
    <row r="1182" spans="1:16" x14ac:dyDescent="0.25">
      <c r="A1182" t="s">
        <v>1248</v>
      </c>
      <c r="B1182" s="2">
        <v>45800</v>
      </c>
      <c r="C1182" t="s">
        <v>42</v>
      </c>
      <c r="D1182" t="s">
        <v>23</v>
      </c>
      <c r="E1182" t="s">
        <v>24</v>
      </c>
      <c r="F1182">
        <v>78.8</v>
      </c>
      <c r="G1182">
        <v>188.8</v>
      </c>
      <c r="H1182">
        <v>8</v>
      </c>
      <c r="I1182">
        <v>5.8</v>
      </c>
      <c r="J1182">
        <v>1.44</v>
      </c>
      <c r="K1182">
        <v>17.3</v>
      </c>
      <c r="L1182">
        <v>24.3</v>
      </c>
      <c r="M1182">
        <v>74.3</v>
      </c>
      <c r="N1182">
        <v>2.9</v>
      </c>
      <c r="O1182">
        <v>303</v>
      </c>
      <c r="P1182" t="s">
        <v>20</v>
      </c>
    </row>
    <row r="1183" spans="1:16" x14ac:dyDescent="0.25">
      <c r="A1183" t="s">
        <v>1249</v>
      </c>
      <c r="B1183" s="2">
        <v>45756</v>
      </c>
      <c r="C1183" t="s">
        <v>38</v>
      </c>
      <c r="D1183" t="s">
        <v>39</v>
      </c>
      <c r="E1183" t="s">
        <v>70</v>
      </c>
      <c r="F1183">
        <v>47.9</v>
      </c>
      <c r="G1183">
        <v>131.5</v>
      </c>
      <c r="H1183">
        <v>32.4</v>
      </c>
      <c r="I1183">
        <v>9.3000000000000007</v>
      </c>
      <c r="J1183">
        <v>1.02</v>
      </c>
      <c r="K1183">
        <v>48.4</v>
      </c>
      <c r="L1183">
        <v>29</v>
      </c>
      <c r="M1183">
        <v>65.900000000000006</v>
      </c>
      <c r="N1183">
        <v>3.7</v>
      </c>
      <c r="O1183">
        <v>242</v>
      </c>
      <c r="P1183" t="s">
        <v>28</v>
      </c>
    </row>
    <row r="1184" spans="1:16" x14ac:dyDescent="0.25">
      <c r="A1184" t="s">
        <v>1250</v>
      </c>
      <c r="B1184" s="2">
        <v>45911</v>
      </c>
      <c r="C1184" t="s">
        <v>54</v>
      </c>
      <c r="D1184" t="s">
        <v>18</v>
      </c>
      <c r="E1184" t="s">
        <v>58</v>
      </c>
      <c r="F1184">
        <v>60.6</v>
      </c>
      <c r="G1184">
        <v>54.9</v>
      </c>
      <c r="H1184">
        <v>42.5</v>
      </c>
      <c r="I1184">
        <v>16</v>
      </c>
      <c r="J1184">
        <v>0.08</v>
      </c>
      <c r="K1184">
        <v>25.5</v>
      </c>
      <c r="L1184">
        <v>29.2</v>
      </c>
      <c r="M1184">
        <v>74.7</v>
      </c>
      <c r="N1184">
        <v>2.5</v>
      </c>
      <c r="O1184">
        <v>191</v>
      </c>
      <c r="P1184" t="s">
        <v>33</v>
      </c>
    </row>
    <row r="1185" spans="1:16" x14ac:dyDescent="0.25">
      <c r="A1185" t="s">
        <v>1251</v>
      </c>
      <c r="B1185" s="2">
        <v>45690</v>
      </c>
      <c r="C1185" t="s">
        <v>77</v>
      </c>
      <c r="D1185" t="s">
        <v>39</v>
      </c>
      <c r="E1185" t="s">
        <v>61</v>
      </c>
      <c r="F1185">
        <v>51.9</v>
      </c>
      <c r="G1185">
        <v>144.9</v>
      </c>
      <c r="H1185">
        <v>88.8</v>
      </c>
      <c r="I1185">
        <v>6.5</v>
      </c>
      <c r="J1185">
        <v>0.36</v>
      </c>
      <c r="K1185">
        <v>39.700000000000003</v>
      </c>
      <c r="L1185">
        <v>22.4</v>
      </c>
      <c r="M1185">
        <v>55.5</v>
      </c>
      <c r="N1185">
        <v>3.3</v>
      </c>
      <c r="O1185">
        <v>280</v>
      </c>
      <c r="P1185" t="s">
        <v>28</v>
      </c>
    </row>
    <row r="1186" spans="1:16" x14ac:dyDescent="0.25">
      <c r="A1186" t="s">
        <v>1252</v>
      </c>
      <c r="B1186" s="2">
        <v>45825</v>
      </c>
      <c r="C1186" t="s">
        <v>35</v>
      </c>
      <c r="D1186" t="s">
        <v>36</v>
      </c>
      <c r="E1186" t="s">
        <v>40</v>
      </c>
      <c r="F1186">
        <v>57.4</v>
      </c>
      <c r="G1186">
        <v>82</v>
      </c>
      <c r="H1186">
        <v>28.1</v>
      </c>
      <c r="I1186">
        <v>8</v>
      </c>
      <c r="J1186">
        <v>1.99</v>
      </c>
      <c r="K1186">
        <v>9.5</v>
      </c>
      <c r="L1186">
        <v>26.5</v>
      </c>
      <c r="M1186">
        <v>98</v>
      </c>
      <c r="N1186">
        <v>2</v>
      </c>
      <c r="O1186">
        <v>227</v>
      </c>
      <c r="P1186" t="s">
        <v>28</v>
      </c>
    </row>
    <row r="1187" spans="1:16" x14ac:dyDescent="0.25">
      <c r="A1187" t="s">
        <v>1253</v>
      </c>
      <c r="B1187" s="2">
        <v>45796</v>
      </c>
      <c r="C1187" t="s">
        <v>67</v>
      </c>
      <c r="D1187" t="s">
        <v>18</v>
      </c>
      <c r="E1187" t="s">
        <v>55</v>
      </c>
      <c r="F1187">
        <v>74.2</v>
      </c>
      <c r="G1187">
        <v>36.1</v>
      </c>
      <c r="H1187">
        <v>20.3</v>
      </c>
      <c r="I1187">
        <v>4.4000000000000004</v>
      </c>
      <c r="J1187">
        <v>1.07</v>
      </c>
      <c r="K1187">
        <v>53.7</v>
      </c>
      <c r="L1187">
        <v>28.2</v>
      </c>
      <c r="M1187">
        <v>58.5</v>
      </c>
      <c r="N1187">
        <v>2.4</v>
      </c>
      <c r="O1187">
        <v>212</v>
      </c>
      <c r="P1187" t="s">
        <v>28</v>
      </c>
    </row>
    <row r="1188" spans="1:16" x14ac:dyDescent="0.25">
      <c r="A1188" t="s">
        <v>1254</v>
      </c>
      <c r="B1188" s="2">
        <v>45877</v>
      </c>
      <c r="C1188" t="s">
        <v>42</v>
      </c>
      <c r="D1188" t="s">
        <v>23</v>
      </c>
      <c r="E1188" t="s">
        <v>61</v>
      </c>
      <c r="F1188">
        <v>41.3</v>
      </c>
      <c r="G1188">
        <v>133.4</v>
      </c>
      <c r="H1188">
        <v>33.799999999999997</v>
      </c>
      <c r="I1188">
        <v>15.2</v>
      </c>
      <c r="J1188">
        <v>0.63</v>
      </c>
      <c r="K1188">
        <v>34.200000000000003</v>
      </c>
      <c r="L1188">
        <v>23.5</v>
      </c>
      <c r="M1188">
        <v>41.4</v>
      </c>
      <c r="N1188">
        <v>0.3</v>
      </c>
      <c r="O1188">
        <v>222</v>
      </c>
      <c r="P1188" t="s">
        <v>28</v>
      </c>
    </row>
    <row r="1189" spans="1:16" x14ac:dyDescent="0.25">
      <c r="A1189" t="s">
        <v>1255</v>
      </c>
      <c r="B1189" s="2">
        <v>45821</v>
      </c>
      <c r="C1189" t="s">
        <v>93</v>
      </c>
      <c r="D1189" t="s">
        <v>36</v>
      </c>
      <c r="E1189" t="s">
        <v>97</v>
      </c>
      <c r="F1189">
        <v>53.5</v>
      </c>
      <c r="G1189">
        <v>198.6</v>
      </c>
      <c r="H1189">
        <v>48.7</v>
      </c>
      <c r="I1189">
        <v>7.4</v>
      </c>
      <c r="J1189">
        <v>0.4</v>
      </c>
      <c r="K1189">
        <v>99.2</v>
      </c>
      <c r="L1189">
        <v>32.1</v>
      </c>
      <c r="M1189">
        <v>61.7</v>
      </c>
      <c r="N1189">
        <v>2.9</v>
      </c>
      <c r="O1189">
        <v>313</v>
      </c>
      <c r="P1189" t="s">
        <v>20</v>
      </c>
    </row>
    <row r="1190" spans="1:16" x14ac:dyDescent="0.25">
      <c r="A1190" t="s">
        <v>1256</v>
      </c>
      <c r="B1190" s="2">
        <v>45736</v>
      </c>
      <c r="C1190" t="s">
        <v>67</v>
      </c>
      <c r="D1190" t="s">
        <v>18</v>
      </c>
      <c r="E1190" t="s">
        <v>40</v>
      </c>
      <c r="F1190">
        <v>57.2</v>
      </c>
      <c r="G1190">
        <v>84.6</v>
      </c>
      <c r="H1190">
        <v>33.700000000000003</v>
      </c>
      <c r="I1190">
        <v>21.2</v>
      </c>
      <c r="J1190">
        <v>0.28000000000000003</v>
      </c>
      <c r="K1190">
        <v>35.299999999999997</v>
      </c>
      <c r="L1190">
        <v>26.8</v>
      </c>
      <c r="M1190">
        <v>77.599999999999994</v>
      </c>
      <c r="N1190">
        <v>1.3</v>
      </c>
      <c r="O1190">
        <v>211</v>
      </c>
      <c r="P1190" t="s">
        <v>28</v>
      </c>
    </row>
    <row r="1191" spans="1:16" x14ac:dyDescent="0.25">
      <c r="A1191" t="s">
        <v>1257</v>
      </c>
      <c r="B1191" s="2">
        <v>45908</v>
      </c>
      <c r="C1191" t="s">
        <v>22</v>
      </c>
      <c r="D1191" t="s">
        <v>23</v>
      </c>
      <c r="E1191" t="s">
        <v>68</v>
      </c>
      <c r="F1191">
        <v>53.9</v>
      </c>
      <c r="G1191">
        <v>95.8</v>
      </c>
      <c r="H1191">
        <v>35.200000000000003</v>
      </c>
      <c r="I1191">
        <v>23.2</v>
      </c>
      <c r="J1191">
        <v>1.5</v>
      </c>
      <c r="K1191">
        <v>18.399999999999999</v>
      </c>
      <c r="L1191">
        <v>35</v>
      </c>
      <c r="M1191">
        <v>67.400000000000006</v>
      </c>
      <c r="N1191">
        <v>3</v>
      </c>
      <c r="O1191">
        <v>239</v>
      </c>
      <c r="P1191" t="s">
        <v>28</v>
      </c>
    </row>
    <row r="1192" spans="1:16" x14ac:dyDescent="0.25">
      <c r="A1192" t="s">
        <v>1258</v>
      </c>
      <c r="B1192" s="2">
        <v>45946</v>
      </c>
      <c r="C1192" t="s">
        <v>17</v>
      </c>
      <c r="D1192" t="s">
        <v>18</v>
      </c>
      <c r="E1192" t="s">
        <v>70</v>
      </c>
      <c r="F1192">
        <v>35.4</v>
      </c>
      <c r="G1192">
        <v>59</v>
      </c>
      <c r="H1192">
        <v>11.3</v>
      </c>
      <c r="I1192">
        <v>4.5999999999999996</v>
      </c>
      <c r="J1192">
        <v>0.47</v>
      </c>
      <c r="K1192">
        <v>46.2</v>
      </c>
      <c r="L1192">
        <v>27.6</v>
      </c>
      <c r="M1192">
        <v>39.1</v>
      </c>
      <c r="N1192">
        <v>2.4</v>
      </c>
      <c r="O1192">
        <v>140</v>
      </c>
      <c r="P1192" t="s">
        <v>33</v>
      </c>
    </row>
    <row r="1193" spans="1:16" x14ac:dyDescent="0.25">
      <c r="A1193" t="s">
        <v>1259</v>
      </c>
      <c r="B1193" s="2">
        <v>45847</v>
      </c>
      <c r="C1193" t="s">
        <v>22</v>
      </c>
      <c r="D1193" t="s">
        <v>23</v>
      </c>
      <c r="E1193" t="s">
        <v>70</v>
      </c>
      <c r="F1193">
        <v>41.3</v>
      </c>
      <c r="G1193">
        <v>131.80000000000001</v>
      </c>
      <c r="H1193">
        <v>18.5</v>
      </c>
      <c r="I1193">
        <v>12.5</v>
      </c>
      <c r="J1193">
        <v>0.59</v>
      </c>
      <c r="K1193">
        <v>50.4</v>
      </c>
      <c r="L1193">
        <v>33.9</v>
      </c>
      <c r="M1193">
        <v>73.099999999999994</v>
      </c>
      <c r="N1193">
        <v>2.5</v>
      </c>
      <c r="O1193">
        <v>213</v>
      </c>
      <c r="P1193" t="s">
        <v>28</v>
      </c>
    </row>
    <row r="1194" spans="1:16" x14ac:dyDescent="0.25">
      <c r="A1194" t="s">
        <v>1260</v>
      </c>
      <c r="B1194" s="2">
        <v>45917</v>
      </c>
      <c r="C1194" t="s">
        <v>93</v>
      </c>
      <c r="D1194" t="s">
        <v>36</v>
      </c>
      <c r="E1194" t="s">
        <v>45</v>
      </c>
      <c r="F1194">
        <v>118.5</v>
      </c>
      <c r="G1194">
        <v>81</v>
      </c>
      <c r="H1194">
        <v>8.6</v>
      </c>
      <c r="I1194">
        <v>15.5</v>
      </c>
      <c r="J1194">
        <v>0.79</v>
      </c>
      <c r="K1194">
        <v>35.700000000000003</v>
      </c>
      <c r="L1194">
        <v>24.9</v>
      </c>
      <c r="M1194">
        <v>56.6</v>
      </c>
      <c r="N1194">
        <v>3.7</v>
      </c>
      <c r="O1194">
        <v>296</v>
      </c>
      <c r="P1194" t="s">
        <v>28</v>
      </c>
    </row>
    <row r="1195" spans="1:16" x14ac:dyDescent="0.25">
      <c r="A1195" t="s">
        <v>1261</v>
      </c>
      <c r="B1195" s="2">
        <v>45823</v>
      </c>
      <c r="C1195" t="s">
        <v>50</v>
      </c>
      <c r="D1195" t="s">
        <v>31</v>
      </c>
      <c r="E1195" t="s">
        <v>43</v>
      </c>
      <c r="F1195">
        <v>54.3</v>
      </c>
      <c r="G1195">
        <v>108.8</v>
      </c>
      <c r="H1195">
        <v>9.3000000000000007</v>
      </c>
      <c r="I1195">
        <v>2.8</v>
      </c>
      <c r="J1195">
        <v>2.15</v>
      </c>
      <c r="K1195">
        <v>12.2</v>
      </c>
      <c r="L1195">
        <v>30.5</v>
      </c>
      <c r="M1195">
        <v>68.099999999999994</v>
      </c>
      <c r="N1195">
        <v>0.1</v>
      </c>
      <c r="O1195">
        <v>226</v>
      </c>
      <c r="P1195" t="s">
        <v>28</v>
      </c>
    </row>
    <row r="1196" spans="1:16" x14ac:dyDescent="0.25">
      <c r="A1196" t="s">
        <v>1262</v>
      </c>
      <c r="B1196" s="2">
        <v>45858</v>
      </c>
      <c r="C1196" t="s">
        <v>30</v>
      </c>
      <c r="D1196" t="s">
        <v>31</v>
      </c>
      <c r="E1196" t="s">
        <v>61</v>
      </c>
      <c r="F1196">
        <v>34.200000000000003</v>
      </c>
      <c r="G1196">
        <v>34.700000000000003</v>
      </c>
      <c r="H1196">
        <v>35.4</v>
      </c>
      <c r="I1196">
        <v>10.1</v>
      </c>
      <c r="J1196">
        <v>0.28999999999999998</v>
      </c>
      <c r="K1196">
        <v>21.5</v>
      </c>
      <c r="L1196">
        <v>14.6</v>
      </c>
      <c r="M1196">
        <v>67.599999999999994</v>
      </c>
      <c r="N1196">
        <v>2.7</v>
      </c>
      <c r="O1196">
        <v>130</v>
      </c>
      <c r="P1196" t="s">
        <v>33</v>
      </c>
    </row>
    <row r="1197" spans="1:16" x14ac:dyDescent="0.25">
      <c r="A1197" t="s">
        <v>1263</v>
      </c>
      <c r="B1197" s="2">
        <v>45711</v>
      </c>
      <c r="C1197" t="s">
        <v>99</v>
      </c>
      <c r="D1197" t="s">
        <v>36</v>
      </c>
      <c r="E1197" t="s">
        <v>58</v>
      </c>
      <c r="F1197">
        <v>28.1</v>
      </c>
      <c r="G1197">
        <v>62.7</v>
      </c>
      <c r="H1197">
        <v>6.2</v>
      </c>
      <c r="I1197">
        <v>26.5</v>
      </c>
      <c r="J1197">
        <v>0.93</v>
      </c>
      <c r="K1197">
        <v>26.8</v>
      </c>
      <c r="L1197">
        <v>24.9</v>
      </c>
      <c r="M1197">
        <v>86.3</v>
      </c>
      <c r="N1197">
        <v>2.4</v>
      </c>
      <c r="O1197">
        <v>145</v>
      </c>
      <c r="P1197" t="s">
        <v>33</v>
      </c>
    </row>
    <row r="1198" spans="1:16" x14ac:dyDescent="0.25">
      <c r="A1198" t="s">
        <v>1264</v>
      </c>
      <c r="B1198" s="2">
        <v>45873</v>
      </c>
      <c r="C1198" t="s">
        <v>64</v>
      </c>
      <c r="D1198" t="s">
        <v>36</v>
      </c>
      <c r="E1198" t="s">
        <v>40</v>
      </c>
      <c r="F1198">
        <v>70.400000000000006</v>
      </c>
      <c r="G1198">
        <v>80.900000000000006</v>
      </c>
      <c r="H1198">
        <v>19.600000000000001</v>
      </c>
      <c r="I1198">
        <v>5</v>
      </c>
      <c r="J1198">
        <v>0.52</v>
      </c>
      <c r="K1198">
        <v>51.6</v>
      </c>
      <c r="L1198">
        <v>21.7</v>
      </c>
      <c r="M1198">
        <v>71.400000000000006</v>
      </c>
      <c r="N1198">
        <v>3.2</v>
      </c>
      <c r="O1198">
        <v>221</v>
      </c>
      <c r="P1198" t="s">
        <v>28</v>
      </c>
    </row>
    <row r="1199" spans="1:16" x14ac:dyDescent="0.25">
      <c r="A1199" t="s">
        <v>1265</v>
      </c>
      <c r="B1199" s="2">
        <v>45744</v>
      </c>
      <c r="C1199" t="s">
        <v>54</v>
      </c>
      <c r="D1199" t="s">
        <v>18</v>
      </c>
      <c r="E1199" t="s">
        <v>32</v>
      </c>
      <c r="F1199">
        <v>39.1</v>
      </c>
      <c r="G1199">
        <v>41.1</v>
      </c>
      <c r="H1199">
        <v>47.5</v>
      </c>
      <c r="I1199">
        <v>14.3</v>
      </c>
      <c r="J1199">
        <v>0.42</v>
      </c>
      <c r="K1199">
        <v>25</v>
      </c>
      <c r="L1199">
        <v>34.200000000000003</v>
      </c>
      <c r="M1199">
        <v>46.6</v>
      </c>
      <c r="N1199">
        <v>1.8</v>
      </c>
      <c r="O1199">
        <v>159</v>
      </c>
      <c r="P1199" t="s">
        <v>33</v>
      </c>
    </row>
    <row r="1200" spans="1:16" x14ac:dyDescent="0.25">
      <c r="A1200" t="s">
        <v>1266</v>
      </c>
      <c r="B1200" s="2">
        <v>45975</v>
      </c>
      <c r="C1200" t="s">
        <v>38</v>
      </c>
      <c r="D1200" t="s">
        <v>39</v>
      </c>
      <c r="E1200" t="s">
        <v>19</v>
      </c>
      <c r="F1200">
        <v>38.700000000000003</v>
      </c>
      <c r="G1200">
        <v>31.7</v>
      </c>
      <c r="H1200">
        <v>33.6</v>
      </c>
      <c r="I1200">
        <v>6</v>
      </c>
      <c r="J1200">
        <v>0.6</v>
      </c>
      <c r="K1200">
        <v>16.3</v>
      </c>
      <c r="L1200">
        <v>30.6</v>
      </c>
      <c r="M1200">
        <v>82.6</v>
      </c>
      <c r="N1200">
        <v>2</v>
      </c>
      <c r="O1200">
        <v>136</v>
      </c>
      <c r="P1200" t="s">
        <v>33</v>
      </c>
    </row>
    <row r="1201" spans="1:16" x14ac:dyDescent="0.25">
      <c r="A1201" t="s">
        <v>1267</v>
      </c>
      <c r="B1201" s="2">
        <v>45774</v>
      </c>
      <c r="C1201" t="s">
        <v>42</v>
      </c>
      <c r="D1201" t="s">
        <v>23</v>
      </c>
      <c r="E1201" t="s">
        <v>68</v>
      </c>
      <c r="F1201">
        <v>33.799999999999997</v>
      </c>
      <c r="G1201">
        <v>50.7</v>
      </c>
      <c r="H1201">
        <v>56.3</v>
      </c>
      <c r="I1201">
        <v>15.2</v>
      </c>
      <c r="J1201">
        <v>0.32</v>
      </c>
      <c r="K1201">
        <v>39.299999999999997</v>
      </c>
      <c r="L1201">
        <v>29.4</v>
      </c>
      <c r="M1201">
        <v>75.5</v>
      </c>
      <c r="N1201">
        <v>1.9</v>
      </c>
      <c r="O1201">
        <v>168</v>
      </c>
      <c r="P1201" t="s">
        <v>33</v>
      </c>
    </row>
    <row r="1202" spans="1:16" x14ac:dyDescent="0.25">
      <c r="A1202" t="s">
        <v>1268</v>
      </c>
      <c r="B1202" s="2">
        <v>45723</v>
      </c>
      <c r="C1202" t="s">
        <v>50</v>
      </c>
      <c r="D1202" t="s">
        <v>31</v>
      </c>
      <c r="E1202" t="s">
        <v>91</v>
      </c>
      <c r="F1202">
        <v>26</v>
      </c>
      <c r="G1202">
        <v>75.599999999999994</v>
      </c>
      <c r="H1202">
        <v>17.2</v>
      </c>
      <c r="I1202">
        <v>8.1</v>
      </c>
      <c r="J1202">
        <v>0.36</v>
      </c>
      <c r="K1202">
        <v>38.1</v>
      </c>
      <c r="L1202">
        <v>18.899999999999999</v>
      </c>
      <c r="M1202">
        <v>58.9</v>
      </c>
      <c r="N1202">
        <v>3.1</v>
      </c>
      <c r="O1202">
        <v>136</v>
      </c>
      <c r="P1202" t="s">
        <v>33</v>
      </c>
    </row>
    <row r="1203" spans="1:16" x14ac:dyDescent="0.25">
      <c r="A1203" t="s">
        <v>1269</v>
      </c>
      <c r="B1203" s="2">
        <v>45712</v>
      </c>
      <c r="C1203" t="s">
        <v>81</v>
      </c>
      <c r="D1203" t="s">
        <v>39</v>
      </c>
      <c r="E1203" t="s">
        <v>43</v>
      </c>
      <c r="F1203">
        <v>62.7</v>
      </c>
      <c r="G1203">
        <v>47.8</v>
      </c>
      <c r="H1203">
        <v>22.8</v>
      </c>
      <c r="I1203">
        <v>12.1</v>
      </c>
      <c r="J1203">
        <v>1.46</v>
      </c>
      <c r="K1203">
        <v>58.5</v>
      </c>
      <c r="L1203">
        <v>29.3</v>
      </c>
      <c r="M1203">
        <v>71</v>
      </c>
      <c r="N1203">
        <v>3</v>
      </c>
      <c r="O1203">
        <v>221</v>
      </c>
      <c r="P1203" t="s">
        <v>28</v>
      </c>
    </row>
    <row r="1204" spans="1:16" x14ac:dyDescent="0.25">
      <c r="A1204" t="s">
        <v>1270</v>
      </c>
      <c r="B1204" s="2">
        <v>45663</v>
      </c>
      <c r="C1204" t="s">
        <v>22</v>
      </c>
      <c r="D1204" t="s">
        <v>23</v>
      </c>
      <c r="E1204" t="s">
        <v>55</v>
      </c>
      <c r="F1204">
        <v>35.799999999999997</v>
      </c>
      <c r="G1204">
        <v>56.8</v>
      </c>
      <c r="H1204">
        <v>21.7</v>
      </c>
      <c r="I1204">
        <v>49.3</v>
      </c>
      <c r="J1204">
        <v>0.42</v>
      </c>
      <c r="K1204">
        <v>50.2</v>
      </c>
      <c r="L1204">
        <v>27.6</v>
      </c>
      <c r="M1204">
        <v>72.5</v>
      </c>
      <c r="N1204">
        <v>2.1</v>
      </c>
      <c r="O1204">
        <v>179</v>
      </c>
      <c r="P1204" t="s">
        <v>33</v>
      </c>
    </row>
    <row r="1205" spans="1:16" x14ac:dyDescent="0.25">
      <c r="A1205" t="s">
        <v>1271</v>
      </c>
      <c r="B1205" s="2">
        <v>45751</v>
      </c>
      <c r="C1205" t="s">
        <v>50</v>
      </c>
      <c r="D1205" t="s">
        <v>31</v>
      </c>
      <c r="E1205" t="s">
        <v>32</v>
      </c>
      <c r="F1205">
        <v>84.8</v>
      </c>
      <c r="G1205">
        <v>67.900000000000006</v>
      </c>
      <c r="H1205">
        <v>54.5</v>
      </c>
      <c r="I1205">
        <v>15.8</v>
      </c>
      <c r="J1205">
        <v>0.16</v>
      </c>
      <c r="K1205">
        <v>89.3</v>
      </c>
      <c r="L1205">
        <v>20.6</v>
      </c>
      <c r="M1205">
        <v>66.7</v>
      </c>
      <c r="N1205">
        <v>2.2999999999999998</v>
      </c>
      <c r="O1205">
        <v>279</v>
      </c>
      <c r="P1205" t="s">
        <v>28</v>
      </c>
    </row>
    <row r="1206" spans="1:16" x14ac:dyDescent="0.25">
      <c r="A1206" t="s">
        <v>1272</v>
      </c>
      <c r="B1206" s="2">
        <v>45746</v>
      </c>
      <c r="C1206" t="s">
        <v>81</v>
      </c>
      <c r="D1206" t="s">
        <v>39</v>
      </c>
      <c r="E1206" t="s">
        <v>43</v>
      </c>
      <c r="F1206">
        <v>34.1</v>
      </c>
      <c r="G1206">
        <v>92.2</v>
      </c>
      <c r="H1206">
        <v>28.6</v>
      </c>
      <c r="I1206">
        <v>15.8</v>
      </c>
      <c r="J1206">
        <v>0.47</v>
      </c>
      <c r="K1206">
        <v>8.1</v>
      </c>
      <c r="L1206">
        <v>29.4</v>
      </c>
      <c r="M1206">
        <v>51.6</v>
      </c>
      <c r="N1206">
        <v>3.4</v>
      </c>
      <c r="O1206">
        <v>164</v>
      </c>
      <c r="P1206" t="s">
        <v>33</v>
      </c>
    </row>
    <row r="1207" spans="1:16" x14ac:dyDescent="0.25">
      <c r="A1207" t="s">
        <v>1273</v>
      </c>
      <c r="B1207" s="2">
        <v>45805</v>
      </c>
      <c r="C1207" t="s">
        <v>81</v>
      </c>
      <c r="D1207" t="s">
        <v>39</v>
      </c>
      <c r="E1207" t="s">
        <v>19</v>
      </c>
      <c r="F1207">
        <v>62.2</v>
      </c>
      <c r="G1207">
        <v>63.7</v>
      </c>
      <c r="H1207">
        <v>5.3</v>
      </c>
      <c r="I1207">
        <v>6.3</v>
      </c>
      <c r="J1207">
        <v>0.53</v>
      </c>
      <c r="K1207">
        <v>12.9</v>
      </c>
      <c r="L1207">
        <v>34.200000000000003</v>
      </c>
      <c r="M1207">
        <v>72.400000000000006</v>
      </c>
      <c r="N1207">
        <v>4.0999999999999996</v>
      </c>
      <c r="O1207">
        <v>169</v>
      </c>
      <c r="P1207" t="s">
        <v>33</v>
      </c>
    </row>
    <row r="1208" spans="1:16" x14ac:dyDescent="0.25">
      <c r="A1208" t="s">
        <v>1274</v>
      </c>
      <c r="B1208" s="2">
        <v>45665</v>
      </c>
      <c r="C1208" t="s">
        <v>17</v>
      </c>
      <c r="D1208" t="s">
        <v>18</v>
      </c>
      <c r="E1208" t="s">
        <v>58</v>
      </c>
      <c r="F1208">
        <v>104.8</v>
      </c>
      <c r="G1208">
        <v>49.2</v>
      </c>
      <c r="H1208">
        <v>10</v>
      </c>
      <c r="I1208">
        <v>3.5</v>
      </c>
      <c r="J1208">
        <v>0.64</v>
      </c>
      <c r="K1208">
        <v>12.7</v>
      </c>
      <c r="L1208">
        <v>25.7</v>
      </c>
      <c r="M1208">
        <v>55.9</v>
      </c>
      <c r="N1208">
        <v>1.8</v>
      </c>
      <c r="O1208">
        <v>232</v>
      </c>
      <c r="P1208" t="s">
        <v>28</v>
      </c>
    </row>
    <row r="1209" spans="1:16" x14ac:dyDescent="0.25">
      <c r="A1209" t="s">
        <v>1275</v>
      </c>
      <c r="B1209" s="2">
        <v>45742</v>
      </c>
      <c r="C1209" t="s">
        <v>99</v>
      </c>
      <c r="D1209" t="s">
        <v>36</v>
      </c>
      <c r="E1209" t="s">
        <v>91</v>
      </c>
      <c r="F1209">
        <v>29</v>
      </c>
      <c r="G1209">
        <v>52.4</v>
      </c>
      <c r="H1209">
        <v>6.5</v>
      </c>
      <c r="I1209">
        <v>19.8</v>
      </c>
      <c r="J1209">
        <v>1.24</v>
      </c>
      <c r="K1209">
        <v>25</v>
      </c>
      <c r="L1209">
        <v>33</v>
      </c>
      <c r="M1209">
        <v>82.9</v>
      </c>
      <c r="N1209">
        <v>1.6</v>
      </c>
      <c r="O1209">
        <v>142</v>
      </c>
      <c r="P1209" t="s">
        <v>33</v>
      </c>
    </row>
    <row r="1210" spans="1:16" x14ac:dyDescent="0.25">
      <c r="A1210" t="s">
        <v>1276</v>
      </c>
      <c r="B1210" s="2">
        <v>45977</v>
      </c>
      <c r="C1210" t="s">
        <v>26</v>
      </c>
      <c r="D1210" t="s">
        <v>23</v>
      </c>
      <c r="E1210" t="s">
        <v>55</v>
      </c>
      <c r="F1210">
        <v>20.2</v>
      </c>
      <c r="G1210">
        <v>177.4</v>
      </c>
      <c r="H1210">
        <v>38.5</v>
      </c>
      <c r="I1210">
        <v>9.6999999999999993</v>
      </c>
      <c r="J1210">
        <v>0.42</v>
      </c>
      <c r="K1210">
        <v>28.8</v>
      </c>
      <c r="L1210">
        <v>29.4</v>
      </c>
      <c r="M1210">
        <v>63.4</v>
      </c>
      <c r="N1210">
        <v>1.4</v>
      </c>
      <c r="O1210">
        <v>209</v>
      </c>
      <c r="P1210" t="s">
        <v>28</v>
      </c>
    </row>
    <row r="1211" spans="1:16" x14ac:dyDescent="0.25">
      <c r="A1211" t="s">
        <v>1277</v>
      </c>
      <c r="B1211" s="2">
        <v>45751</v>
      </c>
      <c r="C1211" t="s">
        <v>50</v>
      </c>
      <c r="D1211" t="s">
        <v>31</v>
      </c>
      <c r="E1211" t="s">
        <v>24</v>
      </c>
      <c r="F1211">
        <v>20.399999999999999</v>
      </c>
      <c r="G1211">
        <v>96.1</v>
      </c>
      <c r="H1211">
        <v>16.600000000000001</v>
      </c>
      <c r="I1211">
        <v>6.2</v>
      </c>
      <c r="J1211">
        <v>0.45</v>
      </c>
      <c r="K1211">
        <v>12.2</v>
      </c>
      <c r="L1211">
        <v>28.3</v>
      </c>
      <c r="M1211">
        <v>97.8</v>
      </c>
      <c r="N1211">
        <v>3</v>
      </c>
      <c r="O1211">
        <v>129</v>
      </c>
      <c r="P1211" t="s">
        <v>33</v>
      </c>
    </row>
    <row r="1212" spans="1:16" x14ac:dyDescent="0.25">
      <c r="A1212" t="s">
        <v>1278</v>
      </c>
      <c r="B1212" s="2">
        <v>45987</v>
      </c>
      <c r="C1212" t="s">
        <v>93</v>
      </c>
      <c r="D1212" t="s">
        <v>36</v>
      </c>
      <c r="E1212" t="s">
        <v>97</v>
      </c>
      <c r="F1212">
        <v>28.4</v>
      </c>
      <c r="G1212">
        <v>173.7</v>
      </c>
      <c r="H1212">
        <v>6.8</v>
      </c>
      <c r="I1212">
        <v>15.9</v>
      </c>
      <c r="J1212">
        <v>0.45</v>
      </c>
      <c r="K1212">
        <v>13.1</v>
      </c>
      <c r="L1212">
        <v>24</v>
      </c>
      <c r="M1212">
        <v>65.599999999999994</v>
      </c>
      <c r="N1212">
        <v>0.1</v>
      </c>
      <c r="O1212">
        <v>192</v>
      </c>
      <c r="P1212" t="s">
        <v>33</v>
      </c>
    </row>
    <row r="1213" spans="1:16" x14ac:dyDescent="0.25">
      <c r="A1213" t="s">
        <v>1279</v>
      </c>
      <c r="B1213" s="2">
        <v>45944</v>
      </c>
      <c r="C1213" t="s">
        <v>81</v>
      </c>
      <c r="D1213" t="s">
        <v>39</v>
      </c>
      <c r="E1213" t="s">
        <v>32</v>
      </c>
      <c r="F1213">
        <v>56.5</v>
      </c>
      <c r="G1213">
        <v>84</v>
      </c>
      <c r="H1213">
        <v>46.1</v>
      </c>
      <c r="I1213">
        <v>4.5999999999999996</v>
      </c>
      <c r="J1213">
        <v>0.2</v>
      </c>
      <c r="K1213">
        <v>71</v>
      </c>
      <c r="L1213">
        <v>32.799999999999997</v>
      </c>
      <c r="M1213">
        <v>79.599999999999994</v>
      </c>
      <c r="N1213">
        <v>0.9</v>
      </c>
      <c r="O1213">
        <v>222</v>
      </c>
      <c r="P1213" t="s">
        <v>28</v>
      </c>
    </row>
    <row r="1214" spans="1:16" x14ac:dyDescent="0.25">
      <c r="A1214" t="s">
        <v>1280</v>
      </c>
      <c r="B1214" s="2">
        <v>45687</v>
      </c>
      <c r="C1214" t="s">
        <v>99</v>
      </c>
      <c r="D1214" t="s">
        <v>36</v>
      </c>
      <c r="E1214" t="s">
        <v>27</v>
      </c>
      <c r="F1214">
        <v>58.1</v>
      </c>
      <c r="G1214">
        <v>44.2</v>
      </c>
      <c r="H1214">
        <v>55.6</v>
      </c>
      <c r="I1214">
        <v>17</v>
      </c>
      <c r="J1214">
        <v>1.1299999999999999</v>
      </c>
      <c r="K1214">
        <v>25.8</v>
      </c>
      <c r="L1214">
        <v>19.5</v>
      </c>
      <c r="M1214">
        <v>54.9</v>
      </c>
      <c r="N1214">
        <v>2.1</v>
      </c>
      <c r="O1214">
        <v>218</v>
      </c>
      <c r="P1214" t="s">
        <v>28</v>
      </c>
    </row>
    <row r="1215" spans="1:16" x14ac:dyDescent="0.25">
      <c r="A1215" t="s">
        <v>1281</v>
      </c>
      <c r="B1215" s="2">
        <v>45790</v>
      </c>
      <c r="C1215" t="s">
        <v>54</v>
      </c>
      <c r="D1215" t="s">
        <v>18</v>
      </c>
      <c r="E1215" t="s">
        <v>27</v>
      </c>
      <c r="F1215">
        <v>24.8</v>
      </c>
      <c r="G1215">
        <v>70</v>
      </c>
      <c r="H1215">
        <v>44.4</v>
      </c>
      <c r="I1215">
        <v>2.2000000000000002</v>
      </c>
      <c r="J1215">
        <v>1.41</v>
      </c>
      <c r="K1215">
        <v>31</v>
      </c>
      <c r="L1215">
        <v>31.9</v>
      </c>
      <c r="M1215">
        <v>62.4</v>
      </c>
      <c r="N1215">
        <v>2.6</v>
      </c>
      <c r="O1215">
        <v>171</v>
      </c>
      <c r="P1215" t="s">
        <v>33</v>
      </c>
    </row>
    <row r="1216" spans="1:16" x14ac:dyDescent="0.25">
      <c r="A1216" t="s">
        <v>1282</v>
      </c>
      <c r="B1216" s="2">
        <v>45669</v>
      </c>
      <c r="C1216" t="s">
        <v>26</v>
      </c>
      <c r="D1216" t="s">
        <v>23</v>
      </c>
      <c r="E1216" t="s">
        <v>61</v>
      </c>
      <c r="F1216">
        <v>47</v>
      </c>
      <c r="G1216">
        <v>55.4</v>
      </c>
      <c r="H1216">
        <v>31.1</v>
      </c>
      <c r="I1216">
        <v>7.9</v>
      </c>
      <c r="J1216">
        <v>0.27</v>
      </c>
      <c r="K1216">
        <v>48.9</v>
      </c>
      <c r="L1216">
        <v>24.9</v>
      </c>
      <c r="M1216">
        <v>85.2</v>
      </c>
      <c r="N1216">
        <v>2.7</v>
      </c>
      <c r="O1216">
        <v>170</v>
      </c>
      <c r="P1216" t="s">
        <v>33</v>
      </c>
    </row>
    <row r="1217" spans="1:16" x14ac:dyDescent="0.25">
      <c r="A1217" t="s">
        <v>1283</v>
      </c>
      <c r="B1217" s="2">
        <v>45797</v>
      </c>
      <c r="C1217" t="s">
        <v>93</v>
      </c>
      <c r="D1217" t="s">
        <v>36</v>
      </c>
      <c r="E1217" t="s">
        <v>40</v>
      </c>
      <c r="F1217">
        <v>32.5</v>
      </c>
      <c r="G1217">
        <v>90.9</v>
      </c>
      <c r="H1217">
        <v>48.4</v>
      </c>
      <c r="I1217">
        <v>18.399999999999999</v>
      </c>
      <c r="J1217">
        <v>0.46</v>
      </c>
      <c r="K1217">
        <v>25.2</v>
      </c>
      <c r="L1217">
        <v>24.5</v>
      </c>
      <c r="M1217">
        <v>51.7</v>
      </c>
      <c r="N1217">
        <v>3.7</v>
      </c>
      <c r="O1217">
        <v>186</v>
      </c>
      <c r="P1217" t="s">
        <v>33</v>
      </c>
    </row>
    <row r="1218" spans="1:16" x14ac:dyDescent="0.25">
      <c r="A1218" t="s">
        <v>1284</v>
      </c>
      <c r="B1218" s="2">
        <v>45805</v>
      </c>
      <c r="C1218" t="s">
        <v>99</v>
      </c>
      <c r="D1218" t="s">
        <v>36</v>
      </c>
      <c r="E1218" t="s">
        <v>61</v>
      </c>
      <c r="F1218">
        <v>35.799999999999997</v>
      </c>
      <c r="G1218">
        <v>56.7</v>
      </c>
      <c r="H1218">
        <v>29.2</v>
      </c>
      <c r="I1218">
        <v>14.2</v>
      </c>
      <c r="J1218">
        <v>0.8</v>
      </c>
      <c r="K1218">
        <v>82.6</v>
      </c>
      <c r="L1218">
        <v>26.8</v>
      </c>
      <c r="M1218">
        <v>55.6</v>
      </c>
      <c r="N1218">
        <v>3.4</v>
      </c>
      <c r="O1218">
        <v>185</v>
      </c>
      <c r="P1218" t="s">
        <v>33</v>
      </c>
    </row>
    <row r="1219" spans="1:16" x14ac:dyDescent="0.25">
      <c r="A1219" t="s">
        <v>1285</v>
      </c>
      <c r="B1219" s="2">
        <v>45943</v>
      </c>
      <c r="C1219" t="s">
        <v>77</v>
      </c>
      <c r="D1219" t="s">
        <v>39</v>
      </c>
      <c r="E1219" t="s">
        <v>91</v>
      </c>
      <c r="F1219">
        <v>25.1</v>
      </c>
      <c r="G1219">
        <v>86.6</v>
      </c>
      <c r="H1219">
        <v>9.6999999999999993</v>
      </c>
      <c r="I1219">
        <v>5.4</v>
      </c>
      <c r="J1219">
        <v>0.68</v>
      </c>
      <c r="K1219">
        <v>37.799999999999997</v>
      </c>
      <c r="L1219">
        <v>22.3</v>
      </c>
      <c r="M1219">
        <v>61.4</v>
      </c>
      <c r="N1219">
        <v>2</v>
      </c>
      <c r="O1219">
        <v>142</v>
      </c>
      <c r="P1219" t="s">
        <v>33</v>
      </c>
    </row>
    <row r="1220" spans="1:16" x14ac:dyDescent="0.25">
      <c r="A1220" t="s">
        <v>1286</v>
      </c>
      <c r="B1220" s="2">
        <v>45786</v>
      </c>
      <c r="C1220" t="s">
        <v>93</v>
      </c>
      <c r="D1220" t="s">
        <v>36</v>
      </c>
      <c r="E1220" t="s">
        <v>68</v>
      </c>
      <c r="F1220">
        <v>23.8</v>
      </c>
      <c r="G1220">
        <v>87.5</v>
      </c>
      <c r="H1220">
        <v>3.1</v>
      </c>
      <c r="I1220">
        <v>1.6</v>
      </c>
      <c r="J1220">
        <v>0.65</v>
      </c>
      <c r="K1220">
        <v>89.2</v>
      </c>
      <c r="L1220">
        <v>36.9</v>
      </c>
      <c r="M1220">
        <v>61.7</v>
      </c>
      <c r="N1220">
        <v>3.6</v>
      </c>
      <c r="O1220">
        <v>155</v>
      </c>
      <c r="P1220" t="s">
        <v>33</v>
      </c>
    </row>
    <row r="1221" spans="1:16" x14ac:dyDescent="0.25">
      <c r="A1221" t="s">
        <v>1287</v>
      </c>
      <c r="B1221" s="2">
        <v>45938</v>
      </c>
      <c r="C1221" t="s">
        <v>30</v>
      </c>
      <c r="D1221" t="s">
        <v>31</v>
      </c>
      <c r="E1221" t="s">
        <v>55</v>
      </c>
      <c r="F1221">
        <v>98.3</v>
      </c>
      <c r="G1221">
        <v>222.6</v>
      </c>
      <c r="H1221">
        <v>42.4</v>
      </c>
      <c r="I1221">
        <v>9.5</v>
      </c>
      <c r="J1221">
        <v>0.6</v>
      </c>
      <c r="K1221">
        <v>21.7</v>
      </c>
      <c r="L1221">
        <v>23.2</v>
      </c>
      <c r="M1221">
        <v>83.6</v>
      </c>
      <c r="N1221">
        <v>1.2</v>
      </c>
      <c r="O1221">
        <v>367</v>
      </c>
      <c r="P1221" t="s">
        <v>20</v>
      </c>
    </row>
    <row r="1222" spans="1:16" x14ac:dyDescent="0.25">
      <c r="A1222" t="s">
        <v>1288</v>
      </c>
      <c r="B1222" s="2">
        <v>45846</v>
      </c>
      <c r="C1222" t="s">
        <v>22</v>
      </c>
      <c r="D1222" t="s">
        <v>23</v>
      </c>
      <c r="E1222" t="s">
        <v>40</v>
      </c>
      <c r="F1222">
        <v>114</v>
      </c>
      <c r="G1222">
        <v>86.9</v>
      </c>
      <c r="H1222">
        <v>29.4</v>
      </c>
      <c r="I1222">
        <v>13.7</v>
      </c>
      <c r="J1222">
        <v>1</v>
      </c>
      <c r="K1222">
        <v>8.1</v>
      </c>
      <c r="L1222">
        <v>40.5</v>
      </c>
      <c r="M1222">
        <v>70.8</v>
      </c>
      <c r="N1222">
        <v>0.2</v>
      </c>
      <c r="O1222">
        <v>301</v>
      </c>
      <c r="P1222" t="s">
        <v>20</v>
      </c>
    </row>
    <row r="1223" spans="1:16" x14ac:dyDescent="0.25">
      <c r="A1223" t="s">
        <v>1289</v>
      </c>
      <c r="B1223" s="2">
        <v>45919</v>
      </c>
      <c r="C1223" t="s">
        <v>54</v>
      </c>
      <c r="D1223" t="s">
        <v>18</v>
      </c>
      <c r="E1223" t="s">
        <v>61</v>
      </c>
      <c r="F1223">
        <v>71.7</v>
      </c>
      <c r="G1223">
        <v>147.4</v>
      </c>
      <c r="H1223">
        <v>24</v>
      </c>
      <c r="I1223">
        <v>11.1</v>
      </c>
      <c r="J1223">
        <v>0.37</v>
      </c>
      <c r="K1223">
        <v>44.8</v>
      </c>
      <c r="L1223">
        <v>27.4</v>
      </c>
      <c r="M1223">
        <v>54.8</v>
      </c>
      <c r="N1223">
        <v>1.3</v>
      </c>
      <c r="O1223">
        <v>267</v>
      </c>
      <c r="P1223" t="s">
        <v>28</v>
      </c>
    </row>
    <row r="1224" spans="1:16" x14ac:dyDescent="0.25">
      <c r="A1224" t="s">
        <v>1290</v>
      </c>
      <c r="B1224" s="2">
        <v>45778</v>
      </c>
      <c r="C1224" t="s">
        <v>54</v>
      </c>
      <c r="D1224" t="s">
        <v>18</v>
      </c>
      <c r="E1224" t="s">
        <v>97</v>
      </c>
      <c r="F1224">
        <v>13.9</v>
      </c>
      <c r="G1224">
        <v>57</v>
      </c>
      <c r="H1224">
        <v>46.7</v>
      </c>
      <c r="I1224">
        <v>5</v>
      </c>
      <c r="J1224">
        <v>0.39</v>
      </c>
      <c r="K1224">
        <v>14.5</v>
      </c>
      <c r="L1224">
        <v>20.2</v>
      </c>
      <c r="M1224">
        <v>57.5</v>
      </c>
      <c r="N1224">
        <v>3</v>
      </c>
      <c r="O1224">
        <v>116</v>
      </c>
      <c r="P1224" t="s">
        <v>33</v>
      </c>
    </row>
    <row r="1225" spans="1:16" x14ac:dyDescent="0.25">
      <c r="A1225" t="s">
        <v>1291</v>
      </c>
      <c r="B1225" s="2">
        <v>45870</v>
      </c>
      <c r="C1225" t="s">
        <v>42</v>
      </c>
      <c r="D1225" t="s">
        <v>23</v>
      </c>
      <c r="E1225" t="s">
        <v>32</v>
      </c>
      <c r="F1225">
        <v>51.3</v>
      </c>
      <c r="G1225">
        <v>113.9</v>
      </c>
      <c r="H1225">
        <v>8.9</v>
      </c>
      <c r="I1225">
        <v>12.7</v>
      </c>
      <c r="J1225">
        <v>0.45</v>
      </c>
      <c r="K1225">
        <v>35.200000000000003</v>
      </c>
      <c r="L1225">
        <v>23.1</v>
      </c>
      <c r="M1225">
        <v>71.5</v>
      </c>
      <c r="N1225">
        <v>2.8</v>
      </c>
      <c r="O1225">
        <v>199</v>
      </c>
      <c r="P1225" t="s">
        <v>33</v>
      </c>
    </row>
    <row r="1226" spans="1:16" x14ac:dyDescent="0.25">
      <c r="A1226" t="s">
        <v>1292</v>
      </c>
      <c r="B1226" s="2">
        <v>45668</v>
      </c>
      <c r="C1226" t="s">
        <v>77</v>
      </c>
      <c r="D1226" t="s">
        <v>39</v>
      </c>
      <c r="E1226" t="s">
        <v>61</v>
      </c>
      <c r="F1226">
        <v>31.2</v>
      </c>
      <c r="G1226">
        <v>43</v>
      </c>
      <c r="H1226">
        <v>50</v>
      </c>
      <c r="I1226">
        <v>1.4</v>
      </c>
      <c r="J1226">
        <v>0.77</v>
      </c>
      <c r="K1226">
        <v>18.2</v>
      </c>
      <c r="L1226">
        <v>24.9</v>
      </c>
      <c r="M1226">
        <v>74.900000000000006</v>
      </c>
      <c r="N1226">
        <v>2.2999999999999998</v>
      </c>
      <c r="O1226">
        <v>146</v>
      </c>
      <c r="P1226" t="s">
        <v>33</v>
      </c>
    </row>
    <row r="1227" spans="1:16" x14ac:dyDescent="0.25">
      <c r="A1227" t="s">
        <v>1293</v>
      </c>
      <c r="B1227" s="2">
        <v>45681</v>
      </c>
      <c r="C1227" t="s">
        <v>50</v>
      </c>
      <c r="D1227" t="s">
        <v>31</v>
      </c>
      <c r="E1227" t="s">
        <v>55</v>
      </c>
      <c r="F1227">
        <v>80</v>
      </c>
      <c r="G1227">
        <v>79.3</v>
      </c>
      <c r="H1227">
        <v>55.4</v>
      </c>
      <c r="I1227">
        <v>17.600000000000001</v>
      </c>
      <c r="J1227">
        <v>1.76</v>
      </c>
      <c r="K1227">
        <v>26.4</v>
      </c>
      <c r="L1227">
        <v>24</v>
      </c>
      <c r="M1227">
        <v>42.4</v>
      </c>
      <c r="N1227">
        <v>5</v>
      </c>
      <c r="O1227">
        <v>292</v>
      </c>
      <c r="P1227" t="s">
        <v>28</v>
      </c>
    </row>
    <row r="1228" spans="1:16" x14ac:dyDescent="0.25">
      <c r="A1228" t="s">
        <v>1294</v>
      </c>
      <c r="B1228" s="2">
        <v>45927</v>
      </c>
      <c r="C1228" t="s">
        <v>35</v>
      </c>
      <c r="D1228" t="s">
        <v>36</v>
      </c>
      <c r="E1228" t="s">
        <v>40</v>
      </c>
      <c r="F1228">
        <v>36.299999999999997</v>
      </c>
      <c r="G1228">
        <v>90.3</v>
      </c>
      <c r="H1228">
        <v>52.3</v>
      </c>
      <c r="I1228">
        <v>9.3000000000000007</v>
      </c>
      <c r="J1228">
        <v>0.39</v>
      </c>
      <c r="K1228">
        <v>60.7</v>
      </c>
      <c r="L1228">
        <v>17</v>
      </c>
      <c r="M1228">
        <v>45</v>
      </c>
      <c r="N1228">
        <v>2.6</v>
      </c>
      <c r="O1228">
        <v>202</v>
      </c>
      <c r="P1228" t="s">
        <v>28</v>
      </c>
    </row>
    <row r="1229" spans="1:16" x14ac:dyDescent="0.25">
      <c r="A1229" t="s">
        <v>1295</v>
      </c>
      <c r="B1229" s="2">
        <v>45971</v>
      </c>
      <c r="C1229" t="s">
        <v>30</v>
      </c>
      <c r="D1229" t="s">
        <v>31</v>
      </c>
      <c r="E1229" t="s">
        <v>68</v>
      </c>
      <c r="F1229">
        <v>25.5</v>
      </c>
      <c r="G1229">
        <v>85.1</v>
      </c>
      <c r="H1229">
        <v>19.899999999999999</v>
      </c>
      <c r="I1229">
        <v>28.3</v>
      </c>
      <c r="J1229">
        <v>0.44</v>
      </c>
      <c r="K1229">
        <v>32</v>
      </c>
      <c r="L1229">
        <v>25.1</v>
      </c>
      <c r="M1229">
        <v>55.3</v>
      </c>
      <c r="N1229">
        <v>1.4</v>
      </c>
      <c r="O1229">
        <v>157</v>
      </c>
      <c r="P1229" t="s">
        <v>33</v>
      </c>
    </row>
    <row r="1230" spans="1:16" x14ac:dyDescent="0.25">
      <c r="A1230" t="s">
        <v>1296</v>
      </c>
      <c r="B1230" s="2">
        <v>45686</v>
      </c>
      <c r="C1230" t="s">
        <v>50</v>
      </c>
      <c r="D1230" t="s">
        <v>31</v>
      </c>
      <c r="E1230" t="s">
        <v>19</v>
      </c>
      <c r="F1230">
        <v>29.1</v>
      </c>
      <c r="G1230">
        <v>180.9</v>
      </c>
      <c r="H1230">
        <v>53.6</v>
      </c>
      <c r="I1230">
        <v>6.6</v>
      </c>
      <c r="J1230">
        <v>0.16</v>
      </c>
      <c r="K1230">
        <v>5.7</v>
      </c>
      <c r="L1230">
        <v>39.4</v>
      </c>
      <c r="M1230">
        <v>67.900000000000006</v>
      </c>
      <c r="N1230">
        <v>3.6</v>
      </c>
      <c r="O1230">
        <v>218</v>
      </c>
      <c r="P1230" t="s">
        <v>28</v>
      </c>
    </row>
    <row r="1231" spans="1:16" x14ac:dyDescent="0.25">
      <c r="A1231" t="s">
        <v>1297</v>
      </c>
      <c r="B1231" s="2">
        <v>45886</v>
      </c>
      <c r="C1231" t="s">
        <v>17</v>
      </c>
      <c r="D1231" t="s">
        <v>18</v>
      </c>
      <c r="E1231" t="s">
        <v>91</v>
      </c>
      <c r="F1231">
        <v>46.4</v>
      </c>
      <c r="G1231">
        <v>163.6</v>
      </c>
      <c r="H1231">
        <v>8.5</v>
      </c>
      <c r="I1231">
        <v>21.1</v>
      </c>
      <c r="J1231">
        <v>0.66</v>
      </c>
      <c r="K1231">
        <v>39.299999999999997</v>
      </c>
      <c r="L1231">
        <v>17.2</v>
      </c>
      <c r="M1231">
        <v>56.3</v>
      </c>
      <c r="N1231">
        <v>2.2000000000000002</v>
      </c>
      <c r="O1231">
        <v>236</v>
      </c>
      <c r="P1231" t="s">
        <v>28</v>
      </c>
    </row>
    <row r="1232" spans="1:16" x14ac:dyDescent="0.25">
      <c r="A1232" t="s">
        <v>1298</v>
      </c>
      <c r="B1232" s="2">
        <v>45699</v>
      </c>
      <c r="C1232" t="s">
        <v>77</v>
      </c>
      <c r="D1232" t="s">
        <v>39</v>
      </c>
      <c r="E1232" t="s">
        <v>91</v>
      </c>
      <c r="F1232">
        <v>60.9</v>
      </c>
      <c r="G1232">
        <v>77.5</v>
      </c>
      <c r="H1232">
        <v>14.5</v>
      </c>
      <c r="I1232">
        <v>25.3</v>
      </c>
      <c r="J1232">
        <v>0.2</v>
      </c>
      <c r="K1232">
        <v>23.5</v>
      </c>
      <c r="L1232">
        <v>26.3</v>
      </c>
      <c r="M1232">
        <v>38.4</v>
      </c>
      <c r="N1232">
        <v>1.3</v>
      </c>
      <c r="O1232">
        <v>193</v>
      </c>
      <c r="P1232" t="s">
        <v>33</v>
      </c>
    </row>
    <row r="1233" spans="1:16" x14ac:dyDescent="0.25">
      <c r="A1233" t="s">
        <v>1299</v>
      </c>
      <c r="B1233" s="2">
        <v>46001</v>
      </c>
      <c r="C1233" t="s">
        <v>77</v>
      </c>
      <c r="D1233" t="s">
        <v>39</v>
      </c>
      <c r="E1233" t="s">
        <v>74</v>
      </c>
      <c r="F1233">
        <v>29.6</v>
      </c>
      <c r="G1233">
        <v>32.700000000000003</v>
      </c>
      <c r="H1233">
        <v>11.1</v>
      </c>
      <c r="I1233">
        <v>9.6</v>
      </c>
      <c r="J1233">
        <v>1.38</v>
      </c>
      <c r="K1233">
        <v>38.5</v>
      </c>
      <c r="L1233">
        <v>30.3</v>
      </c>
      <c r="M1233">
        <v>61.7</v>
      </c>
      <c r="N1233">
        <v>1.8</v>
      </c>
      <c r="O1233">
        <v>136</v>
      </c>
      <c r="P1233" t="s">
        <v>33</v>
      </c>
    </row>
    <row r="1234" spans="1:16" x14ac:dyDescent="0.25">
      <c r="A1234" t="s">
        <v>1300</v>
      </c>
      <c r="B1234" s="2">
        <v>45682</v>
      </c>
      <c r="C1234" t="s">
        <v>22</v>
      </c>
      <c r="D1234" t="s">
        <v>23</v>
      </c>
      <c r="E1234" t="s">
        <v>91</v>
      </c>
      <c r="F1234">
        <v>28.5</v>
      </c>
      <c r="G1234">
        <v>95</v>
      </c>
      <c r="H1234">
        <v>15.2</v>
      </c>
      <c r="I1234">
        <v>11</v>
      </c>
      <c r="J1234">
        <v>0.38</v>
      </c>
      <c r="K1234">
        <v>27.9</v>
      </c>
      <c r="L1234">
        <v>27.4</v>
      </c>
      <c r="M1234">
        <v>51.2</v>
      </c>
      <c r="N1234">
        <v>2.2999999999999998</v>
      </c>
      <c r="O1234">
        <v>149</v>
      </c>
      <c r="P1234" t="s">
        <v>33</v>
      </c>
    </row>
    <row r="1235" spans="1:16" x14ac:dyDescent="0.25">
      <c r="A1235" t="s">
        <v>1301</v>
      </c>
      <c r="B1235" s="2">
        <v>45724</v>
      </c>
      <c r="C1235" t="s">
        <v>38</v>
      </c>
      <c r="D1235" t="s">
        <v>39</v>
      </c>
      <c r="E1235" t="s">
        <v>19</v>
      </c>
      <c r="F1235">
        <v>44.1</v>
      </c>
      <c r="G1235">
        <v>60.8</v>
      </c>
      <c r="H1235">
        <v>14.4</v>
      </c>
      <c r="I1235">
        <v>6.4</v>
      </c>
      <c r="J1235">
        <v>0.22</v>
      </c>
      <c r="K1235">
        <v>15.6</v>
      </c>
      <c r="L1235">
        <v>31.5</v>
      </c>
      <c r="M1235">
        <v>65.3</v>
      </c>
      <c r="N1235">
        <v>2.5</v>
      </c>
      <c r="O1235">
        <v>139</v>
      </c>
      <c r="P1235" t="s">
        <v>33</v>
      </c>
    </row>
    <row r="1236" spans="1:16" x14ac:dyDescent="0.25">
      <c r="A1236" t="s">
        <v>1302</v>
      </c>
      <c r="B1236" s="2">
        <v>45958</v>
      </c>
      <c r="C1236" t="s">
        <v>52</v>
      </c>
      <c r="D1236" t="s">
        <v>31</v>
      </c>
      <c r="E1236" t="s">
        <v>45</v>
      </c>
      <c r="F1236">
        <v>66.3</v>
      </c>
      <c r="G1236">
        <v>29.1</v>
      </c>
      <c r="H1236">
        <v>19.5</v>
      </c>
      <c r="I1236">
        <v>17.600000000000001</v>
      </c>
      <c r="J1236">
        <v>0.44</v>
      </c>
      <c r="K1236">
        <v>85.9</v>
      </c>
      <c r="L1236">
        <v>22.3</v>
      </c>
      <c r="M1236">
        <v>59.3</v>
      </c>
      <c r="N1236">
        <v>1.7</v>
      </c>
      <c r="O1236">
        <v>203</v>
      </c>
      <c r="P1236" t="s">
        <v>28</v>
      </c>
    </row>
    <row r="1237" spans="1:16" x14ac:dyDescent="0.25">
      <c r="A1237" t="s">
        <v>1303</v>
      </c>
      <c r="B1237" s="2">
        <v>45700</v>
      </c>
      <c r="C1237" t="s">
        <v>50</v>
      </c>
      <c r="D1237" t="s">
        <v>31</v>
      </c>
      <c r="E1237" t="s">
        <v>43</v>
      </c>
      <c r="F1237">
        <v>28.6</v>
      </c>
      <c r="G1237">
        <v>23.6</v>
      </c>
      <c r="H1237">
        <v>26.5</v>
      </c>
      <c r="I1237">
        <v>15.6</v>
      </c>
      <c r="J1237">
        <v>0.64</v>
      </c>
      <c r="K1237">
        <v>58.2</v>
      </c>
      <c r="L1237">
        <v>29.3</v>
      </c>
      <c r="M1237">
        <v>55.2</v>
      </c>
      <c r="N1237">
        <v>2.1</v>
      </c>
      <c r="O1237">
        <v>135</v>
      </c>
      <c r="P1237" t="s">
        <v>33</v>
      </c>
    </row>
    <row r="1238" spans="1:16" x14ac:dyDescent="0.25">
      <c r="A1238" t="s">
        <v>1304</v>
      </c>
      <c r="B1238" s="2">
        <v>45718</v>
      </c>
      <c r="C1238" t="s">
        <v>35</v>
      </c>
      <c r="D1238" t="s">
        <v>36</v>
      </c>
      <c r="E1238" t="s">
        <v>24</v>
      </c>
      <c r="F1238">
        <v>169</v>
      </c>
      <c r="G1238">
        <v>80.3</v>
      </c>
      <c r="H1238">
        <v>20.6</v>
      </c>
      <c r="I1238">
        <v>4.5999999999999996</v>
      </c>
      <c r="J1238">
        <v>0.67</v>
      </c>
      <c r="K1238">
        <v>86</v>
      </c>
      <c r="L1238">
        <v>28.3</v>
      </c>
      <c r="M1238">
        <v>61.9</v>
      </c>
      <c r="N1238">
        <v>0.6</v>
      </c>
      <c r="O1238">
        <v>398</v>
      </c>
      <c r="P1238" t="s">
        <v>20</v>
      </c>
    </row>
    <row r="1239" spans="1:16" x14ac:dyDescent="0.25">
      <c r="A1239" t="s">
        <v>1305</v>
      </c>
      <c r="B1239" s="2">
        <v>45987</v>
      </c>
      <c r="C1239" t="s">
        <v>64</v>
      </c>
      <c r="D1239" t="s">
        <v>36</v>
      </c>
      <c r="E1239" t="s">
        <v>43</v>
      </c>
      <c r="F1239">
        <v>79.2</v>
      </c>
      <c r="G1239">
        <v>24.7</v>
      </c>
      <c r="H1239">
        <v>25.1</v>
      </c>
      <c r="I1239">
        <v>8.1999999999999993</v>
      </c>
      <c r="J1239">
        <v>0.3</v>
      </c>
      <c r="K1239">
        <v>11.2</v>
      </c>
      <c r="L1239">
        <v>27.7</v>
      </c>
      <c r="M1239">
        <v>56.1</v>
      </c>
      <c r="N1239">
        <v>0.6</v>
      </c>
      <c r="O1239">
        <v>181</v>
      </c>
      <c r="P1239" t="s">
        <v>33</v>
      </c>
    </row>
    <row r="1240" spans="1:16" x14ac:dyDescent="0.25">
      <c r="A1240" t="s">
        <v>1306</v>
      </c>
      <c r="B1240" s="2">
        <v>45687</v>
      </c>
      <c r="C1240" t="s">
        <v>52</v>
      </c>
      <c r="D1240" t="s">
        <v>31</v>
      </c>
      <c r="E1240" t="s">
        <v>55</v>
      </c>
      <c r="F1240">
        <v>51.5</v>
      </c>
      <c r="G1240">
        <v>114</v>
      </c>
      <c r="H1240">
        <v>42.4</v>
      </c>
      <c r="I1240">
        <v>27.2</v>
      </c>
      <c r="J1240">
        <v>0.75</v>
      </c>
      <c r="K1240">
        <v>38.700000000000003</v>
      </c>
      <c r="L1240">
        <v>17.3</v>
      </c>
      <c r="M1240">
        <v>66.3</v>
      </c>
      <c r="N1240">
        <v>3</v>
      </c>
      <c r="O1240">
        <v>246</v>
      </c>
      <c r="P1240" t="s">
        <v>28</v>
      </c>
    </row>
    <row r="1241" spans="1:16" x14ac:dyDescent="0.25">
      <c r="A1241" t="s">
        <v>1307</v>
      </c>
      <c r="B1241" s="2">
        <v>45773</v>
      </c>
      <c r="C1241" t="s">
        <v>26</v>
      </c>
      <c r="D1241" t="s">
        <v>23</v>
      </c>
      <c r="E1241" t="s">
        <v>70</v>
      </c>
      <c r="F1241">
        <v>76.8</v>
      </c>
      <c r="G1241">
        <v>67.400000000000006</v>
      </c>
      <c r="H1241">
        <v>25.3</v>
      </c>
      <c r="I1241">
        <v>22</v>
      </c>
      <c r="J1241">
        <v>0.8</v>
      </c>
      <c r="K1241">
        <v>3</v>
      </c>
      <c r="L1241">
        <v>28.6</v>
      </c>
      <c r="M1241">
        <v>64.8</v>
      </c>
      <c r="N1241">
        <v>1.4</v>
      </c>
      <c r="O1241">
        <v>224</v>
      </c>
      <c r="P1241" t="s">
        <v>28</v>
      </c>
    </row>
    <row r="1242" spans="1:16" x14ac:dyDescent="0.25">
      <c r="A1242" t="s">
        <v>1308</v>
      </c>
      <c r="B1242" s="2">
        <v>45977</v>
      </c>
      <c r="C1242" t="s">
        <v>93</v>
      </c>
      <c r="D1242" t="s">
        <v>36</v>
      </c>
      <c r="E1242" t="s">
        <v>58</v>
      </c>
      <c r="F1242">
        <v>23.9</v>
      </c>
      <c r="G1242">
        <v>60.1</v>
      </c>
      <c r="H1242">
        <v>19.399999999999999</v>
      </c>
      <c r="I1242">
        <v>11.5</v>
      </c>
      <c r="J1242">
        <v>0.35</v>
      </c>
      <c r="K1242">
        <v>31</v>
      </c>
      <c r="L1242">
        <v>38.4</v>
      </c>
      <c r="M1242">
        <v>80.8</v>
      </c>
      <c r="N1242">
        <v>2.9</v>
      </c>
      <c r="O1242">
        <v>124</v>
      </c>
      <c r="P1242" t="s">
        <v>33</v>
      </c>
    </row>
    <row r="1243" spans="1:16" x14ac:dyDescent="0.25">
      <c r="A1243" t="s">
        <v>1309</v>
      </c>
      <c r="B1243" s="2">
        <v>46008</v>
      </c>
      <c r="C1243" t="s">
        <v>52</v>
      </c>
      <c r="D1243" t="s">
        <v>31</v>
      </c>
      <c r="E1243" t="s">
        <v>74</v>
      </c>
      <c r="F1243">
        <v>52.5</v>
      </c>
      <c r="G1243">
        <v>125</v>
      </c>
      <c r="H1243">
        <v>25.1</v>
      </c>
      <c r="I1243">
        <v>20.2</v>
      </c>
      <c r="J1243">
        <v>0.7</v>
      </c>
      <c r="K1243">
        <v>11.1</v>
      </c>
      <c r="L1243">
        <v>28.4</v>
      </c>
      <c r="M1243">
        <v>60.4</v>
      </c>
      <c r="N1243">
        <v>2.5</v>
      </c>
      <c r="O1243">
        <v>222</v>
      </c>
      <c r="P1243" t="s">
        <v>28</v>
      </c>
    </row>
    <row r="1244" spans="1:16" x14ac:dyDescent="0.25">
      <c r="A1244" t="s">
        <v>1310</v>
      </c>
      <c r="B1244" s="2">
        <v>45704</v>
      </c>
      <c r="C1244" t="s">
        <v>30</v>
      </c>
      <c r="D1244" t="s">
        <v>31</v>
      </c>
      <c r="E1244" t="s">
        <v>24</v>
      </c>
      <c r="F1244">
        <v>22.7</v>
      </c>
      <c r="G1244">
        <v>103.5</v>
      </c>
      <c r="H1244">
        <v>56.6</v>
      </c>
      <c r="I1244">
        <v>11.6</v>
      </c>
      <c r="J1244">
        <v>2.54</v>
      </c>
      <c r="K1244">
        <v>58</v>
      </c>
      <c r="L1244">
        <v>19.7</v>
      </c>
      <c r="M1244">
        <v>57.5</v>
      </c>
      <c r="N1244">
        <v>1.6</v>
      </c>
      <c r="O1244">
        <v>247</v>
      </c>
      <c r="P1244" t="s">
        <v>28</v>
      </c>
    </row>
    <row r="1245" spans="1:16" x14ac:dyDescent="0.25">
      <c r="A1245" t="s">
        <v>1311</v>
      </c>
      <c r="B1245" s="2">
        <v>45934</v>
      </c>
      <c r="C1245" t="s">
        <v>50</v>
      </c>
      <c r="D1245" t="s">
        <v>31</v>
      </c>
      <c r="E1245" t="s">
        <v>43</v>
      </c>
      <c r="F1245">
        <v>21.2</v>
      </c>
      <c r="G1245">
        <v>39.200000000000003</v>
      </c>
      <c r="H1245">
        <v>29.2</v>
      </c>
      <c r="I1245">
        <v>4.0999999999999996</v>
      </c>
      <c r="J1245">
        <v>0.55000000000000004</v>
      </c>
      <c r="K1245">
        <v>44.6</v>
      </c>
      <c r="L1245">
        <v>38.700000000000003</v>
      </c>
      <c r="M1245">
        <v>60.9</v>
      </c>
      <c r="N1245">
        <v>1.8</v>
      </c>
      <c r="O1245">
        <v>119</v>
      </c>
      <c r="P1245" t="s">
        <v>33</v>
      </c>
    </row>
    <row r="1246" spans="1:16" x14ac:dyDescent="0.25">
      <c r="A1246" t="s">
        <v>1312</v>
      </c>
      <c r="B1246" s="2">
        <v>46001</v>
      </c>
      <c r="C1246" t="s">
        <v>50</v>
      </c>
      <c r="D1246" t="s">
        <v>31</v>
      </c>
      <c r="E1246" t="s">
        <v>74</v>
      </c>
      <c r="F1246">
        <v>28.6</v>
      </c>
      <c r="G1246">
        <v>72.5</v>
      </c>
      <c r="H1246">
        <v>72.5</v>
      </c>
      <c r="I1246">
        <v>13.7</v>
      </c>
      <c r="J1246">
        <v>1.33</v>
      </c>
      <c r="K1246">
        <v>26</v>
      </c>
      <c r="L1246">
        <v>28.1</v>
      </c>
      <c r="M1246">
        <v>38.9</v>
      </c>
      <c r="N1246">
        <v>0.6</v>
      </c>
      <c r="O1246">
        <v>205</v>
      </c>
      <c r="P1246" t="s">
        <v>28</v>
      </c>
    </row>
    <row r="1247" spans="1:16" x14ac:dyDescent="0.25">
      <c r="A1247" t="s">
        <v>1313</v>
      </c>
      <c r="B1247" s="2">
        <v>45740</v>
      </c>
      <c r="C1247" t="s">
        <v>17</v>
      </c>
      <c r="D1247" t="s">
        <v>18</v>
      </c>
      <c r="E1247" t="s">
        <v>1314</v>
      </c>
      <c r="F1247">
        <v>10.7</v>
      </c>
      <c r="G1247">
        <v>34.200000000000003</v>
      </c>
      <c r="H1247">
        <v>25.6</v>
      </c>
      <c r="I1247">
        <v>36.6</v>
      </c>
      <c r="J1247">
        <v>1.02</v>
      </c>
      <c r="K1247">
        <v>7</v>
      </c>
      <c r="L1247">
        <v>30.6</v>
      </c>
      <c r="M1247">
        <v>49.8</v>
      </c>
      <c r="N1247">
        <v>3.2</v>
      </c>
      <c r="O1247">
        <v>114</v>
      </c>
      <c r="P1247" t="s">
        <v>33</v>
      </c>
    </row>
    <row r="1248" spans="1:16" x14ac:dyDescent="0.25">
      <c r="A1248" t="s">
        <v>1315</v>
      </c>
      <c r="B1248" s="2">
        <v>45847</v>
      </c>
      <c r="C1248" t="s">
        <v>35</v>
      </c>
      <c r="D1248" t="s">
        <v>36</v>
      </c>
      <c r="E1248" t="s">
        <v>91</v>
      </c>
      <c r="F1248">
        <v>38.1</v>
      </c>
      <c r="G1248">
        <v>108.8</v>
      </c>
      <c r="H1248">
        <v>18.899999999999999</v>
      </c>
      <c r="I1248">
        <v>11.9</v>
      </c>
      <c r="J1248">
        <v>0.55000000000000004</v>
      </c>
      <c r="K1248">
        <v>45.7</v>
      </c>
      <c r="L1248">
        <v>27.4</v>
      </c>
      <c r="M1248">
        <v>98</v>
      </c>
      <c r="N1248">
        <v>2.4</v>
      </c>
      <c r="O1248">
        <v>189</v>
      </c>
      <c r="P1248" t="s">
        <v>33</v>
      </c>
    </row>
    <row r="1249" spans="1:16" x14ac:dyDescent="0.25">
      <c r="A1249" t="s">
        <v>1316</v>
      </c>
      <c r="B1249" s="2">
        <v>45886</v>
      </c>
      <c r="C1249" t="s">
        <v>38</v>
      </c>
      <c r="D1249" t="s">
        <v>39</v>
      </c>
      <c r="E1249" t="s">
        <v>45</v>
      </c>
      <c r="F1249">
        <v>123.7</v>
      </c>
      <c r="G1249">
        <v>143.80000000000001</v>
      </c>
      <c r="H1249">
        <v>4.4000000000000004</v>
      </c>
      <c r="I1249">
        <v>15.3</v>
      </c>
      <c r="J1249">
        <v>1.1200000000000001</v>
      </c>
      <c r="K1249">
        <v>31.4</v>
      </c>
      <c r="L1249">
        <v>11.7</v>
      </c>
      <c r="M1249">
        <v>56.7</v>
      </c>
      <c r="N1249">
        <v>2.1</v>
      </c>
      <c r="O1249">
        <v>348</v>
      </c>
      <c r="P1249" t="s">
        <v>20</v>
      </c>
    </row>
    <row r="1250" spans="1:16" x14ac:dyDescent="0.25">
      <c r="A1250" t="s">
        <v>1317</v>
      </c>
      <c r="B1250" s="2">
        <v>45785</v>
      </c>
      <c r="C1250" t="s">
        <v>77</v>
      </c>
      <c r="D1250" t="s">
        <v>39</v>
      </c>
      <c r="E1250" t="s">
        <v>91</v>
      </c>
      <c r="F1250">
        <v>52.1</v>
      </c>
      <c r="G1250">
        <v>70.099999999999994</v>
      </c>
      <c r="H1250">
        <v>40.299999999999997</v>
      </c>
      <c r="I1250">
        <v>7.5</v>
      </c>
      <c r="J1250">
        <v>0.89</v>
      </c>
      <c r="K1250">
        <v>58.9</v>
      </c>
      <c r="L1250">
        <v>28.1</v>
      </c>
      <c r="M1250">
        <v>81.7</v>
      </c>
      <c r="N1250">
        <v>1.2</v>
      </c>
      <c r="O1250">
        <v>215</v>
      </c>
      <c r="P1250" t="s">
        <v>28</v>
      </c>
    </row>
    <row r="1251" spans="1:16" x14ac:dyDescent="0.25">
      <c r="A1251" t="s">
        <v>1318</v>
      </c>
      <c r="B1251" s="2">
        <v>45782</v>
      </c>
      <c r="C1251" t="s">
        <v>52</v>
      </c>
      <c r="D1251" t="s">
        <v>31</v>
      </c>
      <c r="E1251" t="s">
        <v>40</v>
      </c>
      <c r="F1251">
        <v>70.099999999999994</v>
      </c>
      <c r="G1251">
        <v>69.2</v>
      </c>
      <c r="H1251">
        <v>4.5</v>
      </c>
      <c r="I1251">
        <v>19.399999999999999</v>
      </c>
      <c r="J1251">
        <v>0.18</v>
      </c>
      <c r="K1251">
        <v>53.8</v>
      </c>
      <c r="L1251">
        <v>29.7</v>
      </c>
      <c r="M1251">
        <v>60.5</v>
      </c>
      <c r="N1251">
        <v>2.2999999999999998</v>
      </c>
      <c r="O1251">
        <v>203</v>
      </c>
      <c r="P1251" t="s">
        <v>28</v>
      </c>
    </row>
    <row r="1252" spans="1:16" x14ac:dyDescent="0.25">
      <c r="A1252" t="s">
        <v>1319</v>
      </c>
      <c r="B1252" s="2">
        <v>45792</v>
      </c>
      <c r="C1252" t="s">
        <v>99</v>
      </c>
      <c r="D1252" t="s">
        <v>36</v>
      </c>
      <c r="E1252" t="s">
        <v>55</v>
      </c>
      <c r="F1252">
        <v>32.799999999999997</v>
      </c>
      <c r="G1252">
        <v>114.8</v>
      </c>
      <c r="H1252">
        <v>21.5</v>
      </c>
      <c r="I1252">
        <v>7.5</v>
      </c>
      <c r="J1252">
        <v>0.86</v>
      </c>
      <c r="K1252">
        <v>11.2</v>
      </c>
      <c r="L1252">
        <v>38.4</v>
      </c>
      <c r="M1252">
        <v>74.8</v>
      </c>
      <c r="N1252">
        <v>3.2</v>
      </c>
      <c r="O1252">
        <v>176</v>
      </c>
      <c r="P1252" t="s">
        <v>33</v>
      </c>
    </row>
    <row r="1253" spans="1:16" x14ac:dyDescent="0.25">
      <c r="A1253" t="s">
        <v>1320</v>
      </c>
      <c r="B1253" s="2">
        <v>45957</v>
      </c>
      <c r="C1253" t="s">
        <v>52</v>
      </c>
      <c r="D1253" t="s">
        <v>31</v>
      </c>
      <c r="E1253" t="s">
        <v>91</v>
      </c>
      <c r="F1253">
        <v>131.69999999999999</v>
      </c>
      <c r="G1253">
        <v>67.8</v>
      </c>
      <c r="H1253">
        <v>3.8</v>
      </c>
      <c r="I1253">
        <v>7.4</v>
      </c>
      <c r="J1253">
        <v>0.25</v>
      </c>
      <c r="K1253">
        <v>83.8</v>
      </c>
      <c r="L1253">
        <v>34.200000000000003</v>
      </c>
      <c r="M1253">
        <v>60.7</v>
      </c>
      <c r="N1253">
        <v>2.8</v>
      </c>
      <c r="O1253">
        <v>307</v>
      </c>
      <c r="P1253" t="s">
        <v>20</v>
      </c>
    </row>
    <row r="1254" spans="1:16" x14ac:dyDescent="0.25">
      <c r="A1254" t="s">
        <v>1321</v>
      </c>
      <c r="B1254" s="2">
        <v>45667</v>
      </c>
      <c r="C1254" t="s">
        <v>22</v>
      </c>
      <c r="D1254" t="s">
        <v>23</v>
      </c>
      <c r="E1254" t="s">
        <v>40</v>
      </c>
      <c r="F1254">
        <v>57.9</v>
      </c>
      <c r="G1254">
        <v>26.2</v>
      </c>
      <c r="H1254">
        <v>50.2</v>
      </c>
      <c r="I1254">
        <v>2.9</v>
      </c>
      <c r="J1254">
        <v>0.68</v>
      </c>
      <c r="K1254">
        <v>31.3</v>
      </c>
      <c r="L1254">
        <v>32.9</v>
      </c>
      <c r="M1254">
        <v>85.2</v>
      </c>
      <c r="N1254">
        <v>3.3</v>
      </c>
      <c r="O1254">
        <v>183</v>
      </c>
      <c r="P1254" t="s">
        <v>33</v>
      </c>
    </row>
    <row r="1255" spans="1:16" x14ac:dyDescent="0.25">
      <c r="A1255" t="s">
        <v>1322</v>
      </c>
      <c r="B1255" s="2">
        <v>45892</v>
      </c>
      <c r="C1255" t="s">
        <v>64</v>
      </c>
      <c r="D1255" t="s">
        <v>36</v>
      </c>
      <c r="E1255" t="s">
        <v>19</v>
      </c>
      <c r="F1255">
        <v>28.6</v>
      </c>
      <c r="G1255">
        <v>72.7</v>
      </c>
      <c r="H1255">
        <v>47.5</v>
      </c>
      <c r="I1255">
        <v>31.1</v>
      </c>
      <c r="J1255">
        <v>1</v>
      </c>
      <c r="K1255">
        <v>39.700000000000003</v>
      </c>
      <c r="L1255">
        <v>22.3</v>
      </c>
      <c r="M1255">
        <v>68.900000000000006</v>
      </c>
      <c r="N1255">
        <v>2.8</v>
      </c>
      <c r="O1255">
        <v>196</v>
      </c>
      <c r="P1255" t="s">
        <v>33</v>
      </c>
    </row>
    <row r="1256" spans="1:16" x14ac:dyDescent="0.25">
      <c r="A1256" t="s">
        <v>1323</v>
      </c>
      <c r="B1256" s="2">
        <v>45850</v>
      </c>
      <c r="C1256" t="s">
        <v>30</v>
      </c>
      <c r="D1256" t="s">
        <v>31</v>
      </c>
      <c r="E1256" t="s">
        <v>45</v>
      </c>
      <c r="F1256">
        <v>99.7</v>
      </c>
      <c r="G1256">
        <v>23.8</v>
      </c>
      <c r="H1256">
        <v>24.4</v>
      </c>
      <c r="I1256">
        <v>7.1</v>
      </c>
      <c r="J1256">
        <v>0.49</v>
      </c>
      <c r="K1256">
        <v>18.399999999999999</v>
      </c>
      <c r="L1256">
        <v>26.9</v>
      </c>
      <c r="M1256">
        <v>59.1</v>
      </c>
      <c r="N1256">
        <v>2.2999999999999998</v>
      </c>
      <c r="O1256">
        <v>220</v>
      </c>
      <c r="P1256" t="s">
        <v>28</v>
      </c>
    </row>
    <row r="1257" spans="1:16" x14ac:dyDescent="0.25">
      <c r="A1257" t="s">
        <v>1324</v>
      </c>
      <c r="B1257" s="2">
        <v>45924</v>
      </c>
      <c r="C1257" t="s">
        <v>50</v>
      </c>
      <c r="D1257" t="s">
        <v>31</v>
      </c>
      <c r="E1257" t="s">
        <v>27</v>
      </c>
      <c r="F1257">
        <v>53.1</v>
      </c>
      <c r="G1257">
        <v>190.6</v>
      </c>
      <c r="H1257">
        <v>37.6</v>
      </c>
      <c r="I1257">
        <v>17.3</v>
      </c>
      <c r="J1257">
        <v>0.38</v>
      </c>
      <c r="K1257">
        <v>26.1</v>
      </c>
      <c r="L1257">
        <v>22.8</v>
      </c>
      <c r="M1257">
        <v>49.5</v>
      </c>
      <c r="N1257">
        <v>2</v>
      </c>
      <c r="O1257">
        <v>272</v>
      </c>
      <c r="P1257" t="s">
        <v>28</v>
      </c>
    </row>
    <row r="1258" spans="1:16" x14ac:dyDescent="0.25">
      <c r="A1258" t="s">
        <v>1325</v>
      </c>
      <c r="B1258" s="2">
        <v>45923</v>
      </c>
      <c r="C1258" t="s">
        <v>42</v>
      </c>
      <c r="D1258" t="s">
        <v>23</v>
      </c>
      <c r="E1258" t="s">
        <v>91</v>
      </c>
      <c r="F1258">
        <v>40.5</v>
      </c>
      <c r="G1258">
        <v>33.799999999999997</v>
      </c>
      <c r="H1258">
        <v>17.8</v>
      </c>
      <c r="I1258">
        <v>34.299999999999997</v>
      </c>
      <c r="J1258">
        <v>1.47</v>
      </c>
      <c r="K1258">
        <v>30.9</v>
      </c>
      <c r="L1258">
        <v>23.5</v>
      </c>
      <c r="M1258">
        <v>52.1</v>
      </c>
      <c r="N1258">
        <v>0.7</v>
      </c>
      <c r="O1258">
        <v>176</v>
      </c>
      <c r="P1258" t="s">
        <v>33</v>
      </c>
    </row>
    <row r="1259" spans="1:16" x14ac:dyDescent="0.25">
      <c r="A1259" t="s">
        <v>1326</v>
      </c>
      <c r="B1259" s="2">
        <v>45762</v>
      </c>
      <c r="C1259" t="s">
        <v>67</v>
      </c>
      <c r="D1259" t="s">
        <v>18</v>
      </c>
      <c r="E1259" t="s">
        <v>68</v>
      </c>
      <c r="F1259">
        <v>27.9</v>
      </c>
      <c r="G1259">
        <v>35.4</v>
      </c>
      <c r="H1259">
        <v>9.3000000000000007</v>
      </c>
      <c r="I1259">
        <v>7.3</v>
      </c>
      <c r="J1259">
        <v>0.48</v>
      </c>
      <c r="K1259">
        <v>41.4</v>
      </c>
      <c r="L1259">
        <v>31.6</v>
      </c>
      <c r="M1259">
        <v>29.6</v>
      </c>
      <c r="N1259">
        <v>1.3</v>
      </c>
      <c r="O1259">
        <v>111</v>
      </c>
      <c r="P1259" t="s">
        <v>33</v>
      </c>
    </row>
    <row r="1260" spans="1:16" x14ac:dyDescent="0.25">
      <c r="A1260" t="s">
        <v>1327</v>
      </c>
      <c r="B1260" s="2">
        <v>45822</v>
      </c>
      <c r="C1260" t="s">
        <v>50</v>
      </c>
      <c r="D1260" t="s">
        <v>31</v>
      </c>
      <c r="E1260" t="s">
        <v>70</v>
      </c>
      <c r="F1260">
        <v>32.1</v>
      </c>
      <c r="G1260">
        <v>134.4</v>
      </c>
      <c r="H1260">
        <v>6.4</v>
      </c>
      <c r="I1260">
        <v>10.4</v>
      </c>
      <c r="J1260">
        <v>0.86</v>
      </c>
      <c r="K1260">
        <v>56.3</v>
      </c>
      <c r="L1260">
        <v>33.299999999999997</v>
      </c>
      <c r="M1260">
        <v>71.900000000000006</v>
      </c>
      <c r="N1260">
        <v>2.8</v>
      </c>
      <c r="O1260">
        <v>198</v>
      </c>
      <c r="P1260" t="s">
        <v>33</v>
      </c>
    </row>
    <row r="1261" spans="1:16" x14ac:dyDescent="0.25">
      <c r="A1261" t="s">
        <v>1328</v>
      </c>
      <c r="B1261" s="2">
        <v>45666</v>
      </c>
      <c r="C1261" t="s">
        <v>35</v>
      </c>
      <c r="D1261" t="s">
        <v>36</v>
      </c>
      <c r="E1261" t="s">
        <v>58</v>
      </c>
      <c r="F1261">
        <v>31.6</v>
      </c>
      <c r="G1261">
        <v>50.7</v>
      </c>
      <c r="H1261">
        <v>22.2</v>
      </c>
      <c r="I1261">
        <v>30</v>
      </c>
      <c r="J1261">
        <v>1.72</v>
      </c>
      <c r="K1261">
        <v>30.1</v>
      </c>
      <c r="L1261">
        <v>27.1</v>
      </c>
      <c r="M1261">
        <v>60</v>
      </c>
      <c r="N1261">
        <v>3</v>
      </c>
      <c r="O1261">
        <v>179</v>
      </c>
      <c r="P1261" t="s">
        <v>33</v>
      </c>
    </row>
    <row r="1262" spans="1:16" x14ac:dyDescent="0.25">
      <c r="A1262" t="s">
        <v>1329</v>
      </c>
      <c r="B1262" s="2">
        <v>45831</v>
      </c>
      <c r="C1262" t="s">
        <v>30</v>
      </c>
      <c r="D1262" t="s">
        <v>31</v>
      </c>
      <c r="E1262" t="s">
        <v>27</v>
      </c>
      <c r="F1262">
        <v>89.6</v>
      </c>
      <c r="G1262">
        <v>29.9</v>
      </c>
      <c r="H1262">
        <v>20.399999999999999</v>
      </c>
      <c r="I1262">
        <v>1.9</v>
      </c>
      <c r="J1262">
        <v>1.1499999999999999</v>
      </c>
      <c r="K1262">
        <v>35.6</v>
      </c>
      <c r="L1262">
        <v>19.5</v>
      </c>
      <c r="M1262">
        <v>40.299999999999997</v>
      </c>
      <c r="N1262">
        <v>1.7</v>
      </c>
      <c r="O1262">
        <v>225</v>
      </c>
      <c r="P1262" t="s">
        <v>28</v>
      </c>
    </row>
    <row r="1263" spans="1:16" x14ac:dyDescent="0.25">
      <c r="A1263" t="s">
        <v>1330</v>
      </c>
      <c r="B1263" s="2">
        <v>45808</v>
      </c>
      <c r="C1263" t="s">
        <v>64</v>
      </c>
      <c r="D1263" t="s">
        <v>36</v>
      </c>
      <c r="E1263" t="s">
        <v>70</v>
      </c>
      <c r="F1263">
        <v>25.6</v>
      </c>
      <c r="G1263">
        <v>108.9</v>
      </c>
      <c r="H1263">
        <v>25.1</v>
      </c>
      <c r="I1263">
        <v>8.5</v>
      </c>
      <c r="J1263">
        <v>0.49</v>
      </c>
      <c r="K1263">
        <v>62.4</v>
      </c>
      <c r="L1263">
        <v>29</v>
      </c>
      <c r="M1263">
        <v>64.900000000000006</v>
      </c>
      <c r="N1263">
        <v>1.9</v>
      </c>
      <c r="O1263">
        <v>178</v>
      </c>
      <c r="P1263" t="s">
        <v>33</v>
      </c>
    </row>
    <row r="1264" spans="1:16" x14ac:dyDescent="0.25">
      <c r="A1264" t="s">
        <v>1331</v>
      </c>
      <c r="B1264" s="2">
        <v>45954</v>
      </c>
      <c r="C1264" t="s">
        <v>42</v>
      </c>
      <c r="D1264" t="s">
        <v>23</v>
      </c>
      <c r="E1264" t="s">
        <v>91</v>
      </c>
      <c r="F1264">
        <v>32.799999999999997</v>
      </c>
      <c r="G1264">
        <v>126.9</v>
      </c>
      <c r="H1264">
        <v>11.2</v>
      </c>
      <c r="I1264">
        <v>8.5</v>
      </c>
      <c r="J1264">
        <v>0.67</v>
      </c>
      <c r="K1264">
        <v>35.700000000000003</v>
      </c>
      <c r="L1264">
        <v>33.200000000000003</v>
      </c>
      <c r="M1264">
        <v>53.1</v>
      </c>
      <c r="N1264">
        <v>2.6</v>
      </c>
      <c r="O1264">
        <v>183</v>
      </c>
      <c r="P1264" t="s">
        <v>33</v>
      </c>
    </row>
    <row r="1265" spans="1:16" x14ac:dyDescent="0.25">
      <c r="A1265" t="s">
        <v>1332</v>
      </c>
      <c r="B1265" s="2">
        <v>45919</v>
      </c>
      <c r="C1265" t="s">
        <v>1047</v>
      </c>
      <c r="D1265" t="s">
        <v>39</v>
      </c>
      <c r="E1265" t="s">
        <v>70</v>
      </c>
      <c r="F1265">
        <v>71.099999999999994</v>
      </c>
      <c r="G1265">
        <v>129.80000000000001</v>
      </c>
      <c r="H1265">
        <v>9.5</v>
      </c>
      <c r="I1265">
        <v>18.600000000000001</v>
      </c>
      <c r="J1265">
        <v>1.21</v>
      </c>
      <c r="K1265">
        <v>45.1</v>
      </c>
      <c r="L1265">
        <v>28.4</v>
      </c>
      <c r="M1265">
        <v>62.7</v>
      </c>
      <c r="N1265">
        <v>2.4</v>
      </c>
      <c r="O1265">
        <v>269</v>
      </c>
      <c r="P1265" t="s">
        <v>28</v>
      </c>
    </row>
    <row r="1266" spans="1:16" x14ac:dyDescent="0.25">
      <c r="A1266" t="s">
        <v>1333</v>
      </c>
      <c r="B1266" s="2">
        <v>45794</v>
      </c>
      <c r="C1266" t="s">
        <v>54</v>
      </c>
      <c r="D1266" t="s">
        <v>18</v>
      </c>
      <c r="E1266" t="s">
        <v>70</v>
      </c>
      <c r="F1266">
        <v>87</v>
      </c>
      <c r="G1266">
        <v>47.7</v>
      </c>
      <c r="H1266">
        <v>48.1</v>
      </c>
      <c r="I1266">
        <v>7.8</v>
      </c>
      <c r="J1266">
        <v>0.98</v>
      </c>
      <c r="K1266">
        <v>15.8</v>
      </c>
      <c r="L1266">
        <v>26.5</v>
      </c>
      <c r="M1266">
        <v>38.799999999999997</v>
      </c>
      <c r="N1266">
        <v>1.9</v>
      </c>
      <c r="O1266">
        <v>246</v>
      </c>
      <c r="P1266" t="s">
        <v>28</v>
      </c>
    </row>
    <row r="1267" spans="1:16" x14ac:dyDescent="0.25">
      <c r="A1267" t="s">
        <v>1334</v>
      </c>
      <c r="B1267" s="2">
        <v>45991</v>
      </c>
      <c r="C1267" t="s">
        <v>54</v>
      </c>
      <c r="D1267" t="s">
        <v>18</v>
      </c>
      <c r="E1267" t="s">
        <v>61</v>
      </c>
      <c r="F1267">
        <v>49.3</v>
      </c>
      <c r="G1267">
        <v>40.5</v>
      </c>
      <c r="H1267">
        <v>27.8</v>
      </c>
      <c r="I1267">
        <v>12.5</v>
      </c>
      <c r="J1267">
        <v>0.67</v>
      </c>
      <c r="K1267">
        <v>65.400000000000006</v>
      </c>
      <c r="L1267">
        <v>29.9</v>
      </c>
      <c r="M1267">
        <v>49.2</v>
      </c>
      <c r="N1267">
        <v>1.9</v>
      </c>
      <c r="O1267">
        <v>182</v>
      </c>
      <c r="P1267" t="s">
        <v>33</v>
      </c>
    </row>
    <row r="1268" spans="1:16" x14ac:dyDescent="0.25">
      <c r="A1268" t="s">
        <v>1335</v>
      </c>
      <c r="B1268" s="2">
        <v>45841</v>
      </c>
      <c r="C1268" t="s">
        <v>42</v>
      </c>
      <c r="D1268" t="s">
        <v>23</v>
      </c>
      <c r="E1268" t="s">
        <v>27</v>
      </c>
      <c r="F1268">
        <v>148.69999999999999</v>
      </c>
      <c r="G1268">
        <v>25.5</v>
      </c>
      <c r="H1268">
        <v>35.9</v>
      </c>
      <c r="I1268">
        <v>5.8</v>
      </c>
      <c r="J1268">
        <v>0.8</v>
      </c>
      <c r="K1268">
        <v>47.1</v>
      </c>
      <c r="L1268">
        <v>29.5</v>
      </c>
      <c r="M1268">
        <v>67.3</v>
      </c>
      <c r="N1268">
        <v>2.8</v>
      </c>
      <c r="O1268">
        <v>328</v>
      </c>
      <c r="P1268" t="s">
        <v>20</v>
      </c>
    </row>
    <row r="1269" spans="1:16" x14ac:dyDescent="0.25">
      <c r="A1269" t="s">
        <v>1336</v>
      </c>
      <c r="B1269" s="2">
        <v>45770</v>
      </c>
      <c r="C1269" t="s">
        <v>77</v>
      </c>
      <c r="D1269" t="s">
        <v>39</v>
      </c>
      <c r="E1269" t="s">
        <v>40</v>
      </c>
      <c r="F1269">
        <v>9.9</v>
      </c>
      <c r="G1269">
        <v>116.9</v>
      </c>
      <c r="H1269">
        <v>22.2</v>
      </c>
      <c r="I1269">
        <v>19.100000000000001</v>
      </c>
      <c r="J1269">
        <v>0.61</v>
      </c>
      <c r="K1269">
        <v>21.5</v>
      </c>
      <c r="L1269">
        <v>32.299999999999997</v>
      </c>
      <c r="M1269">
        <v>47.4</v>
      </c>
      <c r="N1269">
        <v>2.6</v>
      </c>
      <c r="O1269">
        <v>148</v>
      </c>
      <c r="P1269" t="s">
        <v>33</v>
      </c>
    </row>
    <row r="1270" spans="1:16" x14ac:dyDescent="0.25">
      <c r="A1270" t="s">
        <v>1337</v>
      </c>
      <c r="B1270" s="2">
        <v>45891</v>
      </c>
      <c r="C1270" t="s">
        <v>42</v>
      </c>
      <c r="D1270" t="s">
        <v>23</v>
      </c>
      <c r="E1270" t="s">
        <v>40</v>
      </c>
      <c r="F1270">
        <v>38.5</v>
      </c>
      <c r="G1270">
        <v>27.2</v>
      </c>
      <c r="H1270">
        <v>23.3</v>
      </c>
      <c r="I1270">
        <v>13.5</v>
      </c>
      <c r="J1270">
        <v>0.65</v>
      </c>
      <c r="K1270">
        <v>13.4</v>
      </c>
      <c r="L1270">
        <v>27.6</v>
      </c>
      <c r="M1270">
        <v>55.4</v>
      </c>
      <c r="N1270">
        <v>2.1</v>
      </c>
      <c r="O1270">
        <v>130</v>
      </c>
      <c r="P1270" t="s">
        <v>33</v>
      </c>
    </row>
    <row r="1271" spans="1:16" x14ac:dyDescent="0.25">
      <c r="A1271" t="s">
        <v>1338</v>
      </c>
      <c r="B1271" s="2">
        <v>45825</v>
      </c>
      <c r="C1271" t="s">
        <v>67</v>
      </c>
      <c r="D1271" t="s">
        <v>18</v>
      </c>
      <c r="E1271" t="s">
        <v>91</v>
      </c>
      <c r="F1271">
        <v>48.8</v>
      </c>
      <c r="G1271">
        <v>115.2</v>
      </c>
      <c r="H1271">
        <v>23.2</v>
      </c>
      <c r="I1271">
        <v>4.8</v>
      </c>
      <c r="J1271">
        <v>1.36</v>
      </c>
      <c r="K1271">
        <v>32.299999999999997</v>
      </c>
      <c r="L1271">
        <v>34.299999999999997</v>
      </c>
      <c r="M1271">
        <v>47</v>
      </c>
      <c r="N1271">
        <v>3.3</v>
      </c>
      <c r="O1271">
        <v>223</v>
      </c>
      <c r="P1271" t="s">
        <v>28</v>
      </c>
    </row>
    <row r="1272" spans="1:16" x14ac:dyDescent="0.25">
      <c r="A1272" t="s">
        <v>1339</v>
      </c>
      <c r="B1272" s="2">
        <v>46008</v>
      </c>
      <c r="C1272" t="s">
        <v>99</v>
      </c>
      <c r="D1272" t="s">
        <v>36</v>
      </c>
      <c r="E1272" t="s">
        <v>40</v>
      </c>
      <c r="F1272">
        <v>60</v>
      </c>
      <c r="G1272">
        <v>67.2</v>
      </c>
      <c r="H1272">
        <v>35.799999999999997</v>
      </c>
      <c r="I1272">
        <v>40.9</v>
      </c>
      <c r="J1272">
        <v>0.86</v>
      </c>
      <c r="K1272">
        <v>52.5</v>
      </c>
      <c r="L1272">
        <v>36.799999999999997</v>
      </c>
      <c r="M1272">
        <v>88.3</v>
      </c>
      <c r="N1272">
        <v>0.1</v>
      </c>
      <c r="O1272">
        <v>242</v>
      </c>
      <c r="P1272" t="s">
        <v>28</v>
      </c>
    </row>
    <row r="1273" spans="1:16" x14ac:dyDescent="0.25">
      <c r="A1273" t="s">
        <v>1340</v>
      </c>
      <c r="B1273" s="2">
        <v>45979</v>
      </c>
      <c r="C1273" t="s">
        <v>54</v>
      </c>
      <c r="D1273" t="s">
        <v>18</v>
      </c>
      <c r="E1273" t="s">
        <v>40</v>
      </c>
      <c r="F1273">
        <v>51.5</v>
      </c>
      <c r="G1273">
        <v>46.7</v>
      </c>
      <c r="H1273">
        <v>23.3</v>
      </c>
      <c r="I1273">
        <v>13.4</v>
      </c>
      <c r="J1273">
        <v>0.32</v>
      </c>
      <c r="K1273">
        <v>38.6</v>
      </c>
      <c r="L1273">
        <v>23.8</v>
      </c>
      <c r="M1273">
        <v>63.6</v>
      </c>
      <c r="N1273">
        <v>3.3</v>
      </c>
      <c r="O1273">
        <v>166</v>
      </c>
      <c r="P1273" t="s">
        <v>33</v>
      </c>
    </row>
    <row r="1274" spans="1:16" x14ac:dyDescent="0.25">
      <c r="A1274" t="s">
        <v>1341</v>
      </c>
      <c r="B1274" s="2">
        <v>45661</v>
      </c>
      <c r="C1274" t="s">
        <v>81</v>
      </c>
      <c r="D1274" t="s">
        <v>39</v>
      </c>
      <c r="E1274" t="s">
        <v>24</v>
      </c>
      <c r="F1274">
        <v>34.700000000000003</v>
      </c>
      <c r="G1274">
        <v>156</v>
      </c>
      <c r="H1274">
        <v>43.8</v>
      </c>
      <c r="I1274">
        <v>7.6</v>
      </c>
      <c r="J1274">
        <v>0.51</v>
      </c>
      <c r="K1274">
        <v>19.100000000000001</v>
      </c>
      <c r="L1274">
        <v>28.5</v>
      </c>
      <c r="M1274">
        <v>52.7</v>
      </c>
      <c r="N1274">
        <v>0.7</v>
      </c>
      <c r="O1274">
        <v>219</v>
      </c>
      <c r="P1274" t="s">
        <v>28</v>
      </c>
    </row>
    <row r="1275" spans="1:16" x14ac:dyDescent="0.25">
      <c r="A1275" t="s">
        <v>1342</v>
      </c>
      <c r="B1275" s="2">
        <v>45749</v>
      </c>
      <c r="C1275" t="s">
        <v>52</v>
      </c>
      <c r="D1275" t="s">
        <v>31</v>
      </c>
      <c r="E1275" t="s">
        <v>32</v>
      </c>
      <c r="F1275">
        <v>30</v>
      </c>
      <c r="G1275">
        <v>26.2</v>
      </c>
      <c r="H1275">
        <v>13.3</v>
      </c>
      <c r="I1275">
        <v>8.5</v>
      </c>
      <c r="J1275">
        <v>0.52</v>
      </c>
      <c r="K1275">
        <v>58.8</v>
      </c>
      <c r="L1275">
        <v>26.9</v>
      </c>
      <c r="M1275">
        <v>57.2</v>
      </c>
      <c r="N1275">
        <v>2</v>
      </c>
      <c r="O1275">
        <v>121</v>
      </c>
      <c r="P1275" t="s">
        <v>33</v>
      </c>
    </row>
    <row r="1276" spans="1:16" x14ac:dyDescent="0.25">
      <c r="A1276" t="s">
        <v>1343</v>
      </c>
      <c r="B1276" s="2">
        <v>45805</v>
      </c>
      <c r="C1276" t="s">
        <v>26</v>
      </c>
      <c r="D1276" t="s">
        <v>23</v>
      </c>
      <c r="E1276" t="s">
        <v>70</v>
      </c>
      <c r="F1276">
        <v>56.5</v>
      </c>
      <c r="G1276">
        <v>192</v>
      </c>
      <c r="H1276">
        <v>7.4</v>
      </c>
      <c r="I1276">
        <v>10.7</v>
      </c>
      <c r="J1276">
        <v>0.27</v>
      </c>
      <c r="K1276">
        <v>8.1999999999999993</v>
      </c>
      <c r="L1276">
        <v>34.4</v>
      </c>
      <c r="M1276">
        <v>60.8</v>
      </c>
      <c r="N1276">
        <v>1.7</v>
      </c>
      <c r="O1276">
        <v>239</v>
      </c>
      <c r="P1276" t="s">
        <v>28</v>
      </c>
    </row>
    <row r="1277" spans="1:16" x14ac:dyDescent="0.25">
      <c r="A1277" t="s">
        <v>1344</v>
      </c>
      <c r="B1277" s="2">
        <v>45906</v>
      </c>
      <c r="C1277" t="s">
        <v>52</v>
      </c>
      <c r="D1277" t="s">
        <v>31</v>
      </c>
      <c r="E1277" t="s">
        <v>68</v>
      </c>
      <c r="F1277">
        <v>78.7</v>
      </c>
      <c r="G1277">
        <v>51.6</v>
      </c>
      <c r="H1277">
        <v>18.2</v>
      </c>
      <c r="I1277">
        <v>26.4</v>
      </c>
      <c r="J1277">
        <v>0.28999999999999998</v>
      </c>
      <c r="K1277">
        <v>47</v>
      </c>
      <c r="L1277">
        <v>23.3</v>
      </c>
      <c r="M1277">
        <v>57.6</v>
      </c>
      <c r="N1277">
        <v>1.9</v>
      </c>
      <c r="O1277">
        <v>221</v>
      </c>
      <c r="P1277" t="s">
        <v>28</v>
      </c>
    </row>
    <row r="1278" spans="1:16" x14ac:dyDescent="0.25">
      <c r="A1278" t="s">
        <v>1345</v>
      </c>
      <c r="B1278" s="2">
        <v>45881</v>
      </c>
      <c r="C1278" t="s">
        <v>77</v>
      </c>
      <c r="D1278" t="s">
        <v>39</v>
      </c>
      <c r="E1278" t="s">
        <v>61</v>
      </c>
      <c r="F1278">
        <v>4.3</v>
      </c>
      <c r="G1278">
        <v>85.2</v>
      </c>
      <c r="H1278">
        <v>46.6</v>
      </c>
      <c r="I1278">
        <v>15</v>
      </c>
      <c r="J1278">
        <v>0.66</v>
      </c>
      <c r="K1278">
        <v>70.400000000000006</v>
      </c>
      <c r="L1278">
        <v>25.1</v>
      </c>
      <c r="M1278">
        <v>90.5</v>
      </c>
      <c r="N1278">
        <v>1.1000000000000001</v>
      </c>
      <c r="O1278">
        <v>158</v>
      </c>
      <c r="P1278" t="s">
        <v>33</v>
      </c>
    </row>
    <row r="1279" spans="1:16" x14ac:dyDescent="0.25">
      <c r="A1279" t="s">
        <v>1346</v>
      </c>
      <c r="B1279" s="2">
        <v>45980</v>
      </c>
      <c r="C1279" t="s">
        <v>22</v>
      </c>
      <c r="D1279" t="s">
        <v>23</v>
      </c>
      <c r="E1279" t="s">
        <v>97</v>
      </c>
      <c r="F1279">
        <v>119.2</v>
      </c>
      <c r="G1279">
        <v>142.9</v>
      </c>
      <c r="H1279">
        <v>29.8</v>
      </c>
      <c r="I1279">
        <v>16.8</v>
      </c>
      <c r="J1279">
        <v>1.22</v>
      </c>
      <c r="K1279">
        <v>22.2</v>
      </c>
      <c r="L1279">
        <v>21.1</v>
      </c>
      <c r="M1279">
        <v>27.7</v>
      </c>
      <c r="N1279">
        <v>1.6</v>
      </c>
      <c r="O1279">
        <v>360</v>
      </c>
      <c r="P1279" t="s">
        <v>20</v>
      </c>
    </row>
    <row r="1280" spans="1:16" x14ac:dyDescent="0.25">
      <c r="A1280" t="s">
        <v>1347</v>
      </c>
      <c r="B1280" s="2">
        <v>45715</v>
      </c>
      <c r="C1280" t="s">
        <v>38</v>
      </c>
      <c r="D1280" t="s">
        <v>39</v>
      </c>
      <c r="E1280" t="s">
        <v>27</v>
      </c>
      <c r="F1280">
        <v>67.5</v>
      </c>
      <c r="G1280">
        <v>86.6</v>
      </c>
      <c r="H1280">
        <v>6.2</v>
      </c>
      <c r="I1280">
        <v>11.4</v>
      </c>
      <c r="J1280">
        <v>0.77</v>
      </c>
      <c r="K1280">
        <v>23.1</v>
      </c>
      <c r="L1280">
        <v>27.9</v>
      </c>
      <c r="M1280">
        <v>56.9</v>
      </c>
      <c r="N1280">
        <v>1.4</v>
      </c>
      <c r="O1280">
        <v>207</v>
      </c>
      <c r="P1280" t="s">
        <v>28</v>
      </c>
    </row>
    <row r="1281" spans="1:16" x14ac:dyDescent="0.25">
      <c r="A1281" t="s">
        <v>1348</v>
      </c>
      <c r="B1281" s="2">
        <v>45888</v>
      </c>
      <c r="C1281" t="s">
        <v>35</v>
      </c>
      <c r="D1281" t="s">
        <v>36</v>
      </c>
      <c r="E1281" t="s">
        <v>58</v>
      </c>
      <c r="F1281">
        <v>34.9</v>
      </c>
      <c r="G1281">
        <v>182.3</v>
      </c>
      <c r="H1281">
        <v>34.700000000000003</v>
      </c>
      <c r="I1281">
        <v>5.8</v>
      </c>
      <c r="J1281">
        <v>0.92</v>
      </c>
      <c r="K1281">
        <v>14</v>
      </c>
      <c r="L1281">
        <v>27.9</v>
      </c>
      <c r="M1281">
        <v>60.8</v>
      </c>
      <c r="N1281">
        <v>3</v>
      </c>
      <c r="O1281">
        <v>235</v>
      </c>
      <c r="P1281" t="s">
        <v>28</v>
      </c>
    </row>
    <row r="1282" spans="1:16" x14ac:dyDescent="0.25">
      <c r="A1282" t="s">
        <v>1349</v>
      </c>
      <c r="B1282" s="2">
        <v>45990</v>
      </c>
      <c r="C1282" t="s">
        <v>26</v>
      </c>
      <c r="D1282" t="s">
        <v>23</v>
      </c>
      <c r="E1282" t="s">
        <v>68</v>
      </c>
      <c r="F1282">
        <v>36</v>
      </c>
      <c r="G1282">
        <v>134</v>
      </c>
      <c r="H1282">
        <v>21.7</v>
      </c>
      <c r="I1282">
        <v>31.8</v>
      </c>
      <c r="J1282">
        <v>0.91</v>
      </c>
      <c r="K1282">
        <v>48.3</v>
      </c>
      <c r="L1282">
        <v>29.1</v>
      </c>
      <c r="M1282">
        <v>90.4</v>
      </c>
      <c r="N1282">
        <v>0.8</v>
      </c>
      <c r="O1282">
        <v>229</v>
      </c>
      <c r="P1282" t="s">
        <v>28</v>
      </c>
    </row>
    <row r="1283" spans="1:16" x14ac:dyDescent="0.25">
      <c r="A1283" t="s">
        <v>1350</v>
      </c>
      <c r="B1283" s="2">
        <v>45700</v>
      </c>
      <c r="C1283" t="s">
        <v>50</v>
      </c>
      <c r="D1283" t="s">
        <v>31</v>
      </c>
      <c r="E1283" t="s">
        <v>74</v>
      </c>
      <c r="F1283">
        <v>61</v>
      </c>
      <c r="G1283">
        <v>64.2</v>
      </c>
      <c r="H1283">
        <v>7.6</v>
      </c>
      <c r="I1283">
        <v>7.5</v>
      </c>
      <c r="J1283">
        <v>0.51</v>
      </c>
      <c r="K1283">
        <v>62.3</v>
      </c>
      <c r="L1283">
        <v>27</v>
      </c>
      <c r="M1283">
        <v>74.099999999999994</v>
      </c>
      <c r="N1283">
        <v>2.9</v>
      </c>
      <c r="O1283">
        <v>191</v>
      </c>
      <c r="P1283" t="s">
        <v>33</v>
      </c>
    </row>
    <row r="1284" spans="1:16" x14ac:dyDescent="0.25">
      <c r="A1284" t="s">
        <v>1351</v>
      </c>
      <c r="B1284" s="2">
        <v>45903</v>
      </c>
      <c r="C1284" t="s">
        <v>30</v>
      </c>
      <c r="D1284" t="s">
        <v>31</v>
      </c>
      <c r="E1284" t="s">
        <v>32</v>
      </c>
      <c r="F1284">
        <v>35.5</v>
      </c>
      <c r="G1284">
        <v>148</v>
      </c>
      <c r="H1284">
        <v>36.799999999999997</v>
      </c>
      <c r="I1284">
        <v>15.8</v>
      </c>
      <c r="J1284">
        <v>1.18</v>
      </c>
      <c r="K1284">
        <v>41.1</v>
      </c>
      <c r="L1284">
        <v>25</v>
      </c>
      <c r="M1284">
        <v>78</v>
      </c>
      <c r="N1284">
        <v>1.5</v>
      </c>
      <c r="O1284">
        <v>241</v>
      </c>
      <c r="P1284" t="s">
        <v>28</v>
      </c>
    </row>
    <row r="1285" spans="1:16" x14ac:dyDescent="0.25">
      <c r="A1285" t="s">
        <v>1352</v>
      </c>
      <c r="B1285" s="2">
        <v>45896</v>
      </c>
      <c r="C1285" t="s">
        <v>99</v>
      </c>
      <c r="D1285" t="s">
        <v>36</v>
      </c>
      <c r="E1285" t="s">
        <v>24</v>
      </c>
      <c r="F1285">
        <v>12.6</v>
      </c>
      <c r="G1285">
        <v>104.6</v>
      </c>
      <c r="H1285">
        <v>13.2</v>
      </c>
      <c r="I1285">
        <v>10.3</v>
      </c>
      <c r="J1285">
        <v>0.23</v>
      </c>
      <c r="K1285">
        <v>26.2</v>
      </c>
      <c r="L1285">
        <v>35.200000000000003</v>
      </c>
      <c r="M1285">
        <v>59.1</v>
      </c>
      <c r="N1285">
        <v>2</v>
      </c>
      <c r="O1285">
        <v>123</v>
      </c>
      <c r="P1285" t="s">
        <v>33</v>
      </c>
    </row>
    <row r="1286" spans="1:16" x14ac:dyDescent="0.25">
      <c r="A1286" t="s">
        <v>1353</v>
      </c>
      <c r="B1286" s="2">
        <v>45672</v>
      </c>
      <c r="C1286" t="s">
        <v>64</v>
      </c>
      <c r="D1286" t="s">
        <v>36</v>
      </c>
      <c r="E1286" t="s">
        <v>32</v>
      </c>
      <c r="F1286">
        <v>35.4</v>
      </c>
      <c r="G1286">
        <v>161.6</v>
      </c>
      <c r="H1286">
        <v>34.9</v>
      </c>
      <c r="I1286">
        <v>2.4</v>
      </c>
      <c r="J1286">
        <v>0.47</v>
      </c>
      <c r="K1286">
        <v>40.6</v>
      </c>
      <c r="L1286">
        <v>23.9</v>
      </c>
      <c r="M1286">
        <v>51.4</v>
      </c>
      <c r="N1286">
        <v>3.1</v>
      </c>
      <c r="O1286">
        <v>221</v>
      </c>
      <c r="P1286" t="s">
        <v>28</v>
      </c>
    </row>
    <row r="1287" spans="1:16" x14ac:dyDescent="0.25">
      <c r="A1287" t="s">
        <v>1354</v>
      </c>
      <c r="B1287" s="2">
        <v>45673</v>
      </c>
      <c r="C1287" t="s">
        <v>93</v>
      </c>
      <c r="D1287" t="s">
        <v>36</v>
      </c>
      <c r="E1287" t="s">
        <v>27</v>
      </c>
      <c r="F1287">
        <v>19.600000000000001</v>
      </c>
      <c r="G1287">
        <v>104.2</v>
      </c>
      <c r="H1287">
        <v>24</v>
      </c>
      <c r="I1287">
        <v>20.8</v>
      </c>
      <c r="J1287">
        <v>0.34</v>
      </c>
      <c r="K1287">
        <v>11.2</v>
      </c>
      <c r="L1287">
        <v>23.8</v>
      </c>
      <c r="M1287">
        <v>59.7</v>
      </c>
      <c r="N1287">
        <v>3.8</v>
      </c>
      <c r="O1287">
        <v>146</v>
      </c>
      <c r="P1287" t="s">
        <v>33</v>
      </c>
    </row>
    <row r="1288" spans="1:16" x14ac:dyDescent="0.25">
      <c r="A1288" t="s">
        <v>1355</v>
      </c>
      <c r="B1288" s="2">
        <v>45677</v>
      </c>
      <c r="C1288" t="s">
        <v>50</v>
      </c>
      <c r="D1288" t="s">
        <v>31</v>
      </c>
      <c r="E1288" t="s">
        <v>19</v>
      </c>
      <c r="F1288">
        <v>29.1</v>
      </c>
      <c r="G1288">
        <v>89.2</v>
      </c>
      <c r="H1288">
        <v>14.9</v>
      </c>
      <c r="I1288">
        <v>20.399999999999999</v>
      </c>
      <c r="J1288">
        <v>0.36</v>
      </c>
      <c r="K1288">
        <v>36</v>
      </c>
      <c r="L1288">
        <v>18.600000000000001</v>
      </c>
      <c r="M1288">
        <v>53.6</v>
      </c>
      <c r="N1288">
        <v>1.7</v>
      </c>
      <c r="O1288">
        <v>156</v>
      </c>
      <c r="P1288" t="s">
        <v>33</v>
      </c>
    </row>
    <row r="1289" spans="1:16" x14ac:dyDescent="0.25">
      <c r="A1289" t="s">
        <v>1356</v>
      </c>
      <c r="B1289" s="2">
        <v>45760</v>
      </c>
      <c r="C1289" t="s">
        <v>42</v>
      </c>
      <c r="D1289" t="s">
        <v>23</v>
      </c>
      <c r="E1289" t="s">
        <v>61</v>
      </c>
      <c r="F1289">
        <v>38.700000000000003</v>
      </c>
      <c r="G1289">
        <v>81.099999999999994</v>
      </c>
      <c r="H1289">
        <v>16.3</v>
      </c>
      <c r="I1289">
        <v>15.6</v>
      </c>
      <c r="J1289">
        <v>0.22</v>
      </c>
      <c r="K1289">
        <v>7.4</v>
      </c>
      <c r="L1289">
        <v>28</v>
      </c>
      <c r="M1289">
        <v>81.3</v>
      </c>
      <c r="N1289">
        <v>0.2</v>
      </c>
      <c r="O1289">
        <v>147</v>
      </c>
      <c r="P1289" t="s">
        <v>33</v>
      </c>
    </row>
    <row r="1290" spans="1:16" x14ac:dyDescent="0.25">
      <c r="A1290" t="s">
        <v>1357</v>
      </c>
      <c r="B1290" s="2">
        <v>45908</v>
      </c>
      <c r="C1290" t="s">
        <v>81</v>
      </c>
      <c r="D1290" t="s">
        <v>39</v>
      </c>
      <c r="E1290" t="s">
        <v>43</v>
      </c>
      <c r="F1290">
        <v>22.8</v>
      </c>
      <c r="G1290">
        <v>111.3</v>
      </c>
      <c r="H1290">
        <v>6.1</v>
      </c>
      <c r="I1290">
        <v>4.9000000000000004</v>
      </c>
      <c r="J1290">
        <v>0.1</v>
      </c>
      <c r="K1290">
        <v>16.3</v>
      </c>
      <c r="L1290">
        <v>19.899999999999999</v>
      </c>
      <c r="M1290">
        <v>61.6</v>
      </c>
      <c r="N1290">
        <v>3.1</v>
      </c>
      <c r="O1290">
        <v>127</v>
      </c>
      <c r="P1290" t="s">
        <v>33</v>
      </c>
    </row>
    <row r="1291" spans="1:16" x14ac:dyDescent="0.25">
      <c r="A1291" t="s">
        <v>1358</v>
      </c>
      <c r="B1291" s="2">
        <v>45980</v>
      </c>
      <c r="C1291" t="s">
        <v>93</v>
      </c>
      <c r="D1291" t="s">
        <v>36</v>
      </c>
      <c r="E1291" t="s">
        <v>45</v>
      </c>
      <c r="F1291">
        <v>52.7</v>
      </c>
      <c r="G1291">
        <v>53</v>
      </c>
      <c r="H1291">
        <v>26.7</v>
      </c>
      <c r="I1291">
        <v>21.4</v>
      </c>
      <c r="J1291">
        <v>0.54</v>
      </c>
      <c r="K1291">
        <v>17.899999999999999</v>
      </c>
      <c r="L1291">
        <v>25.8</v>
      </c>
      <c r="M1291">
        <v>57.2</v>
      </c>
      <c r="N1291">
        <v>1.7</v>
      </c>
      <c r="O1291">
        <v>177</v>
      </c>
      <c r="P1291" t="s">
        <v>33</v>
      </c>
    </row>
    <row r="1292" spans="1:16" x14ac:dyDescent="0.25">
      <c r="A1292" t="s">
        <v>1359</v>
      </c>
      <c r="B1292" s="2">
        <v>45907</v>
      </c>
      <c r="C1292" t="s">
        <v>42</v>
      </c>
      <c r="D1292" t="s">
        <v>23</v>
      </c>
      <c r="E1292" t="s">
        <v>70</v>
      </c>
      <c r="F1292">
        <v>78.900000000000006</v>
      </c>
      <c r="G1292">
        <v>175.9</v>
      </c>
      <c r="H1292">
        <v>21.7</v>
      </c>
      <c r="I1292">
        <v>23.1</v>
      </c>
      <c r="J1292">
        <v>2.15</v>
      </c>
      <c r="K1292">
        <v>37.700000000000003</v>
      </c>
      <c r="L1292">
        <v>23</v>
      </c>
      <c r="M1292">
        <v>66</v>
      </c>
      <c r="N1292">
        <v>3.3</v>
      </c>
      <c r="O1292">
        <v>345</v>
      </c>
      <c r="P1292" t="s">
        <v>20</v>
      </c>
    </row>
    <row r="1293" spans="1:16" x14ac:dyDescent="0.25">
      <c r="A1293" t="s">
        <v>1360</v>
      </c>
      <c r="B1293" s="2">
        <v>45918</v>
      </c>
      <c r="C1293" t="s">
        <v>77</v>
      </c>
      <c r="D1293" t="s">
        <v>39</v>
      </c>
      <c r="E1293" t="s">
        <v>91</v>
      </c>
      <c r="F1293">
        <v>62.6</v>
      </c>
      <c r="G1293">
        <v>160.1</v>
      </c>
      <c r="H1293">
        <v>20.9</v>
      </c>
      <c r="I1293">
        <v>25.1</v>
      </c>
      <c r="J1293">
        <v>0.75</v>
      </c>
      <c r="K1293">
        <v>14.6</v>
      </c>
      <c r="L1293">
        <v>23.4</v>
      </c>
      <c r="M1293">
        <v>72.900000000000006</v>
      </c>
      <c r="N1293">
        <v>3.3</v>
      </c>
      <c r="O1293">
        <v>264</v>
      </c>
      <c r="P1293" t="s">
        <v>28</v>
      </c>
    </row>
    <row r="1294" spans="1:16" x14ac:dyDescent="0.25">
      <c r="A1294" t="s">
        <v>1361</v>
      </c>
      <c r="B1294" s="2">
        <v>45803</v>
      </c>
      <c r="C1294" t="s">
        <v>64</v>
      </c>
      <c r="D1294" t="s">
        <v>36</v>
      </c>
      <c r="E1294" t="s">
        <v>58</v>
      </c>
      <c r="F1294">
        <v>22.5</v>
      </c>
      <c r="G1294">
        <v>86.9</v>
      </c>
      <c r="H1294">
        <v>20.7</v>
      </c>
      <c r="I1294">
        <v>12.4</v>
      </c>
      <c r="J1294">
        <v>0.75</v>
      </c>
      <c r="K1294">
        <v>42.4</v>
      </c>
      <c r="L1294">
        <v>35.700000000000003</v>
      </c>
      <c r="M1294">
        <v>70.8</v>
      </c>
      <c r="N1294">
        <v>3</v>
      </c>
      <c r="O1294">
        <v>156</v>
      </c>
      <c r="P1294" t="s">
        <v>33</v>
      </c>
    </row>
    <row r="1295" spans="1:16" x14ac:dyDescent="0.25">
      <c r="A1295" t="s">
        <v>1362</v>
      </c>
      <c r="B1295" s="2">
        <v>45736</v>
      </c>
      <c r="C1295" t="s">
        <v>54</v>
      </c>
      <c r="D1295" t="s">
        <v>18</v>
      </c>
      <c r="E1295" t="s">
        <v>68</v>
      </c>
      <c r="F1295">
        <v>23.7</v>
      </c>
      <c r="G1295">
        <v>88.4</v>
      </c>
      <c r="H1295">
        <v>24.6</v>
      </c>
      <c r="I1295">
        <v>12.7</v>
      </c>
      <c r="J1295">
        <v>1.06</v>
      </c>
      <c r="K1295">
        <v>55.2</v>
      </c>
      <c r="L1295">
        <v>28.6</v>
      </c>
      <c r="M1295">
        <v>47.8</v>
      </c>
      <c r="N1295">
        <v>2.7</v>
      </c>
      <c r="O1295">
        <v>175</v>
      </c>
      <c r="P1295" t="s">
        <v>33</v>
      </c>
    </row>
    <row r="1296" spans="1:16" x14ac:dyDescent="0.25">
      <c r="A1296" t="s">
        <v>1363</v>
      </c>
      <c r="B1296" s="2">
        <v>45861</v>
      </c>
      <c r="C1296" t="s">
        <v>52</v>
      </c>
      <c r="D1296" t="s">
        <v>31</v>
      </c>
      <c r="E1296" t="s">
        <v>45</v>
      </c>
      <c r="F1296">
        <v>129.9</v>
      </c>
      <c r="G1296">
        <v>78.7</v>
      </c>
      <c r="H1296">
        <v>14</v>
      </c>
      <c r="I1296">
        <v>27.2</v>
      </c>
      <c r="J1296">
        <v>0.79</v>
      </c>
      <c r="K1296">
        <v>17.7</v>
      </c>
      <c r="L1296">
        <v>30.6</v>
      </c>
      <c r="M1296">
        <v>37.200000000000003</v>
      </c>
      <c r="N1296">
        <v>1.7</v>
      </c>
      <c r="O1296">
        <v>317</v>
      </c>
      <c r="P1296" t="s">
        <v>20</v>
      </c>
    </row>
    <row r="1297" spans="1:16" x14ac:dyDescent="0.25">
      <c r="A1297" t="s">
        <v>1364</v>
      </c>
      <c r="B1297" s="2">
        <v>45910</v>
      </c>
      <c r="C1297" t="s">
        <v>99</v>
      </c>
      <c r="D1297" t="s">
        <v>36</v>
      </c>
      <c r="E1297" t="s">
        <v>70</v>
      </c>
      <c r="F1297">
        <v>45.9</v>
      </c>
      <c r="G1297">
        <v>151.4</v>
      </c>
      <c r="H1297">
        <v>6.1</v>
      </c>
      <c r="I1297">
        <v>3.8</v>
      </c>
      <c r="J1297">
        <v>0.39</v>
      </c>
      <c r="K1297">
        <v>36.5</v>
      </c>
      <c r="L1297">
        <v>23</v>
      </c>
      <c r="M1297">
        <v>71</v>
      </c>
      <c r="N1297">
        <v>1.8</v>
      </c>
      <c r="O1297">
        <v>206</v>
      </c>
      <c r="P1297" t="s">
        <v>28</v>
      </c>
    </row>
    <row r="1298" spans="1:16" x14ac:dyDescent="0.25">
      <c r="A1298" t="s">
        <v>1365</v>
      </c>
      <c r="B1298" s="2">
        <v>45973</v>
      </c>
      <c r="C1298" t="s">
        <v>67</v>
      </c>
      <c r="D1298" t="s">
        <v>18</v>
      </c>
      <c r="E1298" t="s">
        <v>24</v>
      </c>
      <c r="F1298">
        <v>26.7</v>
      </c>
      <c r="G1298">
        <v>52.6</v>
      </c>
      <c r="H1298">
        <v>25.7</v>
      </c>
      <c r="I1298">
        <v>19.100000000000001</v>
      </c>
      <c r="J1298">
        <v>1.4</v>
      </c>
      <c r="K1298">
        <v>46.3</v>
      </c>
      <c r="L1298">
        <v>25.6</v>
      </c>
      <c r="M1298">
        <v>49.5</v>
      </c>
      <c r="N1298">
        <v>2.5</v>
      </c>
      <c r="O1298">
        <v>167</v>
      </c>
      <c r="P1298" t="s">
        <v>33</v>
      </c>
    </row>
    <row r="1299" spans="1:16" x14ac:dyDescent="0.25">
      <c r="A1299" t="s">
        <v>1366</v>
      </c>
      <c r="B1299" s="2">
        <v>45867</v>
      </c>
      <c r="C1299" t="s">
        <v>50</v>
      </c>
      <c r="D1299" t="s">
        <v>31</v>
      </c>
      <c r="E1299" t="s">
        <v>45</v>
      </c>
      <c r="F1299">
        <v>26.8</v>
      </c>
      <c r="G1299">
        <v>98.3</v>
      </c>
      <c r="H1299">
        <v>39.299999999999997</v>
      </c>
      <c r="I1299">
        <v>19.8</v>
      </c>
      <c r="J1299">
        <v>1.87</v>
      </c>
      <c r="K1299">
        <v>61.2</v>
      </c>
      <c r="L1299">
        <v>25.2</v>
      </c>
      <c r="M1299">
        <v>98</v>
      </c>
      <c r="N1299">
        <v>0.1</v>
      </c>
      <c r="O1299">
        <v>226</v>
      </c>
      <c r="P1299" t="s">
        <v>28</v>
      </c>
    </row>
    <row r="1300" spans="1:16" x14ac:dyDescent="0.25">
      <c r="A1300" t="s">
        <v>1367</v>
      </c>
      <c r="B1300" s="2">
        <v>46013</v>
      </c>
      <c r="C1300" t="s">
        <v>38</v>
      </c>
      <c r="D1300" t="s">
        <v>39</v>
      </c>
      <c r="E1300" t="s">
        <v>32</v>
      </c>
      <c r="F1300">
        <v>90.8</v>
      </c>
      <c r="G1300">
        <v>74.2</v>
      </c>
      <c r="H1300">
        <v>42.7</v>
      </c>
      <c r="I1300">
        <v>10.3</v>
      </c>
      <c r="J1300">
        <v>0.52</v>
      </c>
      <c r="K1300">
        <v>38.200000000000003</v>
      </c>
      <c r="L1300">
        <v>15.5</v>
      </c>
      <c r="M1300">
        <v>69.8</v>
      </c>
      <c r="N1300">
        <v>3.1</v>
      </c>
      <c r="O1300">
        <v>265</v>
      </c>
      <c r="P1300" t="s">
        <v>28</v>
      </c>
    </row>
    <row r="1301" spans="1:16" x14ac:dyDescent="0.25">
      <c r="A1301" t="s">
        <v>1368</v>
      </c>
      <c r="B1301" s="2">
        <v>45953</v>
      </c>
      <c r="C1301" t="s">
        <v>22</v>
      </c>
      <c r="D1301" t="s">
        <v>23</v>
      </c>
      <c r="E1301" t="s">
        <v>43</v>
      </c>
      <c r="F1301">
        <v>69.2</v>
      </c>
      <c r="G1301">
        <v>102.9</v>
      </c>
      <c r="H1301">
        <v>60.6</v>
      </c>
      <c r="I1301">
        <v>8.8000000000000007</v>
      </c>
      <c r="J1301">
        <v>1.45</v>
      </c>
      <c r="K1301">
        <v>52</v>
      </c>
      <c r="L1301">
        <v>24.1</v>
      </c>
      <c r="M1301">
        <v>66.400000000000006</v>
      </c>
      <c r="N1301">
        <v>1.6</v>
      </c>
      <c r="O1301">
        <v>292</v>
      </c>
      <c r="P1301" t="s">
        <v>28</v>
      </c>
    </row>
    <row r="1302" spans="1:16" x14ac:dyDescent="0.25">
      <c r="A1302" t="s">
        <v>1369</v>
      </c>
      <c r="B1302" s="2">
        <v>46003</v>
      </c>
      <c r="C1302" t="s">
        <v>42</v>
      </c>
      <c r="D1302" t="s">
        <v>23</v>
      </c>
      <c r="E1302" t="s">
        <v>19</v>
      </c>
      <c r="F1302">
        <v>49.9</v>
      </c>
      <c r="G1302">
        <v>104</v>
      </c>
      <c r="H1302">
        <v>39.6</v>
      </c>
      <c r="I1302">
        <v>7.1</v>
      </c>
      <c r="J1302">
        <v>1.1499999999999999</v>
      </c>
      <c r="K1302">
        <v>13</v>
      </c>
      <c r="L1302">
        <v>21.3</v>
      </c>
      <c r="M1302">
        <v>47.4</v>
      </c>
      <c r="N1302">
        <v>2.9</v>
      </c>
      <c r="O1302">
        <v>219</v>
      </c>
      <c r="P1302" t="s">
        <v>28</v>
      </c>
    </row>
    <row r="1303" spans="1:16" x14ac:dyDescent="0.25">
      <c r="A1303" t="s">
        <v>1370</v>
      </c>
      <c r="B1303" s="2">
        <v>45903</v>
      </c>
      <c r="C1303" t="s">
        <v>17</v>
      </c>
      <c r="D1303" t="s">
        <v>18</v>
      </c>
      <c r="E1303" t="s">
        <v>32</v>
      </c>
      <c r="F1303">
        <v>50.6</v>
      </c>
      <c r="G1303">
        <v>136.6</v>
      </c>
      <c r="H1303">
        <v>26</v>
      </c>
      <c r="I1303">
        <v>1.1000000000000001</v>
      </c>
      <c r="J1303">
        <v>0.34</v>
      </c>
      <c r="K1303">
        <v>34.799999999999997</v>
      </c>
      <c r="L1303">
        <v>37.700000000000003</v>
      </c>
      <c r="M1303">
        <v>89.6</v>
      </c>
      <c r="N1303">
        <v>1.1000000000000001</v>
      </c>
      <c r="O1303">
        <v>215</v>
      </c>
      <c r="P1303" t="s">
        <v>28</v>
      </c>
    </row>
    <row r="1304" spans="1:16" x14ac:dyDescent="0.25">
      <c r="A1304" t="s">
        <v>1371</v>
      </c>
      <c r="B1304" s="2">
        <v>45744</v>
      </c>
      <c r="C1304" t="s">
        <v>38</v>
      </c>
      <c r="D1304" t="s">
        <v>39</v>
      </c>
      <c r="E1304" t="s">
        <v>61</v>
      </c>
      <c r="F1304">
        <v>39.799999999999997</v>
      </c>
      <c r="G1304">
        <v>68.3</v>
      </c>
      <c r="H1304">
        <v>25.9</v>
      </c>
      <c r="I1304">
        <v>16.3</v>
      </c>
      <c r="J1304">
        <v>1.02</v>
      </c>
      <c r="K1304">
        <v>51.8</v>
      </c>
      <c r="L1304">
        <v>25.1</v>
      </c>
      <c r="M1304">
        <v>56.2</v>
      </c>
      <c r="N1304">
        <v>1.4</v>
      </c>
      <c r="O1304">
        <v>189</v>
      </c>
      <c r="P1304" t="s">
        <v>33</v>
      </c>
    </row>
    <row r="1305" spans="1:16" x14ac:dyDescent="0.25">
      <c r="A1305" t="s">
        <v>1372</v>
      </c>
      <c r="B1305" s="2">
        <v>45959</v>
      </c>
      <c r="C1305" t="s">
        <v>54</v>
      </c>
      <c r="D1305" t="s">
        <v>18</v>
      </c>
      <c r="E1305" t="s">
        <v>68</v>
      </c>
      <c r="F1305">
        <v>18.7</v>
      </c>
      <c r="G1305">
        <v>63</v>
      </c>
      <c r="H1305">
        <v>11.2</v>
      </c>
      <c r="I1305">
        <v>5.8</v>
      </c>
      <c r="J1305">
        <v>0.99</v>
      </c>
      <c r="K1305">
        <v>25.7</v>
      </c>
      <c r="L1305">
        <v>34.4</v>
      </c>
      <c r="M1305">
        <v>42</v>
      </c>
      <c r="N1305">
        <v>1.6</v>
      </c>
      <c r="O1305">
        <v>120</v>
      </c>
      <c r="P1305" t="s">
        <v>33</v>
      </c>
    </row>
    <row r="1306" spans="1:16" x14ac:dyDescent="0.25">
      <c r="A1306" t="s">
        <v>1373</v>
      </c>
      <c r="B1306" s="2">
        <v>45888</v>
      </c>
      <c r="C1306" t="s">
        <v>38</v>
      </c>
      <c r="D1306" t="s">
        <v>39</v>
      </c>
      <c r="E1306" t="s">
        <v>43</v>
      </c>
      <c r="F1306">
        <v>57.9</v>
      </c>
      <c r="G1306">
        <v>75.900000000000006</v>
      </c>
      <c r="H1306">
        <v>10.4</v>
      </c>
      <c r="I1306">
        <v>33.799999999999997</v>
      </c>
      <c r="J1306">
        <v>1.08</v>
      </c>
      <c r="K1306">
        <v>70</v>
      </c>
      <c r="L1306">
        <v>34.299999999999997</v>
      </c>
      <c r="M1306">
        <v>74.599999999999994</v>
      </c>
      <c r="N1306">
        <v>2</v>
      </c>
      <c r="O1306">
        <v>232</v>
      </c>
      <c r="P1306" t="s">
        <v>28</v>
      </c>
    </row>
    <row r="1307" spans="1:16" x14ac:dyDescent="0.25">
      <c r="A1307" t="s">
        <v>1374</v>
      </c>
      <c r="B1307" s="2">
        <v>45924</v>
      </c>
      <c r="C1307" t="s">
        <v>81</v>
      </c>
      <c r="D1307" t="s">
        <v>39</v>
      </c>
      <c r="E1307" t="s">
        <v>24</v>
      </c>
      <c r="F1307">
        <v>47.1</v>
      </c>
      <c r="G1307">
        <v>65.900000000000006</v>
      </c>
      <c r="H1307">
        <v>41.6</v>
      </c>
      <c r="I1307">
        <v>10.1</v>
      </c>
      <c r="J1307">
        <v>0.91</v>
      </c>
      <c r="K1307">
        <v>50.7</v>
      </c>
      <c r="L1307">
        <v>25.8</v>
      </c>
      <c r="M1307">
        <v>74.400000000000006</v>
      </c>
      <c r="N1307">
        <v>3.6</v>
      </c>
      <c r="O1307">
        <v>204</v>
      </c>
      <c r="P1307" t="s">
        <v>28</v>
      </c>
    </row>
    <row r="1308" spans="1:16" x14ac:dyDescent="0.25">
      <c r="A1308" t="s">
        <v>1375</v>
      </c>
      <c r="B1308" s="2">
        <v>45761</v>
      </c>
      <c r="C1308" t="s">
        <v>17</v>
      </c>
      <c r="D1308" t="s">
        <v>18</v>
      </c>
      <c r="E1308" t="s">
        <v>68</v>
      </c>
      <c r="F1308">
        <v>58.1</v>
      </c>
      <c r="G1308">
        <v>161.1</v>
      </c>
      <c r="H1308">
        <v>33.799999999999997</v>
      </c>
      <c r="I1308">
        <v>13.9</v>
      </c>
      <c r="J1308">
        <v>0.45</v>
      </c>
      <c r="K1308">
        <v>39.9</v>
      </c>
      <c r="L1308">
        <v>25.8</v>
      </c>
      <c r="M1308">
        <v>60.3</v>
      </c>
      <c r="N1308">
        <v>1.4</v>
      </c>
      <c r="O1308">
        <v>264</v>
      </c>
      <c r="P1308" t="s">
        <v>28</v>
      </c>
    </row>
    <row r="1309" spans="1:16" x14ac:dyDescent="0.25">
      <c r="A1309" t="s">
        <v>1376</v>
      </c>
      <c r="B1309" s="2">
        <v>45688</v>
      </c>
      <c r="C1309" t="s">
        <v>38</v>
      </c>
      <c r="D1309" t="s">
        <v>39</v>
      </c>
      <c r="E1309" t="s">
        <v>74</v>
      </c>
      <c r="F1309">
        <v>47.3</v>
      </c>
      <c r="G1309">
        <v>109.1</v>
      </c>
      <c r="H1309">
        <v>9.6</v>
      </c>
      <c r="I1309">
        <v>10.1</v>
      </c>
      <c r="J1309">
        <v>0.71</v>
      </c>
      <c r="K1309">
        <v>62.5</v>
      </c>
      <c r="L1309">
        <v>22.9</v>
      </c>
      <c r="M1309">
        <v>54.8</v>
      </c>
      <c r="N1309">
        <v>4</v>
      </c>
      <c r="O1309">
        <v>207</v>
      </c>
      <c r="P1309" t="s">
        <v>28</v>
      </c>
    </row>
    <row r="1310" spans="1:16" x14ac:dyDescent="0.25">
      <c r="A1310" t="s">
        <v>1377</v>
      </c>
      <c r="B1310" s="2">
        <v>46011</v>
      </c>
      <c r="C1310" t="s">
        <v>81</v>
      </c>
      <c r="D1310" t="s">
        <v>39</v>
      </c>
      <c r="E1310" t="s">
        <v>68</v>
      </c>
      <c r="F1310">
        <v>55.8</v>
      </c>
      <c r="G1310">
        <v>21.6</v>
      </c>
      <c r="H1310">
        <v>34.299999999999997</v>
      </c>
      <c r="I1310">
        <v>13.8</v>
      </c>
      <c r="J1310">
        <v>0.5</v>
      </c>
      <c r="K1310">
        <v>13.3</v>
      </c>
      <c r="L1310">
        <v>28.8</v>
      </c>
      <c r="M1310">
        <v>68.8</v>
      </c>
      <c r="N1310">
        <v>4.4000000000000004</v>
      </c>
      <c r="O1310">
        <v>159</v>
      </c>
      <c r="P1310" t="s">
        <v>33</v>
      </c>
    </row>
    <row r="1311" spans="1:16" x14ac:dyDescent="0.25">
      <c r="A1311" t="s">
        <v>1378</v>
      </c>
      <c r="B1311" s="2">
        <v>45830</v>
      </c>
      <c r="C1311" t="s">
        <v>54</v>
      </c>
      <c r="D1311" t="s">
        <v>18</v>
      </c>
      <c r="E1311" t="s">
        <v>97</v>
      </c>
      <c r="F1311">
        <v>78.8</v>
      </c>
      <c r="G1311">
        <v>90.5</v>
      </c>
      <c r="H1311">
        <v>24.6</v>
      </c>
      <c r="I1311">
        <v>21.9</v>
      </c>
      <c r="J1311">
        <v>0.32</v>
      </c>
      <c r="K1311">
        <v>55.7</v>
      </c>
      <c r="L1311">
        <v>34.299999999999997</v>
      </c>
      <c r="M1311">
        <v>44.9</v>
      </c>
      <c r="N1311">
        <v>1.5</v>
      </c>
      <c r="O1311">
        <v>253</v>
      </c>
      <c r="P1311" t="s">
        <v>28</v>
      </c>
    </row>
    <row r="1312" spans="1:16" x14ac:dyDescent="0.25">
      <c r="A1312" t="s">
        <v>1379</v>
      </c>
      <c r="B1312" s="2">
        <v>45875</v>
      </c>
      <c r="C1312" t="s">
        <v>93</v>
      </c>
      <c r="D1312" t="s">
        <v>36</v>
      </c>
      <c r="E1312" t="s">
        <v>45</v>
      </c>
      <c r="F1312">
        <v>40.4</v>
      </c>
      <c r="G1312">
        <v>43.5</v>
      </c>
      <c r="H1312">
        <v>14.1</v>
      </c>
      <c r="I1312">
        <v>24.3</v>
      </c>
      <c r="J1312">
        <v>0.35</v>
      </c>
      <c r="K1312">
        <v>78.400000000000006</v>
      </c>
      <c r="L1312">
        <v>26.6</v>
      </c>
      <c r="M1312">
        <v>88.1</v>
      </c>
      <c r="N1312">
        <v>2.8</v>
      </c>
      <c r="O1312">
        <v>165</v>
      </c>
      <c r="P1312" t="s">
        <v>33</v>
      </c>
    </row>
    <row r="1313" spans="1:16" x14ac:dyDescent="0.25">
      <c r="A1313" t="s">
        <v>1380</v>
      </c>
      <c r="B1313" s="2">
        <v>45680</v>
      </c>
      <c r="C1313" t="s">
        <v>93</v>
      </c>
      <c r="D1313" t="s">
        <v>36</v>
      </c>
      <c r="E1313" t="s">
        <v>68</v>
      </c>
      <c r="F1313">
        <v>20.7</v>
      </c>
      <c r="G1313">
        <v>34.1</v>
      </c>
      <c r="H1313">
        <v>33.200000000000003</v>
      </c>
      <c r="I1313">
        <v>11.1</v>
      </c>
      <c r="J1313">
        <v>0.81</v>
      </c>
      <c r="K1313">
        <v>16.8</v>
      </c>
      <c r="L1313">
        <v>22.9</v>
      </c>
      <c r="M1313">
        <v>71</v>
      </c>
      <c r="N1313">
        <v>1.4</v>
      </c>
      <c r="O1313">
        <v>117</v>
      </c>
      <c r="P1313" t="s">
        <v>33</v>
      </c>
    </row>
    <row r="1314" spans="1:16" x14ac:dyDescent="0.25">
      <c r="A1314" t="s">
        <v>1381</v>
      </c>
      <c r="B1314" s="2">
        <v>45974</v>
      </c>
      <c r="C1314" t="s">
        <v>54</v>
      </c>
      <c r="D1314" t="s">
        <v>18</v>
      </c>
      <c r="E1314" t="s">
        <v>55</v>
      </c>
      <c r="F1314">
        <v>24.4</v>
      </c>
      <c r="G1314">
        <v>145.30000000000001</v>
      </c>
      <c r="H1314">
        <v>15.8</v>
      </c>
      <c r="I1314">
        <v>27.4</v>
      </c>
      <c r="J1314">
        <v>0.33</v>
      </c>
      <c r="K1314">
        <v>18.5</v>
      </c>
      <c r="L1314">
        <v>37.799999999999997</v>
      </c>
      <c r="M1314">
        <v>87.6</v>
      </c>
      <c r="N1314">
        <v>1.9</v>
      </c>
      <c r="O1314">
        <v>182</v>
      </c>
      <c r="P1314" t="s">
        <v>33</v>
      </c>
    </row>
    <row r="1315" spans="1:16" x14ac:dyDescent="0.25">
      <c r="A1315" t="s">
        <v>1382</v>
      </c>
      <c r="B1315" s="2">
        <v>45762</v>
      </c>
      <c r="C1315" t="s">
        <v>54</v>
      </c>
      <c r="D1315" t="s">
        <v>18</v>
      </c>
      <c r="E1315" t="s">
        <v>70</v>
      </c>
      <c r="F1315">
        <v>19.8</v>
      </c>
      <c r="G1315">
        <v>116.1</v>
      </c>
      <c r="H1315">
        <v>30.7</v>
      </c>
      <c r="I1315">
        <v>4.4000000000000004</v>
      </c>
      <c r="J1315">
        <v>0.47</v>
      </c>
      <c r="K1315">
        <v>25.9</v>
      </c>
      <c r="L1315">
        <v>15.6</v>
      </c>
      <c r="M1315">
        <v>51.4</v>
      </c>
      <c r="N1315">
        <v>1</v>
      </c>
      <c r="O1315">
        <v>158</v>
      </c>
      <c r="P1315" t="s">
        <v>33</v>
      </c>
    </row>
    <row r="1316" spans="1:16" x14ac:dyDescent="0.25">
      <c r="A1316" t="s">
        <v>1383</v>
      </c>
      <c r="B1316" s="2">
        <v>45662</v>
      </c>
      <c r="C1316" t="s">
        <v>67</v>
      </c>
      <c r="D1316" t="s">
        <v>18</v>
      </c>
      <c r="E1316" t="s">
        <v>58</v>
      </c>
      <c r="F1316">
        <v>49.1</v>
      </c>
      <c r="G1316">
        <v>97.6</v>
      </c>
      <c r="H1316">
        <v>27.3</v>
      </c>
      <c r="I1316">
        <v>12.1</v>
      </c>
      <c r="J1316">
        <v>1.34</v>
      </c>
      <c r="K1316">
        <v>43.2</v>
      </c>
      <c r="L1316">
        <v>34.4</v>
      </c>
      <c r="M1316">
        <v>73.900000000000006</v>
      </c>
      <c r="N1316">
        <v>2.4</v>
      </c>
      <c r="O1316">
        <v>225</v>
      </c>
      <c r="P1316" t="s">
        <v>28</v>
      </c>
    </row>
    <row r="1317" spans="1:16" x14ac:dyDescent="0.25">
      <c r="A1317" t="s">
        <v>1384</v>
      </c>
      <c r="B1317" s="2">
        <v>45760</v>
      </c>
      <c r="C1317" t="s">
        <v>54</v>
      </c>
      <c r="D1317" t="s">
        <v>18</v>
      </c>
      <c r="E1317" t="s">
        <v>91</v>
      </c>
      <c r="F1317">
        <v>36</v>
      </c>
      <c r="G1317">
        <v>41</v>
      </c>
      <c r="H1317">
        <v>8.1999999999999993</v>
      </c>
      <c r="I1317">
        <v>20.100000000000001</v>
      </c>
      <c r="J1317">
        <v>0.51</v>
      </c>
      <c r="K1317">
        <v>79.8</v>
      </c>
      <c r="L1317">
        <v>36.9</v>
      </c>
      <c r="M1317">
        <v>67.099999999999994</v>
      </c>
      <c r="N1317">
        <v>2.6</v>
      </c>
      <c r="O1317">
        <v>154</v>
      </c>
      <c r="P1317" t="s">
        <v>33</v>
      </c>
    </row>
    <row r="1318" spans="1:16" x14ac:dyDescent="0.25">
      <c r="A1318" t="s">
        <v>1385</v>
      </c>
      <c r="B1318" s="2">
        <v>45714</v>
      </c>
      <c r="C1318" t="s">
        <v>26</v>
      </c>
      <c r="D1318" t="s">
        <v>23</v>
      </c>
      <c r="E1318" t="s">
        <v>70</v>
      </c>
      <c r="F1318">
        <v>21.3</v>
      </c>
      <c r="G1318">
        <v>96.6</v>
      </c>
      <c r="H1318">
        <v>19.600000000000001</v>
      </c>
      <c r="I1318">
        <v>7.9</v>
      </c>
      <c r="J1318">
        <v>1.92</v>
      </c>
      <c r="K1318">
        <v>19.7</v>
      </c>
      <c r="L1318">
        <v>27.1</v>
      </c>
      <c r="M1318">
        <v>62.5</v>
      </c>
      <c r="N1318">
        <v>2.4</v>
      </c>
      <c r="O1318">
        <v>175</v>
      </c>
      <c r="P1318" t="s">
        <v>33</v>
      </c>
    </row>
    <row r="1319" spans="1:16" x14ac:dyDescent="0.25">
      <c r="A1319" t="s">
        <v>1386</v>
      </c>
      <c r="B1319" s="2">
        <v>45828</v>
      </c>
      <c r="C1319" t="s">
        <v>67</v>
      </c>
      <c r="D1319" t="s">
        <v>18</v>
      </c>
      <c r="E1319" t="s">
        <v>43</v>
      </c>
      <c r="F1319">
        <v>39.6</v>
      </c>
      <c r="G1319">
        <v>87.9</v>
      </c>
      <c r="H1319">
        <v>31.8</v>
      </c>
      <c r="I1319">
        <v>12.5</v>
      </c>
      <c r="J1319">
        <v>0.66</v>
      </c>
      <c r="K1319">
        <v>40.200000000000003</v>
      </c>
      <c r="L1319">
        <v>17.399999999999999</v>
      </c>
      <c r="M1319">
        <v>56.3</v>
      </c>
      <c r="N1319">
        <v>2.7</v>
      </c>
      <c r="O1319">
        <v>189</v>
      </c>
      <c r="P1319" t="s">
        <v>33</v>
      </c>
    </row>
    <row r="1320" spans="1:16" x14ac:dyDescent="0.25">
      <c r="A1320" t="s">
        <v>1387</v>
      </c>
      <c r="B1320" s="2">
        <v>45899</v>
      </c>
      <c r="C1320" t="s">
        <v>22</v>
      </c>
      <c r="D1320" t="s">
        <v>23</v>
      </c>
      <c r="E1320" t="s">
        <v>19</v>
      </c>
      <c r="F1320">
        <v>10.1</v>
      </c>
      <c r="G1320">
        <v>22.8</v>
      </c>
      <c r="H1320">
        <v>47.5</v>
      </c>
      <c r="I1320">
        <v>2.7</v>
      </c>
      <c r="J1320">
        <v>1.58</v>
      </c>
      <c r="K1320">
        <v>37.6</v>
      </c>
      <c r="L1320">
        <v>25.4</v>
      </c>
      <c r="M1320">
        <v>70.900000000000006</v>
      </c>
      <c r="N1320">
        <v>1.7</v>
      </c>
      <c r="O1320">
        <v>127</v>
      </c>
      <c r="P1320" t="s">
        <v>33</v>
      </c>
    </row>
    <row r="1321" spans="1:16" x14ac:dyDescent="0.25">
      <c r="A1321" t="s">
        <v>1388</v>
      </c>
      <c r="B1321" s="2">
        <v>45778</v>
      </c>
      <c r="C1321" t="s">
        <v>54</v>
      </c>
      <c r="D1321" t="s">
        <v>18</v>
      </c>
      <c r="E1321" t="s">
        <v>45</v>
      </c>
      <c r="F1321">
        <v>29.5</v>
      </c>
      <c r="G1321">
        <v>44.5</v>
      </c>
      <c r="H1321">
        <v>25.6</v>
      </c>
      <c r="I1321">
        <v>7.1</v>
      </c>
      <c r="J1321">
        <v>0.67</v>
      </c>
      <c r="K1321">
        <v>56.5</v>
      </c>
      <c r="L1321">
        <v>33.799999999999997</v>
      </c>
      <c r="M1321">
        <v>57.7</v>
      </c>
      <c r="N1321">
        <v>0.9</v>
      </c>
      <c r="O1321">
        <v>144</v>
      </c>
      <c r="P1321" t="s">
        <v>33</v>
      </c>
    </row>
    <row r="1322" spans="1:16" x14ac:dyDescent="0.25">
      <c r="A1322" t="s">
        <v>1389</v>
      </c>
      <c r="B1322" s="2">
        <v>45722</v>
      </c>
      <c r="C1322" t="s">
        <v>52</v>
      </c>
      <c r="D1322" t="s">
        <v>31</v>
      </c>
      <c r="E1322" t="s">
        <v>19</v>
      </c>
      <c r="F1322">
        <v>76.099999999999994</v>
      </c>
      <c r="G1322">
        <v>87.1</v>
      </c>
      <c r="H1322">
        <v>42.7</v>
      </c>
      <c r="I1322">
        <v>13.2</v>
      </c>
      <c r="J1322">
        <v>0.26</v>
      </c>
      <c r="K1322">
        <v>46.9</v>
      </c>
      <c r="L1322">
        <v>37.799999999999997</v>
      </c>
      <c r="M1322">
        <v>56.6</v>
      </c>
      <c r="N1322">
        <v>2.7</v>
      </c>
      <c r="O1322">
        <v>249</v>
      </c>
      <c r="P1322" t="s">
        <v>28</v>
      </c>
    </row>
    <row r="1323" spans="1:16" x14ac:dyDescent="0.25">
      <c r="A1323" t="s">
        <v>1390</v>
      </c>
      <c r="B1323" s="2">
        <v>45742</v>
      </c>
      <c r="C1323" t="s">
        <v>81</v>
      </c>
      <c r="D1323" t="s">
        <v>39</v>
      </c>
      <c r="E1323" t="s">
        <v>97</v>
      </c>
      <c r="F1323">
        <v>95</v>
      </c>
      <c r="G1323">
        <v>94.3</v>
      </c>
      <c r="H1323">
        <v>11.2</v>
      </c>
      <c r="I1323">
        <v>5.2</v>
      </c>
      <c r="J1323">
        <v>0.12</v>
      </c>
      <c r="K1323">
        <v>30.1</v>
      </c>
      <c r="L1323">
        <v>32.799999999999997</v>
      </c>
      <c r="M1323">
        <v>63.1</v>
      </c>
      <c r="N1323">
        <v>1</v>
      </c>
      <c r="O1323">
        <v>242</v>
      </c>
      <c r="P1323" t="s">
        <v>28</v>
      </c>
    </row>
    <row r="1324" spans="1:16" x14ac:dyDescent="0.25">
      <c r="A1324" t="s">
        <v>1391</v>
      </c>
      <c r="B1324" s="2">
        <v>45714</v>
      </c>
      <c r="C1324" t="s">
        <v>38</v>
      </c>
      <c r="D1324" t="s">
        <v>39</v>
      </c>
      <c r="E1324" t="s">
        <v>74</v>
      </c>
      <c r="F1324">
        <v>39.5</v>
      </c>
      <c r="G1324">
        <v>100.7</v>
      </c>
      <c r="H1324">
        <v>34.299999999999997</v>
      </c>
      <c r="I1324">
        <v>43.9</v>
      </c>
      <c r="J1324">
        <v>0.51</v>
      </c>
      <c r="K1324">
        <v>8.1</v>
      </c>
      <c r="L1324">
        <v>29.9</v>
      </c>
      <c r="M1324">
        <v>59.9</v>
      </c>
      <c r="N1324">
        <v>2.1</v>
      </c>
      <c r="O1324">
        <v>203</v>
      </c>
      <c r="P1324" t="s">
        <v>28</v>
      </c>
    </row>
    <row r="1325" spans="1:16" x14ac:dyDescent="0.25">
      <c r="A1325" t="s">
        <v>1392</v>
      </c>
      <c r="B1325" s="2">
        <v>45971</v>
      </c>
      <c r="C1325" t="s">
        <v>30</v>
      </c>
      <c r="D1325" t="s">
        <v>31</v>
      </c>
      <c r="E1325" t="s">
        <v>24</v>
      </c>
      <c r="F1325">
        <v>19.100000000000001</v>
      </c>
      <c r="G1325">
        <v>72.3</v>
      </c>
      <c r="H1325">
        <v>17</v>
      </c>
      <c r="I1325">
        <v>2.8</v>
      </c>
      <c r="J1325">
        <v>1</v>
      </c>
      <c r="K1325">
        <v>54.1</v>
      </c>
      <c r="L1325">
        <v>23.6</v>
      </c>
      <c r="M1325">
        <v>83.4</v>
      </c>
      <c r="N1325">
        <v>3.2</v>
      </c>
      <c r="O1325">
        <v>142</v>
      </c>
      <c r="P1325" t="s">
        <v>33</v>
      </c>
    </row>
    <row r="1326" spans="1:16" x14ac:dyDescent="0.25">
      <c r="A1326" t="s">
        <v>1393</v>
      </c>
      <c r="B1326" s="2">
        <v>45845</v>
      </c>
      <c r="C1326" t="s">
        <v>30</v>
      </c>
      <c r="D1326" t="s">
        <v>31</v>
      </c>
      <c r="E1326" t="s">
        <v>40</v>
      </c>
      <c r="F1326">
        <v>83.4</v>
      </c>
      <c r="G1326">
        <v>91.2</v>
      </c>
      <c r="H1326">
        <v>45.5</v>
      </c>
      <c r="I1326">
        <v>11.5</v>
      </c>
      <c r="J1326">
        <v>1.37</v>
      </c>
      <c r="K1326">
        <v>44.2</v>
      </c>
      <c r="L1326">
        <v>23.3</v>
      </c>
      <c r="M1326">
        <v>64.599999999999994</v>
      </c>
      <c r="N1326">
        <v>3.2</v>
      </c>
      <c r="O1326">
        <v>291</v>
      </c>
      <c r="P1326" t="s">
        <v>28</v>
      </c>
    </row>
    <row r="1327" spans="1:16" x14ac:dyDescent="0.25">
      <c r="A1327" t="s">
        <v>1394</v>
      </c>
      <c r="B1327" s="2">
        <v>45677</v>
      </c>
      <c r="C1327" t="s">
        <v>81</v>
      </c>
      <c r="D1327" t="s">
        <v>39</v>
      </c>
      <c r="E1327" t="s">
        <v>32</v>
      </c>
      <c r="F1327">
        <v>54</v>
      </c>
      <c r="G1327">
        <v>39.9</v>
      </c>
      <c r="H1327">
        <v>50.5</v>
      </c>
      <c r="I1327">
        <v>20.8</v>
      </c>
      <c r="J1327">
        <v>0.28999999999999998</v>
      </c>
      <c r="K1327">
        <v>26</v>
      </c>
      <c r="L1327">
        <v>30.8</v>
      </c>
      <c r="M1327">
        <v>85.1</v>
      </c>
      <c r="N1327">
        <v>2.8</v>
      </c>
      <c r="O1327">
        <v>186</v>
      </c>
      <c r="P1327" t="s">
        <v>33</v>
      </c>
    </row>
    <row r="1328" spans="1:16" x14ac:dyDescent="0.25">
      <c r="A1328" t="s">
        <v>1395</v>
      </c>
      <c r="B1328" s="2">
        <v>45810</v>
      </c>
      <c r="C1328" t="s">
        <v>42</v>
      </c>
      <c r="D1328" t="s">
        <v>23</v>
      </c>
      <c r="E1328" t="s">
        <v>58</v>
      </c>
      <c r="F1328">
        <v>83.1</v>
      </c>
      <c r="G1328">
        <v>122.5</v>
      </c>
      <c r="H1328">
        <v>72.400000000000006</v>
      </c>
      <c r="I1328">
        <v>3.8</v>
      </c>
      <c r="J1328">
        <v>0.52</v>
      </c>
      <c r="K1328">
        <v>32.200000000000003</v>
      </c>
      <c r="L1328">
        <v>36</v>
      </c>
      <c r="M1328">
        <v>59.5</v>
      </c>
      <c r="N1328">
        <v>3.1</v>
      </c>
      <c r="O1328">
        <v>301</v>
      </c>
      <c r="P1328" t="s">
        <v>20</v>
      </c>
    </row>
    <row r="1329" spans="1:16" x14ac:dyDescent="0.25">
      <c r="A1329" t="s">
        <v>1396</v>
      </c>
      <c r="B1329" s="2">
        <v>45826</v>
      </c>
      <c r="C1329" t="s">
        <v>64</v>
      </c>
      <c r="D1329" t="s">
        <v>36</v>
      </c>
      <c r="E1329" t="s">
        <v>58</v>
      </c>
      <c r="F1329">
        <v>38.9</v>
      </c>
      <c r="G1329">
        <v>113</v>
      </c>
      <c r="H1329">
        <v>60.3</v>
      </c>
      <c r="I1329">
        <v>24</v>
      </c>
      <c r="J1329">
        <v>0.89</v>
      </c>
      <c r="K1329">
        <v>54.8</v>
      </c>
      <c r="L1329">
        <v>23.1</v>
      </c>
      <c r="M1329">
        <v>45.3</v>
      </c>
      <c r="N1329">
        <v>0.6</v>
      </c>
      <c r="O1329">
        <v>248</v>
      </c>
      <c r="P1329" t="s">
        <v>28</v>
      </c>
    </row>
    <row r="1330" spans="1:16" x14ac:dyDescent="0.25">
      <c r="A1330" t="s">
        <v>1397</v>
      </c>
      <c r="B1330" s="2">
        <v>45918</v>
      </c>
      <c r="C1330" t="s">
        <v>22</v>
      </c>
      <c r="D1330" t="s">
        <v>23</v>
      </c>
      <c r="E1330" t="s">
        <v>70</v>
      </c>
      <c r="F1330">
        <v>48.6</v>
      </c>
      <c r="G1330">
        <v>96.9</v>
      </c>
      <c r="H1330">
        <v>19.3</v>
      </c>
      <c r="I1330">
        <v>17.5</v>
      </c>
      <c r="J1330">
        <v>0.61</v>
      </c>
      <c r="K1330">
        <v>53.8</v>
      </c>
      <c r="L1330">
        <v>25.7</v>
      </c>
      <c r="M1330">
        <v>76.8</v>
      </c>
      <c r="N1330">
        <v>2.8</v>
      </c>
      <c r="O1330">
        <v>208</v>
      </c>
      <c r="P1330" t="s">
        <v>28</v>
      </c>
    </row>
    <row r="1331" spans="1:16" x14ac:dyDescent="0.25">
      <c r="A1331" t="s">
        <v>1398</v>
      </c>
      <c r="B1331" s="2">
        <v>45893</v>
      </c>
      <c r="C1331" t="s">
        <v>67</v>
      </c>
      <c r="D1331" t="s">
        <v>18</v>
      </c>
      <c r="E1331" t="s">
        <v>61</v>
      </c>
      <c r="F1331">
        <v>36.6</v>
      </c>
      <c r="G1331">
        <v>50.3</v>
      </c>
      <c r="H1331">
        <v>3.4</v>
      </c>
      <c r="I1331">
        <v>17.2</v>
      </c>
      <c r="J1331">
        <v>0.8</v>
      </c>
      <c r="K1331">
        <v>53</v>
      </c>
      <c r="L1331">
        <v>31.6</v>
      </c>
      <c r="M1331">
        <v>56.4</v>
      </c>
      <c r="N1331">
        <v>2.4</v>
      </c>
      <c r="O1331">
        <v>150</v>
      </c>
      <c r="P1331" t="s">
        <v>33</v>
      </c>
    </row>
    <row r="1332" spans="1:16" x14ac:dyDescent="0.25">
      <c r="A1332" t="s">
        <v>1399</v>
      </c>
      <c r="B1332" s="2">
        <v>45921</v>
      </c>
      <c r="C1332" t="s">
        <v>17</v>
      </c>
      <c r="D1332" t="s">
        <v>18</v>
      </c>
      <c r="E1332" t="s">
        <v>27</v>
      </c>
      <c r="F1332">
        <v>65</v>
      </c>
      <c r="G1332">
        <v>90.1</v>
      </c>
      <c r="H1332">
        <v>32.9</v>
      </c>
      <c r="I1332">
        <v>23.2</v>
      </c>
      <c r="J1332">
        <v>1.6</v>
      </c>
      <c r="K1332">
        <v>31.1</v>
      </c>
      <c r="L1332">
        <v>25.1</v>
      </c>
      <c r="M1332">
        <v>45</v>
      </c>
      <c r="N1332">
        <v>2.6</v>
      </c>
      <c r="O1332">
        <v>259</v>
      </c>
      <c r="P1332" t="s">
        <v>28</v>
      </c>
    </row>
    <row r="1333" spans="1:16" x14ac:dyDescent="0.25">
      <c r="A1333" t="s">
        <v>1400</v>
      </c>
      <c r="B1333" s="2">
        <v>45727</v>
      </c>
      <c r="C1333" t="s">
        <v>26</v>
      </c>
      <c r="D1333" t="s">
        <v>23</v>
      </c>
      <c r="E1333" t="s">
        <v>45</v>
      </c>
      <c r="F1333">
        <v>91.8</v>
      </c>
      <c r="G1333">
        <v>89.6</v>
      </c>
      <c r="H1333">
        <v>29.8</v>
      </c>
      <c r="I1333">
        <v>13.9</v>
      </c>
      <c r="J1333">
        <v>0.76</v>
      </c>
      <c r="K1333">
        <v>9.8000000000000007</v>
      </c>
      <c r="L1333">
        <v>36.4</v>
      </c>
      <c r="M1333">
        <v>98</v>
      </c>
      <c r="N1333">
        <v>1.6</v>
      </c>
      <c r="O1333">
        <v>262</v>
      </c>
      <c r="P1333" t="s">
        <v>28</v>
      </c>
    </row>
    <row r="1334" spans="1:16" x14ac:dyDescent="0.25">
      <c r="A1334" t="s">
        <v>1401</v>
      </c>
      <c r="B1334" s="2">
        <v>45664</v>
      </c>
      <c r="C1334" t="s">
        <v>77</v>
      </c>
      <c r="D1334" t="s">
        <v>39</v>
      </c>
      <c r="E1334" t="s">
        <v>58</v>
      </c>
      <c r="F1334">
        <v>19.899999999999999</v>
      </c>
      <c r="G1334">
        <v>39.799999999999997</v>
      </c>
      <c r="H1334">
        <v>64.8</v>
      </c>
      <c r="I1334">
        <v>14.7</v>
      </c>
      <c r="J1334">
        <v>0.25</v>
      </c>
      <c r="K1334">
        <v>35.799999999999997</v>
      </c>
      <c r="L1334">
        <v>33.1</v>
      </c>
      <c r="M1334">
        <v>70.099999999999994</v>
      </c>
      <c r="N1334">
        <v>2.2999999999999998</v>
      </c>
      <c r="O1334">
        <v>142</v>
      </c>
      <c r="P1334" t="s">
        <v>33</v>
      </c>
    </row>
    <row r="1335" spans="1:16" x14ac:dyDescent="0.25">
      <c r="A1335" t="s">
        <v>1402</v>
      </c>
      <c r="B1335" s="2">
        <v>45824</v>
      </c>
      <c r="C1335" t="s">
        <v>64</v>
      </c>
      <c r="D1335" t="s">
        <v>36</v>
      </c>
      <c r="E1335" t="s">
        <v>19</v>
      </c>
      <c r="F1335">
        <v>14</v>
      </c>
      <c r="G1335">
        <v>126.1</v>
      </c>
      <c r="H1335">
        <v>21.4</v>
      </c>
      <c r="I1335">
        <v>14.3</v>
      </c>
      <c r="J1335">
        <v>1.35</v>
      </c>
      <c r="K1335">
        <v>61.2</v>
      </c>
      <c r="L1335">
        <v>18.899999999999999</v>
      </c>
      <c r="M1335">
        <v>53.7</v>
      </c>
      <c r="N1335">
        <v>1.3</v>
      </c>
      <c r="O1335">
        <v>193</v>
      </c>
      <c r="P1335" t="s">
        <v>33</v>
      </c>
    </row>
    <row r="1336" spans="1:16" x14ac:dyDescent="0.25">
      <c r="A1336" t="s">
        <v>1403</v>
      </c>
      <c r="B1336" s="2">
        <v>45776</v>
      </c>
      <c r="C1336" t="s">
        <v>81</v>
      </c>
      <c r="D1336" t="s">
        <v>39</v>
      </c>
      <c r="E1336" t="s">
        <v>40</v>
      </c>
      <c r="F1336">
        <v>79.3</v>
      </c>
      <c r="G1336">
        <v>133.69999999999999</v>
      </c>
      <c r="H1336">
        <v>25.7</v>
      </c>
      <c r="I1336">
        <v>6</v>
      </c>
      <c r="J1336">
        <v>0.31</v>
      </c>
      <c r="K1336">
        <v>22.9</v>
      </c>
      <c r="L1336">
        <v>29.8</v>
      </c>
      <c r="M1336">
        <v>67.5</v>
      </c>
      <c r="N1336">
        <v>1.3</v>
      </c>
      <c r="O1336">
        <v>257</v>
      </c>
      <c r="P1336" t="s">
        <v>28</v>
      </c>
    </row>
    <row r="1337" spans="1:16" x14ac:dyDescent="0.25">
      <c r="A1337" t="s">
        <v>1404</v>
      </c>
      <c r="B1337" s="2">
        <v>45782</v>
      </c>
      <c r="C1337" t="s">
        <v>54</v>
      </c>
      <c r="D1337" t="s">
        <v>18</v>
      </c>
      <c r="E1337" t="s">
        <v>68</v>
      </c>
      <c r="F1337">
        <v>59.4</v>
      </c>
      <c r="G1337">
        <v>123.8</v>
      </c>
      <c r="H1337">
        <v>24.7</v>
      </c>
      <c r="I1337">
        <v>11</v>
      </c>
      <c r="J1337">
        <v>0.51</v>
      </c>
      <c r="K1337">
        <v>38.200000000000003</v>
      </c>
      <c r="L1337">
        <v>34.6</v>
      </c>
      <c r="M1337">
        <v>83.1</v>
      </c>
      <c r="N1337">
        <v>0.8</v>
      </c>
      <c r="O1337">
        <v>233</v>
      </c>
      <c r="P1337" t="s">
        <v>28</v>
      </c>
    </row>
    <row r="1338" spans="1:16" x14ac:dyDescent="0.25">
      <c r="A1338" t="s">
        <v>1405</v>
      </c>
      <c r="B1338" s="2">
        <v>45987</v>
      </c>
      <c r="C1338" t="s">
        <v>77</v>
      </c>
      <c r="D1338" t="s">
        <v>39</v>
      </c>
      <c r="E1338" t="s">
        <v>24</v>
      </c>
      <c r="F1338">
        <v>37.299999999999997</v>
      </c>
      <c r="G1338">
        <v>104.1</v>
      </c>
      <c r="H1338">
        <v>44.4</v>
      </c>
      <c r="I1338">
        <v>3.7</v>
      </c>
      <c r="J1338">
        <v>1.24</v>
      </c>
      <c r="K1338">
        <v>43.6</v>
      </c>
      <c r="L1338">
        <v>34.200000000000003</v>
      </c>
      <c r="M1338">
        <v>70.900000000000006</v>
      </c>
      <c r="N1338">
        <v>1.6</v>
      </c>
      <c r="O1338">
        <v>216</v>
      </c>
      <c r="P1338" t="s">
        <v>28</v>
      </c>
    </row>
    <row r="1339" spans="1:16" x14ac:dyDescent="0.25">
      <c r="A1339" t="s">
        <v>1406</v>
      </c>
      <c r="B1339" s="2">
        <v>45972</v>
      </c>
      <c r="C1339" t="s">
        <v>67</v>
      </c>
      <c r="D1339" t="s">
        <v>18</v>
      </c>
      <c r="E1339" t="s">
        <v>24</v>
      </c>
      <c r="F1339">
        <v>46.6</v>
      </c>
      <c r="G1339">
        <v>156.30000000000001</v>
      </c>
      <c r="H1339">
        <v>33.299999999999997</v>
      </c>
      <c r="I1339">
        <v>3.1</v>
      </c>
      <c r="J1339">
        <v>1.76</v>
      </c>
      <c r="K1339">
        <v>18.2</v>
      </c>
      <c r="L1339">
        <v>32</v>
      </c>
      <c r="M1339">
        <v>73</v>
      </c>
      <c r="N1339">
        <v>1.1000000000000001</v>
      </c>
      <c r="O1339">
        <v>257</v>
      </c>
      <c r="P1339" t="s">
        <v>28</v>
      </c>
    </row>
    <row r="1340" spans="1:16" x14ac:dyDescent="0.25">
      <c r="A1340" t="s">
        <v>1407</v>
      </c>
      <c r="B1340" s="2">
        <v>45942</v>
      </c>
      <c r="C1340" t="s">
        <v>35</v>
      </c>
      <c r="D1340" t="s">
        <v>36</v>
      </c>
      <c r="E1340" t="s">
        <v>58</v>
      </c>
      <c r="F1340">
        <v>27.3</v>
      </c>
      <c r="G1340">
        <v>144</v>
      </c>
      <c r="H1340">
        <v>24.9</v>
      </c>
      <c r="I1340">
        <v>11.9</v>
      </c>
      <c r="J1340">
        <v>1.77</v>
      </c>
      <c r="K1340">
        <v>48.2</v>
      </c>
      <c r="L1340">
        <v>19.899999999999999</v>
      </c>
      <c r="M1340">
        <v>61.9</v>
      </c>
      <c r="N1340">
        <v>0.9</v>
      </c>
      <c r="O1340">
        <v>231</v>
      </c>
      <c r="P1340" t="s">
        <v>28</v>
      </c>
    </row>
    <row r="1341" spans="1:16" x14ac:dyDescent="0.25">
      <c r="A1341" t="s">
        <v>1408</v>
      </c>
      <c r="B1341" s="2">
        <v>45676</v>
      </c>
      <c r="C1341" t="s">
        <v>429</v>
      </c>
      <c r="D1341" t="s">
        <v>36</v>
      </c>
      <c r="E1341" t="s">
        <v>58</v>
      </c>
      <c r="F1341">
        <v>17.3</v>
      </c>
      <c r="G1341">
        <v>76.3</v>
      </c>
      <c r="H1341">
        <v>38.200000000000003</v>
      </c>
      <c r="I1341">
        <v>8</v>
      </c>
      <c r="J1341">
        <v>0.39</v>
      </c>
      <c r="K1341">
        <v>41.8</v>
      </c>
      <c r="L1341">
        <v>14.8</v>
      </c>
      <c r="M1341">
        <v>94.6</v>
      </c>
      <c r="N1341">
        <v>3</v>
      </c>
      <c r="O1341">
        <v>142</v>
      </c>
      <c r="P1341" t="s">
        <v>33</v>
      </c>
    </row>
    <row r="1342" spans="1:16" x14ac:dyDescent="0.25">
      <c r="A1342" t="s">
        <v>1409</v>
      </c>
      <c r="B1342" s="2">
        <v>45733</v>
      </c>
      <c r="C1342" t="s">
        <v>17</v>
      </c>
      <c r="D1342" t="s">
        <v>18</v>
      </c>
      <c r="E1342" t="s">
        <v>70</v>
      </c>
      <c r="F1342">
        <v>82.8</v>
      </c>
      <c r="G1342">
        <v>79.400000000000006</v>
      </c>
      <c r="H1342">
        <v>54.3</v>
      </c>
      <c r="I1342">
        <v>3.7</v>
      </c>
      <c r="J1342">
        <v>1.07</v>
      </c>
      <c r="K1342">
        <v>19.2</v>
      </c>
      <c r="L1342">
        <v>33.200000000000003</v>
      </c>
      <c r="M1342">
        <v>55.8</v>
      </c>
      <c r="N1342">
        <v>2.7</v>
      </c>
      <c r="O1342">
        <v>266</v>
      </c>
      <c r="P1342" t="s">
        <v>28</v>
      </c>
    </row>
    <row r="1343" spans="1:16" x14ac:dyDescent="0.25">
      <c r="A1343" t="s">
        <v>1410</v>
      </c>
      <c r="B1343" s="2">
        <v>45680</v>
      </c>
      <c r="C1343" t="s">
        <v>67</v>
      </c>
      <c r="D1343" t="s">
        <v>18</v>
      </c>
      <c r="E1343" t="s">
        <v>68</v>
      </c>
      <c r="F1343">
        <v>50.8</v>
      </c>
      <c r="G1343">
        <v>46.4</v>
      </c>
      <c r="H1343">
        <v>13.7</v>
      </c>
      <c r="I1343">
        <v>29.1</v>
      </c>
      <c r="J1343">
        <v>1.73</v>
      </c>
      <c r="K1343">
        <v>8.6</v>
      </c>
      <c r="L1343">
        <v>38.6</v>
      </c>
      <c r="M1343">
        <v>64.7</v>
      </c>
      <c r="N1343">
        <v>1.2</v>
      </c>
      <c r="O1343">
        <v>190</v>
      </c>
      <c r="P1343" t="s">
        <v>33</v>
      </c>
    </row>
    <row r="1344" spans="1:16" x14ac:dyDescent="0.25">
      <c r="A1344" t="s">
        <v>1411</v>
      </c>
      <c r="B1344" s="2">
        <v>45757</v>
      </c>
      <c r="C1344" t="s">
        <v>30</v>
      </c>
      <c r="D1344" t="s">
        <v>31</v>
      </c>
      <c r="E1344" t="s">
        <v>24</v>
      </c>
      <c r="F1344">
        <v>92.7</v>
      </c>
      <c r="G1344">
        <v>77.3</v>
      </c>
      <c r="H1344">
        <v>6.8</v>
      </c>
      <c r="I1344">
        <v>7</v>
      </c>
      <c r="J1344">
        <v>0.65</v>
      </c>
      <c r="K1344">
        <v>21.8</v>
      </c>
      <c r="L1344">
        <v>30.2</v>
      </c>
      <c r="M1344">
        <v>78.099999999999994</v>
      </c>
      <c r="N1344">
        <v>2.5</v>
      </c>
      <c r="O1344">
        <v>235</v>
      </c>
      <c r="P1344" t="s">
        <v>28</v>
      </c>
    </row>
    <row r="1345" spans="1:16" x14ac:dyDescent="0.25">
      <c r="A1345" t="s">
        <v>1412</v>
      </c>
      <c r="B1345" s="2">
        <v>45829</v>
      </c>
      <c r="C1345" t="s">
        <v>17</v>
      </c>
      <c r="D1345" t="s">
        <v>18</v>
      </c>
      <c r="E1345" t="s">
        <v>55</v>
      </c>
      <c r="F1345">
        <v>15</v>
      </c>
      <c r="G1345">
        <v>55.3</v>
      </c>
      <c r="H1345">
        <v>24.2</v>
      </c>
      <c r="I1345">
        <v>11.5</v>
      </c>
      <c r="J1345">
        <v>1.1599999999999999</v>
      </c>
      <c r="K1345">
        <v>25.4</v>
      </c>
      <c r="L1345">
        <v>22.4</v>
      </c>
      <c r="M1345">
        <v>80.599999999999994</v>
      </c>
      <c r="N1345">
        <v>1.5</v>
      </c>
      <c r="O1345">
        <v>128</v>
      </c>
      <c r="P1345" t="s">
        <v>33</v>
      </c>
    </row>
    <row r="1346" spans="1:16" x14ac:dyDescent="0.25">
      <c r="A1346" t="s">
        <v>1413</v>
      </c>
      <c r="B1346" s="2">
        <v>45765</v>
      </c>
      <c r="C1346" t="s">
        <v>99</v>
      </c>
      <c r="D1346" t="s">
        <v>36</v>
      </c>
      <c r="E1346" t="s">
        <v>24</v>
      </c>
      <c r="F1346">
        <v>95.6</v>
      </c>
      <c r="G1346">
        <v>97.4</v>
      </c>
      <c r="H1346">
        <v>16.8</v>
      </c>
      <c r="I1346">
        <v>13.9</v>
      </c>
      <c r="J1346">
        <v>0.91</v>
      </c>
      <c r="K1346">
        <v>110.8</v>
      </c>
      <c r="L1346">
        <v>27.6</v>
      </c>
      <c r="M1346">
        <v>51.7</v>
      </c>
      <c r="N1346">
        <v>2.1</v>
      </c>
      <c r="O1346">
        <v>312</v>
      </c>
      <c r="P1346" t="s">
        <v>20</v>
      </c>
    </row>
    <row r="1347" spans="1:16" x14ac:dyDescent="0.25">
      <c r="A1347" t="s">
        <v>1414</v>
      </c>
      <c r="B1347" s="2">
        <v>45916</v>
      </c>
      <c r="C1347" t="s">
        <v>50</v>
      </c>
      <c r="D1347" t="s">
        <v>31</v>
      </c>
      <c r="E1347" t="s">
        <v>24</v>
      </c>
      <c r="F1347">
        <v>40.6</v>
      </c>
      <c r="G1347">
        <v>42.6</v>
      </c>
      <c r="H1347">
        <v>5.2</v>
      </c>
      <c r="I1347">
        <v>6.5</v>
      </c>
      <c r="J1347">
        <v>0.88</v>
      </c>
      <c r="K1347">
        <v>31.5</v>
      </c>
      <c r="L1347">
        <v>19.8</v>
      </c>
      <c r="M1347">
        <v>80.400000000000006</v>
      </c>
      <c r="N1347">
        <v>2.5</v>
      </c>
      <c r="O1347">
        <v>138</v>
      </c>
      <c r="P1347" t="s">
        <v>33</v>
      </c>
    </row>
    <row r="1348" spans="1:16" x14ac:dyDescent="0.25">
      <c r="A1348" t="s">
        <v>1415</v>
      </c>
      <c r="B1348" s="2">
        <v>45690</v>
      </c>
      <c r="C1348" t="s">
        <v>22</v>
      </c>
      <c r="D1348" t="s">
        <v>23</v>
      </c>
      <c r="E1348" t="s">
        <v>74</v>
      </c>
      <c r="F1348">
        <v>33.200000000000003</v>
      </c>
      <c r="G1348">
        <v>114.6</v>
      </c>
      <c r="H1348">
        <v>36.200000000000003</v>
      </c>
      <c r="I1348">
        <v>7.2</v>
      </c>
      <c r="J1348">
        <v>1.06</v>
      </c>
      <c r="K1348">
        <v>12.6</v>
      </c>
      <c r="L1348">
        <v>20.399999999999999</v>
      </c>
      <c r="M1348">
        <v>87.8</v>
      </c>
      <c r="N1348">
        <v>2.4</v>
      </c>
      <c r="O1348">
        <v>194</v>
      </c>
      <c r="P1348" t="s">
        <v>33</v>
      </c>
    </row>
    <row r="1349" spans="1:16" x14ac:dyDescent="0.25">
      <c r="A1349" t="s">
        <v>1416</v>
      </c>
      <c r="B1349" s="2">
        <v>45976</v>
      </c>
      <c r="C1349" t="s">
        <v>77</v>
      </c>
      <c r="D1349" t="s">
        <v>39</v>
      </c>
      <c r="E1349" t="s">
        <v>55</v>
      </c>
      <c r="F1349">
        <v>34.6</v>
      </c>
      <c r="G1349">
        <v>138.5</v>
      </c>
      <c r="H1349">
        <v>45</v>
      </c>
      <c r="I1349">
        <v>11.2</v>
      </c>
      <c r="J1349">
        <v>0.42</v>
      </c>
      <c r="K1349">
        <v>12.3</v>
      </c>
      <c r="L1349">
        <v>34.700000000000003</v>
      </c>
      <c r="M1349">
        <v>43.7</v>
      </c>
      <c r="N1349">
        <v>1.4</v>
      </c>
      <c r="O1349">
        <v>205</v>
      </c>
      <c r="P1349" t="s">
        <v>28</v>
      </c>
    </row>
    <row r="1350" spans="1:16" x14ac:dyDescent="0.25">
      <c r="A1350" t="s">
        <v>1417</v>
      </c>
      <c r="B1350" s="2">
        <v>45703</v>
      </c>
      <c r="C1350" t="s">
        <v>52</v>
      </c>
      <c r="D1350" t="s">
        <v>31</v>
      </c>
      <c r="E1350" t="s">
        <v>91</v>
      </c>
      <c r="F1350">
        <v>40</v>
      </c>
      <c r="G1350">
        <v>113.1</v>
      </c>
      <c r="H1350">
        <v>34.1</v>
      </c>
      <c r="I1350">
        <v>19.399999999999999</v>
      </c>
      <c r="J1350">
        <v>1.03</v>
      </c>
      <c r="K1350">
        <v>41.1</v>
      </c>
      <c r="L1350">
        <v>12.8</v>
      </c>
      <c r="M1350">
        <v>48.1</v>
      </c>
      <c r="N1350">
        <v>3</v>
      </c>
      <c r="O1350">
        <v>223</v>
      </c>
      <c r="P1350" t="s">
        <v>28</v>
      </c>
    </row>
    <row r="1351" spans="1:16" x14ac:dyDescent="0.25">
      <c r="A1351" t="s">
        <v>1418</v>
      </c>
      <c r="B1351" s="2">
        <v>45843</v>
      </c>
      <c r="C1351" t="s">
        <v>99</v>
      </c>
      <c r="D1351" t="s">
        <v>36</v>
      </c>
      <c r="E1351" t="s">
        <v>74</v>
      </c>
      <c r="F1351">
        <v>42.7</v>
      </c>
      <c r="G1351">
        <v>76</v>
      </c>
      <c r="H1351">
        <v>15.1</v>
      </c>
      <c r="I1351">
        <v>11.2</v>
      </c>
      <c r="J1351">
        <v>1.06</v>
      </c>
      <c r="K1351">
        <v>46.5</v>
      </c>
      <c r="L1351">
        <v>28.9</v>
      </c>
      <c r="M1351">
        <v>32.9</v>
      </c>
      <c r="N1351">
        <v>2.1</v>
      </c>
      <c r="O1351">
        <v>185</v>
      </c>
      <c r="P1351" t="s">
        <v>33</v>
      </c>
    </row>
    <row r="1352" spans="1:16" x14ac:dyDescent="0.25">
      <c r="A1352" t="s">
        <v>1419</v>
      </c>
      <c r="B1352" s="2">
        <v>45876</v>
      </c>
      <c r="C1352" t="s">
        <v>64</v>
      </c>
      <c r="D1352" t="s">
        <v>36</v>
      </c>
      <c r="E1352" t="s">
        <v>45</v>
      </c>
      <c r="F1352">
        <v>31.5</v>
      </c>
      <c r="G1352">
        <v>37.6</v>
      </c>
      <c r="H1352">
        <v>48.2</v>
      </c>
      <c r="I1352">
        <v>5.5</v>
      </c>
      <c r="J1352">
        <v>1.08</v>
      </c>
      <c r="K1352">
        <v>36.299999999999997</v>
      </c>
      <c r="L1352">
        <v>36.299999999999997</v>
      </c>
      <c r="M1352">
        <v>91.1</v>
      </c>
      <c r="N1352">
        <v>1.7</v>
      </c>
      <c r="O1352">
        <v>161</v>
      </c>
      <c r="P1352" t="s">
        <v>33</v>
      </c>
    </row>
    <row r="1353" spans="1:16" x14ac:dyDescent="0.25">
      <c r="A1353" t="s">
        <v>1420</v>
      </c>
      <c r="B1353" s="2">
        <v>46010</v>
      </c>
      <c r="C1353" t="s">
        <v>26</v>
      </c>
      <c r="D1353" t="s">
        <v>23</v>
      </c>
      <c r="E1353" t="s">
        <v>40</v>
      </c>
      <c r="F1353">
        <v>37.799999999999997</v>
      </c>
      <c r="G1353">
        <v>131.80000000000001</v>
      </c>
      <c r="H1353">
        <v>5.0999999999999996</v>
      </c>
      <c r="I1353">
        <v>3.2</v>
      </c>
      <c r="J1353">
        <v>0.57999999999999996</v>
      </c>
      <c r="K1353">
        <v>32.799999999999997</v>
      </c>
      <c r="L1353">
        <v>17</v>
      </c>
      <c r="M1353">
        <v>59.8</v>
      </c>
      <c r="N1353">
        <v>0.2</v>
      </c>
      <c r="O1353">
        <v>182</v>
      </c>
      <c r="P1353" t="s">
        <v>33</v>
      </c>
    </row>
    <row r="1354" spans="1:16" x14ac:dyDescent="0.25">
      <c r="A1354" t="s">
        <v>1421</v>
      </c>
      <c r="B1354" s="2">
        <v>45664</v>
      </c>
      <c r="C1354" t="s">
        <v>38</v>
      </c>
      <c r="D1354" t="s">
        <v>39</v>
      </c>
      <c r="E1354" t="s">
        <v>27</v>
      </c>
      <c r="F1354">
        <v>21.6</v>
      </c>
      <c r="G1354">
        <v>72.599999999999994</v>
      </c>
      <c r="H1354">
        <v>10</v>
      </c>
      <c r="I1354">
        <v>13.7</v>
      </c>
      <c r="J1354">
        <v>1.17</v>
      </c>
      <c r="K1354">
        <v>10.8</v>
      </c>
      <c r="L1354">
        <v>35.799999999999997</v>
      </c>
      <c r="M1354">
        <v>84</v>
      </c>
      <c r="N1354">
        <v>1.4</v>
      </c>
      <c r="O1354">
        <v>133</v>
      </c>
      <c r="P1354" t="s">
        <v>33</v>
      </c>
    </row>
    <row r="1355" spans="1:16" x14ac:dyDescent="0.25">
      <c r="A1355" t="s">
        <v>1422</v>
      </c>
      <c r="B1355" s="2">
        <v>45902</v>
      </c>
      <c r="C1355" t="s">
        <v>35</v>
      </c>
      <c r="D1355" t="s">
        <v>36</v>
      </c>
      <c r="E1355" t="s">
        <v>55</v>
      </c>
      <c r="F1355">
        <v>40.299999999999997</v>
      </c>
      <c r="G1355">
        <v>36.4</v>
      </c>
      <c r="H1355">
        <v>54.5</v>
      </c>
      <c r="I1355">
        <v>3.4</v>
      </c>
      <c r="J1355">
        <v>1.73</v>
      </c>
      <c r="K1355">
        <v>44.7</v>
      </c>
      <c r="L1355">
        <v>23.1</v>
      </c>
      <c r="M1355">
        <v>55.8</v>
      </c>
      <c r="N1355">
        <v>2.8</v>
      </c>
      <c r="O1355">
        <v>197</v>
      </c>
      <c r="P1355" t="s">
        <v>33</v>
      </c>
    </row>
    <row r="1356" spans="1:16" x14ac:dyDescent="0.25">
      <c r="A1356" t="s">
        <v>1423</v>
      </c>
      <c r="B1356" s="2">
        <v>45971</v>
      </c>
      <c r="C1356" t="s">
        <v>30</v>
      </c>
      <c r="D1356" t="s">
        <v>31</v>
      </c>
      <c r="E1356" t="s">
        <v>97</v>
      </c>
      <c r="F1356">
        <v>49.2</v>
      </c>
      <c r="G1356">
        <v>79.2</v>
      </c>
      <c r="H1356">
        <v>33.9</v>
      </c>
      <c r="I1356">
        <v>2.2999999999999998</v>
      </c>
      <c r="J1356">
        <v>0.78</v>
      </c>
      <c r="K1356">
        <v>5.9</v>
      </c>
      <c r="L1356">
        <v>17.3</v>
      </c>
      <c r="M1356">
        <v>74.900000000000006</v>
      </c>
      <c r="N1356">
        <v>2.6</v>
      </c>
      <c r="O1356">
        <v>181</v>
      </c>
      <c r="P1356" t="s">
        <v>33</v>
      </c>
    </row>
    <row r="1357" spans="1:16" x14ac:dyDescent="0.25">
      <c r="A1357" t="s">
        <v>1424</v>
      </c>
      <c r="B1357" s="2">
        <v>46005</v>
      </c>
      <c r="C1357" t="s">
        <v>35</v>
      </c>
      <c r="D1357" t="s">
        <v>36</v>
      </c>
      <c r="E1357" t="s">
        <v>91</v>
      </c>
      <c r="F1357">
        <v>34.1</v>
      </c>
      <c r="G1357">
        <v>77.3</v>
      </c>
      <c r="H1357">
        <v>42.4</v>
      </c>
      <c r="I1357">
        <v>5</v>
      </c>
      <c r="J1357">
        <v>0.77</v>
      </c>
      <c r="K1357">
        <v>48.6</v>
      </c>
      <c r="L1357">
        <v>38.700000000000003</v>
      </c>
      <c r="M1357">
        <v>56.8</v>
      </c>
      <c r="N1357">
        <v>3.1</v>
      </c>
      <c r="O1357">
        <v>183</v>
      </c>
      <c r="P1357" t="s">
        <v>33</v>
      </c>
    </row>
    <row r="1358" spans="1:16" x14ac:dyDescent="0.25">
      <c r="A1358" t="s">
        <v>1425</v>
      </c>
      <c r="B1358" s="2">
        <v>45944</v>
      </c>
      <c r="C1358" t="s">
        <v>52</v>
      </c>
      <c r="D1358" t="s">
        <v>31</v>
      </c>
      <c r="E1358" t="s">
        <v>19</v>
      </c>
      <c r="F1358">
        <v>48.3</v>
      </c>
      <c r="G1358">
        <v>100.7</v>
      </c>
      <c r="H1358">
        <v>44.9</v>
      </c>
      <c r="I1358">
        <v>18.899999999999999</v>
      </c>
      <c r="J1358">
        <v>0.61</v>
      </c>
      <c r="K1358">
        <v>6</v>
      </c>
      <c r="L1358">
        <v>21.8</v>
      </c>
      <c r="M1358">
        <v>59.7</v>
      </c>
      <c r="N1358">
        <v>1</v>
      </c>
      <c r="O1358">
        <v>210</v>
      </c>
      <c r="P1358" t="s">
        <v>28</v>
      </c>
    </row>
    <row r="1359" spans="1:16" x14ac:dyDescent="0.25">
      <c r="A1359" t="s">
        <v>1426</v>
      </c>
      <c r="B1359" s="2">
        <v>45970</v>
      </c>
      <c r="C1359" t="s">
        <v>42</v>
      </c>
      <c r="D1359" t="s">
        <v>23</v>
      </c>
      <c r="E1359" t="s">
        <v>40</v>
      </c>
      <c r="F1359">
        <v>28.9</v>
      </c>
      <c r="G1359">
        <v>59.1</v>
      </c>
      <c r="H1359">
        <v>32.6</v>
      </c>
      <c r="I1359">
        <v>3.5</v>
      </c>
      <c r="J1359">
        <v>0.78</v>
      </c>
      <c r="K1359">
        <v>11.1</v>
      </c>
      <c r="L1359">
        <v>28.4</v>
      </c>
      <c r="M1359">
        <v>75.400000000000006</v>
      </c>
      <c r="N1359">
        <v>2.2000000000000002</v>
      </c>
      <c r="O1359">
        <v>138</v>
      </c>
      <c r="P1359" t="s">
        <v>33</v>
      </c>
    </row>
    <row r="1360" spans="1:16" x14ac:dyDescent="0.25">
      <c r="A1360" t="s">
        <v>1427</v>
      </c>
      <c r="B1360" s="2">
        <v>45662</v>
      </c>
      <c r="C1360" t="s">
        <v>67</v>
      </c>
      <c r="D1360" t="s">
        <v>18</v>
      </c>
      <c r="E1360" t="s">
        <v>74</v>
      </c>
      <c r="F1360">
        <v>23.6</v>
      </c>
      <c r="G1360">
        <v>90.4</v>
      </c>
      <c r="H1360">
        <v>9.6999999999999993</v>
      </c>
      <c r="I1360">
        <v>8.6</v>
      </c>
      <c r="J1360">
        <v>0.14000000000000001</v>
      </c>
      <c r="K1360">
        <v>24.1</v>
      </c>
      <c r="L1360">
        <v>26.7</v>
      </c>
      <c r="M1360">
        <v>61.2</v>
      </c>
      <c r="N1360">
        <v>3</v>
      </c>
      <c r="O1360">
        <v>125</v>
      </c>
      <c r="P1360" t="s">
        <v>33</v>
      </c>
    </row>
    <row r="1361" spans="1:16" x14ac:dyDescent="0.25">
      <c r="A1361" t="s">
        <v>1428</v>
      </c>
      <c r="B1361" s="2">
        <v>45984</v>
      </c>
      <c r="C1361" t="s">
        <v>42</v>
      </c>
      <c r="D1361" t="s">
        <v>23</v>
      </c>
      <c r="E1361" t="s">
        <v>43</v>
      </c>
      <c r="F1361">
        <v>15.4</v>
      </c>
      <c r="G1361">
        <v>29.1</v>
      </c>
      <c r="H1361">
        <v>18.2</v>
      </c>
      <c r="I1361">
        <v>11.3</v>
      </c>
      <c r="J1361">
        <v>1.26</v>
      </c>
      <c r="K1361">
        <v>18.399999999999999</v>
      </c>
      <c r="L1361">
        <v>24.3</v>
      </c>
      <c r="M1361">
        <v>59.1</v>
      </c>
      <c r="N1361">
        <v>1.7</v>
      </c>
      <c r="O1361">
        <v>106</v>
      </c>
      <c r="P1361" t="s">
        <v>33</v>
      </c>
    </row>
    <row r="1362" spans="1:16" x14ac:dyDescent="0.25">
      <c r="A1362" t="s">
        <v>1429</v>
      </c>
      <c r="B1362" s="2">
        <v>45776</v>
      </c>
      <c r="C1362" t="s">
        <v>35</v>
      </c>
      <c r="D1362" t="s">
        <v>36</v>
      </c>
      <c r="E1362" t="s">
        <v>43</v>
      </c>
      <c r="F1362">
        <v>43.6</v>
      </c>
      <c r="G1362">
        <v>88.3</v>
      </c>
      <c r="H1362">
        <v>19</v>
      </c>
      <c r="I1362">
        <v>1.5</v>
      </c>
      <c r="J1362">
        <v>0.44</v>
      </c>
      <c r="K1362">
        <v>23.2</v>
      </c>
      <c r="L1362">
        <v>33.4</v>
      </c>
      <c r="M1362">
        <v>64.599999999999994</v>
      </c>
      <c r="N1362">
        <v>2.5</v>
      </c>
      <c r="O1362">
        <v>165</v>
      </c>
      <c r="P1362" t="s">
        <v>33</v>
      </c>
    </row>
    <row r="1363" spans="1:16" x14ac:dyDescent="0.25">
      <c r="A1363" t="s">
        <v>1430</v>
      </c>
      <c r="B1363" s="2">
        <v>45669</v>
      </c>
      <c r="C1363" t="s">
        <v>64</v>
      </c>
      <c r="D1363" t="s">
        <v>36</v>
      </c>
      <c r="E1363" t="s">
        <v>61</v>
      </c>
      <c r="F1363">
        <v>110.4</v>
      </c>
      <c r="G1363">
        <v>110.6</v>
      </c>
      <c r="H1363">
        <v>15.5</v>
      </c>
      <c r="I1363">
        <v>23.8</v>
      </c>
      <c r="J1363">
        <v>0.16</v>
      </c>
      <c r="K1363">
        <v>16.899999999999999</v>
      </c>
      <c r="L1363">
        <v>28.5</v>
      </c>
      <c r="M1363">
        <v>54.7</v>
      </c>
      <c r="N1363">
        <v>1</v>
      </c>
      <c r="O1363">
        <v>289</v>
      </c>
      <c r="P1363" t="s">
        <v>28</v>
      </c>
    </row>
    <row r="1364" spans="1:16" x14ac:dyDescent="0.25">
      <c r="A1364" t="s">
        <v>1431</v>
      </c>
      <c r="B1364" s="2">
        <v>45658</v>
      </c>
      <c r="C1364" t="s">
        <v>50</v>
      </c>
      <c r="D1364" t="s">
        <v>31</v>
      </c>
      <c r="E1364" t="s">
        <v>55</v>
      </c>
      <c r="F1364">
        <v>86.7</v>
      </c>
      <c r="G1364">
        <v>58.2</v>
      </c>
      <c r="H1364">
        <v>35.200000000000003</v>
      </c>
      <c r="I1364">
        <v>20.7</v>
      </c>
      <c r="J1364">
        <v>0.03</v>
      </c>
      <c r="K1364">
        <v>49.9</v>
      </c>
      <c r="L1364">
        <v>41.3</v>
      </c>
      <c r="M1364">
        <v>83.7</v>
      </c>
      <c r="N1364">
        <v>1.7</v>
      </c>
      <c r="O1364">
        <v>242</v>
      </c>
      <c r="P1364" t="s">
        <v>28</v>
      </c>
    </row>
    <row r="1365" spans="1:16" x14ac:dyDescent="0.25">
      <c r="A1365" t="s">
        <v>1432</v>
      </c>
      <c r="B1365" s="2">
        <v>45979</v>
      </c>
      <c r="C1365" t="s">
        <v>38</v>
      </c>
      <c r="D1365" t="s">
        <v>39</v>
      </c>
      <c r="E1365" t="s">
        <v>24</v>
      </c>
      <c r="F1365">
        <v>114.7</v>
      </c>
      <c r="G1365">
        <v>140.9</v>
      </c>
      <c r="H1365">
        <v>26.5</v>
      </c>
      <c r="I1365">
        <v>13.5</v>
      </c>
      <c r="J1365">
        <v>0.97</v>
      </c>
      <c r="K1365">
        <v>58.1</v>
      </c>
      <c r="L1365">
        <v>21.6</v>
      </c>
      <c r="M1365">
        <v>57.7</v>
      </c>
      <c r="N1365">
        <v>2.8</v>
      </c>
      <c r="O1365">
        <v>356</v>
      </c>
      <c r="P1365" t="s">
        <v>20</v>
      </c>
    </row>
    <row r="1366" spans="1:16" x14ac:dyDescent="0.25">
      <c r="A1366" t="s">
        <v>1433</v>
      </c>
      <c r="B1366" s="2">
        <v>45799</v>
      </c>
      <c r="C1366" t="s">
        <v>50</v>
      </c>
      <c r="D1366" t="s">
        <v>31</v>
      </c>
      <c r="E1366" t="s">
        <v>74</v>
      </c>
      <c r="F1366">
        <v>62.9</v>
      </c>
      <c r="G1366">
        <v>18.2</v>
      </c>
      <c r="H1366">
        <v>48</v>
      </c>
      <c r="I1366">
        <v>14.9</v>
      </c>
      <c r="J1366">
        <v>1.24</v>
      </c>
      <c r="K1366">
        <v>38.299999999999997</v>
      </c>
      <c r="L1366">
        <v>23.3</v>
      </c>
      <c r="M1366">
        <v>55.3</v>
      </c>
      <c r="N1366">
        <v>2.8</v>
      </c>
      <c r="O1366">
        <v>210</v>
      </c>
      <c r="P1366" t="s">
        <v>28</v>
      </c>
    </row>
    <row r="1367" spans="1:16" x14ac:dyDescent="0.25">
      <c r="A1367" t="s">
        <v>1434</v>
      </c>
      <c r="B1367" s="2">
        <v>45898</v>
      </c>
      <c r="C1367" t="s">
        <v>50</v>
      </c>
      <c r="D1367" t="s">
        <v>31</v>
      </c>
      <c r="E1367" t="s">
        <v>24</v>
      </c>
      <c r="F1367">
        <v>26.5</v>
      </c>
      <c r="G1367">
        <v>74</v>
      </c>
      <c r="H1367">
        <v>16.3</v>
      </c>
      <c r="I1367">
        <v>8</v>
      </c>
      <c r="J1367">
        <v>0.41</v>
      </c>
      <c r="K1367">
        <v>40.4</v>
      </c>
      <c r="L1367">
        <v>21.6</v>
      </c>
      <c r="M1367">
        <v>39.5</v>
      </c>
      <c r="N1367">
        <v>3</v>
      </c>
      <c r="O1367">
        <v>138</v>
      </c>
      <c r="P1367" t="s">
        <v>33</v>
      </c>
    </row>
    <row r="1368" spans="1:16" x14ac:dyDescent="0.25">
      <c r="A1368" t="s">
        <v>1435</v>
      </c>
      <c r="B1368" s="2">
        <v>45854</v>
      </c>
      <c r="C1368" t="s">
        <v>30</v>
      </c>
      <c r="D1368" t="s">
        <v>31</v>
      </c>
      <c r="E1368" t="s">
        <v>91</v>
      </c>
      <c r="F1368">
        <v>58.2</v>
      </c>
      <c r="G1368">
        <v>60.1</v>
      </c>
      <c r="H1368">
        <v>36.200000000000003</v>
      </c>
      <c r="I1368">
        <v>3.3</v>
      </c>
      <c r="J1368">
        <v>0.45</v>
      </c>
      <c r="K1368">
        <v>22.7</v>
      </c>
      <c r="L1368">
        <v>23.6</v>
      </c>
      <c r="M1368">
        <v>66.099999999999994</v>
      </c>
      <c r="N1368">
        <v>4.4000000000000004</v>
      </c>
      <c r="O1368">
        <v>185</v>
      </c>
      <c r="P1368" t="s">
        <v>33</v>
      </c>
    </row>
    <row r="1369" spans="1:16" x14ac:dyDescent="0.25">
      <c r="A1369" t="s">
        <v>1436</v>
      </c>
      <c r="B1369" s="2">
        <v>45710</v>
      </c>
      <c r="C1369" t="s">
        <v>77</v>
      </c>
      <c r="D1369" t="s">
        <v>39</v>
      </c>
      <c r="E1369" t="s">
        <v>58</v>
      </c>
      <c r="F1369">
        <v>57.5</v>
      </c>
      <c r="G1369">
        <v>70.900000000000006</v>
      </c>
      <c r="H1369">
        <v>47.2</v>
      </c>
      <c r="I1369">
        <v>4.5999999999999996</v>
      </c>
      <c r="J1369">
        <v>0.04</v>
      </c>
      <c r="K1369">
        <v>5.2</v>
      </c>
      <c r="L1369">
        <v>20.3</v>
      </c>
      <c r="M1369">
        <v>74.2</v>
      </c>
      <c r="N1369">
        <v>2.2000000000000002</v>
      </c>
      <c r="O1369">
        <v>182</v>
      </c>
      <c r="P1369" t="s">
        <v>33</v>
      </c>
    </row>
    <row r="1370" spans="1:16" x14ac:dyDescent="0.25">
      <c r="A1370" t="s">
        <v>1437</v>
      </c>
      <c r="B1370" s="2">
        <v>45993</v>
      </c>
      <c r="C1370" t="s">
        <v>81</v>
      </c>
      <c r="D1370" t="s">
        <v>39</v>
      </c>
      <c r="E1370" t="s">
        <v>91</v>
      </c>
      <c r="F1370">
        <v>28.1</v>
      </c>
      <c r="G1370">
        <v>60.1</v>
      </c>
      <c r="H1370">
        <v>4.5999999999999996</v>
      </c>
      <c r="I1370">
        <v>30.3</v>
      </c>
      <c r="J1370">
        <v>1.18</v>
      </c>
      <c r="K1370">
        <v>24.7</v>
      </c>
      <c r="L1370">
        <v>29</v>
      </c>
      <c r="M1370">
        <v>83.2</v>
      </c>
      <c r="N1370">
        <v>2</v>
      </c>
      <c r="O1370">
        <v>150</v>
      </c>
      <c r="P1370" t="s">
        <v>33</v>
      </c>
    </row>
    <row r="1371" spans="1:16" x14ac:dyDescent="0.25">
      <c r="A1371" t="s">
        <v>1438</v>
      </c>
      <c r="B1371" s="2">
        <v>45688</v>
      </c>
      <c r="C1371" t="s">
        <v>81</v>
      </c>
      <c r="D1371" t="s">
        <v>39</v>
      </c>
      <c r="E1371" t="s">
        <v>74</v>
      </c>
      <c r="F1371">
        <v>24.5</v>
      </c>
      <c r="G1371">
        <v>30.5</v>
      </c>
      <c r="H1371">
        <v>27.4</v>
      </c>
      <c r="I1371">
        <v>13.6</v>
      </c>
      <c r="J1371">
        <v>0.74</v>
      </c>
      <c r="K1371">
        <v>26.3</v>
      </c>
      <c r="L1371">
        <v>26.1</v>
      </c>
      <c r="M1371">
        <v>27.1</v>
      </c>
      <c r="N1371">
        <v>4.5999999999999996</v>
      </c>
      <c r="O1371">
        <v>121</v>
      </c>
      <c r="P1371" t="s">
        <v>33</v>
      </c>
    </row>
    <row r="1372" spans="1:16" x14ac:dyDescent="0.25">
      <c r="A1372" t="s">
        <v>1439</v>
      </c>
      <c r="B1372" s="2">
        <v>45674</v>
      </c>
      <c r="C1372" t="s">
        <v>50</v>
      </c>
      <c r="D1372" t="s">
        <v>31</v>
      </c>
      <c r="E1372" t="s">
        <v>55</v>
      </c>
      <c r="F1372">
        <v>14.3</v>
      </c>
      <c r="G1372">
        <v>55.4</v>
      </c>
      <c r="H1372">
        <v>67.3</v>
      </c>
      <c r="I1372">
        <v>12.7</v>
      </c>
      <c r="J1372">
        <v>1.04</v>
      </c>
      <c r="K1372">
        <v>34.299999999999997</v>
      </c>
      <c r="L1372">
        <v>29.6</v>
      </c>
      <c r="M1372">
        <v>72.5</v>
      </c>
      <c r="N1372">
        <v>2.9</v>
      </c>
      <c r="O1372">
        <v>163</v>
      </c>
      <c r="P1372" t="s">
        <v>33</v>
      </c>
    </row>
    <row r="1373" spans="1:16" x14ac:dyDescent="0.25">
      <c r="A1373" t="s">
        <v>1440</v>
      </c>
      <c r="B1373" s="2">
        <v>45701</v>
      </c>
      <c r="C1373" t="s">
        <v>50</v>
      </c>
      <c r="D1373" t="s">
        <v>31</v>
      </c>
      <c r="E1373" t="s">
        <v>32</v>
      </c>
      <c r="F1373">
        <v>24.3</v>
      </c>
      <c r="G1373">
        <v>13.3</v>
      </c>
      <c r="H1373">
        <v>1.5</v>
      </c>
      <c r="I1373">
        <v>28.8</v>
      </c>
      <c r="J1373">
        <v>0.85</v>
      </c>
      <c r="K1373">
        <v>101.9</v>
      </c>
      <c r="L1373">
        <v>28.3</v>
      </c>
      <c r="M1373">
        <v>89</v>
      </c>
      <c r="N1373">
        <v>1.7</v>
      </c>
      <c r="O1373">
        <v>136</v>
      </c>
      <c r="P1373" t="s">
        <v>33</v>
      </c>
    </row>
    <row r="1374" spans="1:16" x14ac:dyDescent="0.25">
      <c r="A1374" t="s">
        <v>1441</v>
      </c>
      <c r="B1374" s="2">
        <v>45818</v>
      </c>
      <c r="C1374" t="s">
        <v>38</v>
      </c>
      <c r="D1374" t="s">
        <v>39</v>
      </c>
      <c r="E1374" t="s">
        <v>19</v>
      </c>
      <c r="F1374">
        <v>24.5</v>
      </c>
      <c r="G1374">
        <v>82.6</v>
      </c>
      <c r="H1374">
        <v>11.8</v>
      </c>
      <c r="I1374">
        <v>3.2</v>
      </c>
      <c r="J1374">
        <v>0.11</v>
      </c>
      <c r="K1374">
        <v>37.200000000000003</v>
      </c>
      <c r="L1374">
        <v>18.5</v>
      </c>
      <c r="M1374">
        <v>72.2</v>
      </c>
      <c r="N1374">
        <v>2.6</v>
      </c>
      <c r="O1374">
        <v>124</v>
      </c>
      <c r="P1374" t="s">
        <v>33</v>
      </c>
    </row>
    <row r="1375" spans="1:16" x14ac:dyDescent="0.25">
      <c r="A1375" t="s">
        <v>1442</v>
      </c>
      <c r="B1375" s="2">
        <v>45836</v>
      </c>
      <c r="C1375" t="s">
        <v>17</v>
      </c>
      <c r="D1375" t="s">
        <v>18</v>
      </c>
      <c r="E1375" t="s">
        <v>61</v>
      </c>
      <c r="F1375">
        <v>50.9</v>
      </c>
      <c r="G1375">
        <v>83.4</v>
      </c>
      <c r="H1375">
        <v>23.9</v>
      </c>
      <c r="I1375">
        <v>0.5</v>
      </c>
      <c r="J1375">
        <v>0.25</v>
      </c>
      <c r="K1375">
        <v>33.5</v>
      </c>
      <c r="L1375">
        <v>26.2</v>
      </c>
      <c r="M1375">
        <v>75</v>
      </c>
      <c r="N1375">
        <v>2.4</v>
      </c>
      <c r="O1375">
        <v>176</v>
      </c>
      <c r="P1375" t="s">
        <v>33</v>
      </c>
    </row>
    <row r="1376" spans="1:16" x14ac:dyDescent="0.25">
      <c r="A1376" t="s">
        <v>1443</v>
      </c>
      <c r="B1376" s="2">
        <v>45940</v>
      </c>
      <c r="C1376" t="s">
        <v>26</v>
      </c>
      <c r="D1376" t="s">
        <v>23</v>
      </c>
      <c r="E1376" t="s">
        <v>97</v>
      </c>
      <c r="F1376">
        <v>31.6</v>
      </c>
      <c r="G1376">
        <v>60.8</v>
      </c>
      <c r="H1376">
        <v>14.6</v>
      </c>
      <c r="I1376">
        <v>19.899999999999999</v>
      </c>
      <c r="J1376">
        <v>0.56000000000000005</v>
      </c>
      <c r="K1376">
        <v>35.299999999999997</v>
      </c>
      <c r="L1376">
        <v>19.5</v>
      </c>
      <c r="N1376">
        <v>2.7</v>
      </c>
      <c r="O1376">
        <v>146</v>
      </c>
      <c r="P1376" t="s">
        <v>33</v>
      </c>
    </row>
    <row r="1377" spans="1:16" x14ac:dyDescent="0.25">
      <c r="A1377" t="s">
        <v>1444</v>
      </c>
      <c r="B1377" s="2">
        <v>45682</v>
      </c>
      <c r="C1377" t="s">
        <v>38</v>
      </c>
      <c r="D1377" t="s">
        <v>39</v>
      </c>
      <c r="E1377" t="s">
        <v>91</v>
      </c>
      <c r="F1377">
        <v>43.7</v>
      </c>
      <c r="G1377">
        <v>62.4</v>
      </c>
      <c r="H1377">
        <v>27.3</v>
      </c>
      <c r="I1377">
        <v>14.2</v>
      </c>
      <c r="J1377">
        <v>1.27</v>
      </c>
      <c r="K1377">
        <v>80.900000000000006</v>
      </c>
      <c r="L1377">
        <v>19.899999999999999</v>
      </c>
      <c r="M1377">
        <v>53.8</v>
      </c>
      <c r="N1377">
        <v>2.5</v>
      </c>
      <c r="O1377">
        <v>210</v>
      </c>
      <c r="P1377" t="s">
        <v>28</v>
      </c>
    </row>
    <row r="1378" spans="1:16" x14ac:dyDescent="0.25">
      <c r="A1378" t="s">
        <v>1445</v>
      </c>
      <c r="B1378" s="2">
        <v>46017</v>
      </c>
      <c r="C1378" t="s">
        <v>30</v>
      </c>
      <c r="D1378" t="s">
        <v>31</v>
      </c>
      <c r="E1378" t="s">
        <v>926</v>
      </c>
      <c r="F1378">
        <v>65.099999999999994</v>
      </c>
      <c r="G1378">
        <v>95.7</v>
      </c>
      <c r="H1378">
        <v>28.4</v>
      </c>
      <c r="I1378">
        <v>16</v>
      </c>
      <c r="J1378">
        <v>1.44</v>
      </c>
      <c r="K1378">
        <v>34.4</v>
      </c>
      <c r="L1378">
        <v>21.9</v>
      </c>
      <c r="M1378">
        <v>71.5</v>
      </c>
      <c r="N1378">
        <v>2.4</v>
      </c>
      <c r="O1378">
        <v>252</v>
      </c>
      <c r="P1378" t="s">
        <v>28</v>
      </c>
    </row>
    <row r="1379" spans="1:16" x14ac:dyDescent="0.25">
      <c r="A1379" t="s">
        <v>1446</v>
      </c>
      <c r="B1379" s="2">
        <v>45810</v>
      </c>
      <c r="C1379" t="s">
        <v>77</v>
      </c>
      <c r="D1379" t="s">
        <v>39</v>
      </c>
      <c r="E1379" t="s">
        <v>74</v>
      </c>
      <c r="F1379">
        <v>54.7</v>
      </c>
      <c r="G1379">
        <v>66.900000000000006</v>
      </c>
      <c r="H1379">
        <v>41.1</v>
      </c>
      <c r="I1379">
        <v>14.7</v>
      </c>
      <c r="J1379">
        <v>0.26</v>
      </c>
      <c r="K1379">
        <v>21.1</v>
      </c>
      <c r="L1379">
        <v>23.2</v>
      </c>
      <c r="M1379">
        <v>64.5</v>
      </c>
      <c r="N1379">
        <v>2.8</v>
      </c>
      <c r="O1379">
        <v>190</v>
      </c>
      <c r="P1379" t="s">
        <v>33</v>
      </c>
    </row>
    <row r="1380" spans="1:16" x14ac:dyDescent="0.25">
      <c r="A1380" t="s">
        <v>1447</v>
      </c>
      <c r="B1380" s="2">
        <v>45983</v>
      </c>
      <c r="C1380" t="s">
        <v>99</v>
      </c>
      <c r="D1380" t="s">
        <v>36</v>
      </c>
      <c r="E1380" t="s">
        <v>74</v>
      </c>
      <c r="F1380">
        <v>22.1</v>
      </c>
      <c r="G1380">
        <v>58.2</v>
      </c>
      <c r="H1380">
        <v>25.9</v>
      </c>
      <c r="I1380">
        <v>9.4</v>
      </c>
      <c r="J1380">
        <v>1.02</v>
      </c>
      <c r="K1380">
        <v>37.200000000000003</v>
      </c>
      <c r="L1380">
        <v>26.6</v>
      </c>
      <c r="M1380">
        <v>63.6</v>
      </c>
      <c r="N1380">
        <v>3</v>
      </c>
      <c r="O1380">
        <v>143</v>
      </c>
      <c r="P1380" t="s">
        <v>33</v>
      </c>
    </row>
    <row r="1381" spans="1:16" x14ac:dyDescent="0.25">
      <c r="A1381" t="s">
        <v>1448</v>
      </c>
      <c r="B1381" s="2">
        <v>45717</v>
      </c>
      <c r="C1381" t="s">
        <v>54</v>
      </c>
      <c r="D1381" t="s">
        <v>18</v>
      </c>
      <c r="E1381" t="s">
        <v>55</v>
      </c>
      <c r="F1381">
        <v>24.2</v>
      </c>
      <c r="G1381">
        <v>107.8</v>
      </c>
      <c r="H1381">
        <v>57.8</v>
      </c>
      <c r="I1381">
        <v>2.6</v>
      </c>
      <c r="J1381">
        <v>0.93</v>
      </c>
      <c r="K1381">
        <v>17.7</v>
      </c>
      <c r="L1381">
        <v>24.7</v>
      </c>
      <c r="M1381">
        <v>46.1</v>
      </c>
      <c r="N1381">
        <v>1.8</v>
      </c>
      <c r="O1381">
        <v>188</v>
      </c>
      <c r="P1381" t="s">
        <v>33</v>
      </c>
    </row>
    <row r="1382" spans="1:16" x14ac:dyDescent="0.25">
      <c r="A1382" t="s">
        <v>1449</v>
      </c>
      <c r="B1382" s="2">
        <v>45791</v>
      </c>
      <c r="C1382" t="s">
        <v>42</v>
      </c>
      <c r="D1382" t="s">
        <v>23</v>
      </c>
      <c r="E1382" t="s">
        <v>68</v>
      </c>
      <c r="F1382">
        <v>25</v>
      </c>
      <c r="G1382">
        <v>90.2</v>
      </c>
      <c r="H1382">
        <v>26.2</v>
      </c>
      <c r="I1382">
        <v>2.1</v>
      </c>
      <c r="J1382">
        <v>1.19</v>
      </c>
      <c r="K1382">
        <v>31.6</v>
      </c>
      <c r="L1382">
        <v>24.7</v>
      </c>
      <c r="M1382">
        <v>70.900000000000006</v>
      </c>
      <c r="N1382">
        <v>1.4</v>
      </c>
      <c r="O1382">
        <v>165</v>
      </c>
      <c r="P1382" t="s">
        <v>33</v>
      </c>
    </row>
    <row r="1383" spans="1:16" x14ac:dyDescent="0.25">
      <c r="A1383" t="s">
        <v>1450</v>
      </c>
      <c r="B1383" s="2">
        <v>45674</v>
      </c>
      <c r="C1383" t="s">
        <v>42</v>
      </c>
      <c r="D1383" t="s">
        <v>23</v>
      </c>
      <c r="E1383" t="s">
        <v>61</v>
      </c>
      <c r="F1383">
        <v>35.5</v>
      </c>
      <c r="G1383">
        <v>164.1</v>
      </c>
      <c r="H1383">
        <v>12.2</v>
      </c>
      <c r="I1383">
        <v>34.1</v>
      </c>
      <c r="J1383">
        <v>0.91</v>
      </c>
      <c r="K1383">
        <v>42</v>
      </c>
      <c r="L1383">
        <v>28.3</v>
      </c>
      <c r="M1383">
        <v>85.1</v>
      </c>
      <c r="N1383">
        <v>3.4</v>
      </c>
      <c r="O1383">
        <v>239</v>
      </c>
      <c r="P1383" t="s">
        <v>28</v>
      </c>
    </row>
    <row r="1384" spans="1:16" x14ac:dyDescent="0.25">
      <c r="A1384" t="s">
        <v>1451</v>
      </c>
      <c r="B1384" s="2">
        <v>45825</v>
      </c>
      <c r="C1384" t="s">
        <v>38</v>
      </c>
      <c r="D1384" t="s">
        <v>39</v>
      </c>
      <c r="E1384" t="s">
        <v>43</v>
      </c>
      <c r="F1384">
        <v>53.2</v>
      </c>
      <c r="G1384">
        <v>118.8</v>
      </c>
      <c r="H1384">
        <v>13.5</v>
      </c>
      <c r="I1384">
        <v>16.399999999999999</v>
      </c>
      <c r="J1384">
        <v>0.52</v>
      </c>
      <c r="K1384">
        <v>73</v>
      </c>
      <c r="L1384">
        <v>28.4</v>
      </c>
      <c r="M1384">
        <v>60</v>
      </c>
      <c r="N1384">
        <v>1.2</v>
      </c>
      <c r="O1384">
        <v>230</v>
      </c>
      <c r="P1384" t="s">
        <v>28</v>
      </c>
    </row>
    <row r="1385" spans="1:16" x14ac:dyDescent="0.25">
      <c r="A1385" t="s">
        <v>1452</v>
      </c>
      <c r="B1385" s="2">
        <v>45697</v>
      </c>
      <c r="C1385" t="s">
        <v>77</v>
      </c>
      <c r="D1385" t="s">
        <v>39</v>
      </c>
      <c r="E1385" t="s">
        <v>70</v>
      </c>
      <c r="F1385">
        <v>38.299999999999997</v>
      </c>
      <c r="G1385">
        <v>56.7</v>
      </c>
      <c r="H1385">
        <v>16.100000000000001</v>
      </c>
      <c r="I1385">
        <v>3.5</v>
      </c>
      <c r="J1385">
        <v>0.49</v>
      </c>
      <c r="K1385">
        <v>51.7</v>
      </c>
      <c r="L1385">
        <v>29.4</v>
      </c>
      <c r="M1385">
        <v>71.599999999999994</v>
      </c>
      <c r="N1385">
        <v>2.8</v>
      </c>
      <c r="O1385">
        <v>149</v>
      </c>
      <c r="P1385" t="s">
        <v>33</v>
      </c>
    </row>
    <row r="1386" spans="1:16" x14ac:dyDescent="0.25">
      <c r="A1386" t="s">
        <v>1453</v>
      </c>
      <c r="B1386" s="2">
        <v>45817</v>
      </c>
      <c r="C1386" t="s">
        <v>99</v>
      </c>
      <c r="D1386" t="s">
        <v>36</v>
      </c>
      <c r="E1386" t="s">
        <v>97</v>
      </c>
      <c r="F1386">
        <v>129.80000000000001</v>
      </c>
      <c r="G1386">
        <v>53.6</v>
      </c>
      <c r="H1386">
        <v>61</v>
      </c>
      <c r="I1386">
        <v>4.2</v>
      </c>
      <c r="J1386">
        <v>0.44</v>
      </c>
      <c r="K1386">
        <v>36.700000000000003</v>
      </c>
      <c r="L1386">
        <v>23</v>
      </c>
      <c r="M1386">
        <v>62.8</v>
      </c>
      <c r="N1386">
        <v>2</v>
      </c>
      <c r="O1386">
        <v>322</v>
      </c>
      <c r="P1386" t="s">
        <v>20</v>
      </c>
    </row>
    <row r="1387" spans="1:16" x14ac:dyDescent="0.25">
      <c r="A1387" t="s">
        <v>1454</v>
      </c>
      <c r="B1387" s="2">
        <v>45690</v>
      </c>
      <c r="C1387" t="s">
        <v>50</v>
      </c>
      <c r="D1387" t="s">
        <v>31</v>
      </c>
      <c r="E1387" t="s">
        <v>70</v>
      </c>
      <c r="F1387">
        <v>51.4</v>
      </c>
      <c r="G1387">
        <v>103.3</v>
      </c>
      <c r="H1387">
        <v>12.5</v>
      </c>
      <c r="I1387">
        <v>11.6</v>
      </c>
      <c r="J1387">
        <v>0.38</v>
      </c>
      <c r="K1387">
        <v>35.799999999999997</v>
      </c>
      <c r="L1387">
        <v>14</v>
      </c>
      <c r="M1387">
        <v>59</v>
      </c>
      <c r="N1387">
        <v>3.2</v>
      </c>
      <c r="O1387">
        <v>193</v>
      </c>
      <c r="P1387" t="s">
        <v>33</v>
      </c>
    </row>
    <row r="1388" spans="1:16" x14ac:dyDescent="0.25">
      <c r="A1388" t="s">
        <v>1455</v>
      </c>
      <c r="B1388" s="2">
        <v>45820</v>
      </c>
      <c r="C1388" t="s">
        <v>30</v>
      </c>
      <c r="D1388" t="s">
        <v>31</v>
      </c>
      <c r="E1388" t="s">
        <v>70</v>
      </c>
      <c r="F1388">
        <v>32.1</v>
      </c>
      <c r="G1388">
        <v>155.6</v>
      </c>
      <c r="H1388">
        <v>17.399999999999999</v>
      </c>
      <c r="I1388">
        <v>4.5999999999999996</v>
      </c>
      <c r="J1388">
        <v>0.51</v>
      </c>
      <c r="K1388">
        <v>54.9</v>
      </c>
      <c r="L1388">
        <v>15.8</v>
      </c>
      <c r="M1388">
        <v>22.8</v>
      </c>
      <c r="N1388">
        <v>2.8</v>
      </c>
      <c r="O1388">
        <v>207</v>
      </c>
      <c r="P1388" t="s">
        <v>28</v>
      </c>
    </row>
    <row r="1389" spans="1:16" x14ac:dyDescent="0.25">
      <c r="A1389" t="s">
        <v>1456</v>
      </c>
      <c r="B1389" s="2">
        <v>45986</v>
      </c>
      <c r="C1389" t="s">
        <v>99</v>
      </c>
      <c r="D1389" t="s">
        <v>36</v>
      </c>
      <c r="E1389" t="s">
        <v>97</v>
      </c>
      <c r="F1389">
        <v>30.9</v>
      </c>
      <c r="G1389">
        <v>125.7</v>
      </c>
      <c r="H1389">
        <v>29.9</v>
      </c>
      <c r="I1389">
        <v>5.0999999999999996</v>
      </c>
      <c r="J1389">
        <v>0.82</v>
      </c>
      <c r="K1389">
        <v>71.400000000000006</v>
      </c>
      <c r="L1389">
        <v>26.3</v>
      </c>
      <c r="M1389">
        <v>53.3</v>
      </c>
      <c r="N1389">
        <v>2</v>
      </c>
      <c r="O1389">
        <v>211</v>
      </c>
      <c r="P1389" t="s">
        <v>28</v>
      </c>
    </row>
    <row r="1390" spans="1:16" x14ac:dyDescent="0.25">
      <c r="A1390" t="s">
        <v>1457</v>
      </c>
      <c r="B1390" s="2">
        <v>45665</v>
      </c>
      <c r="C1390" t="s">
        <v>64</v>
      </c>
      <c r="D1390" t="s">
        <v>36</v>
      </c>
      <c r="E1390" t="s">
        <v>24</v>
      </c>
      <c r="F1390">
        <v>55.7</v>
      </c>
      <c r="G1390">
        <v>81.7</v>
      </c>
      <c r="H1390">
        <v>22.1</v>
      </c>
      <c r="I1390">
        <v>16.399999999999999</v>
      </c>
      <c r="J1390">
        <v>1.2</v>
      </c>
      <c r="K1390">
        <v>28.9</v>
      </c>
      <c r="L1390">
        <v>20.2</v>
      </c>
      <c r="M1390">
        <v>68.7</v>
      </c>
      <c r="N1390">
        <v>2</v>
      </c>
      <c r="O1390">
        <v>214</v>
      </c>
      <c r="P1390" t="s">
        <v>28</v>
      </c>
    </row>
    <row r="1391" spans="1:16" x14ac:dyDescent="0.25">
      <c r="A1391" t="s">
        <v>1458</v>
      </c>
      <c r="B1391" s="2">
        <v>45898</v>
      </c>
      <c r="C1391" t="s">
        <v>52</v>
      </c>
      <c r="D1391" t="s">
        <v>31</v>
      </c>
      <c r="E1391" t="s">
        <v>40</v>
      </c>
      <c r="F1391">
        <v>17.8</v>
      </c>
      <c r="G1391">
        <v>86.1</v>
      </c>
      <c r="H1391">
        <v>40.9</v>
      </c>
      <c r="I1391">
        <v>17.5</v>
      </c>
      <c r="J1391">
        <v>2.17</v>
      </c>
      <c r="K1391">
        <v>31.3</v>
      </c>
      <c r="L1391">
        <v>26.3</v>
      </c>
      <c r="M1391">
        <v>67.099999999999994</v>
      </c>
      <c r="N1391">
        <v>0.7</v>
      </c>
      <c r="O1391">
        <v>198</v>
      </c>
      <c r="P1391" t="s">
        <v>33</v>
      </c>
    </row>
    <row r="1392" spans="1:16" x14ac:dyDescent="0.25">
      <c r="A1392" t="s">
        <v>1459</v>
      </c>
      <c r="B1392" s="2">
        <v>45858</v>
      </c>
      <c r="C1392" t="s">
        <v>38</v>
      </c>
      <c r="D1392" t="s">
        <v>39</v>
      </c>
      <c r="E1392" t="s">
        <v>74</v>
      </c>
      <c r="F1392">
        <v>96.2</v>
      </c>
      <c r="G1392">
        <v>63</v>
      </c>
      <c r="H1392">
        <v>13.6</v>
      </c>
      <c r="I1392">
        <v>30.6</v>
      </c>
      <c r="J1392">
        <v>1.43</v>
      </c>
      <c r="K1392">
        <v>37.700000000000003</v>
      </c>
      <c r="L1392">
        <v>34</v>
      </c>
      <c r="M1392">
        <v>66.099999999999994</v>
      </c>
      <c r="N1392">
        <v>4</v>
      </c>
      <c r="O1392">
        <v>280</v>
      </c>
      <c r="P1392" t="s">
        <v>28</v>
      </c>
    </row>
    <row r="1393" spans="1:16" x14ac:dyDescent="0.25">
      <c r="A1393" t="s">
        <v>1460</v>
      </c>
      <c r="B1393" s="2">
        <v>45891</v>
      </c>
      <c r="C1393" t="s">
        <v>17</v>
      </c>
      <c r="D1393" t="s">
        <v>18</v>
      </c>
      <c r="E1393" t="s">
        <v>45</v>
      </c>
      <c r="F1393">
        <v>74.5</v>
      </c>
      <c r="G1393">
        <v>120.8</v>
      </c>
      <c r="H1393">
        <v>25.1</v>
      </c>
      <c r="I1393">
        <v>12.3</v>
      </c>
      <c r="J1393">
        <v>1</v>
      </c>
      <c r="K1393">
        <v>31.7</v>
      </c>
      <c r="L1393">
        <v>27.2</v>
      </c>
      <c r="M1393">
        <v>54.4</v>
      </c>
      <c r="N1393">
        <v>2.9</v>
      </c>
      <c r="O1393">
        <v>266</v>
      </c>
      <c r="P1393" t="s">
        <v>28</v>
      </c>
    </row>
    <row r="1394" spans="1:16" x14ac:dyDescent="0.25">
      <c r="A1394" t="s">
        <v>1461</v>
      </c>
      <c r="B1394" s="2">
        <v>45705</v>
      </c>
      <c r="C1394" t="s">
        <v>93</v>
      </c>
      <c r="D1394" t="s">
        <v>36</v>
      </c>
      <c r="E1394" t="s">
        <v>70</v>
      </c>
      <c r="F1394">
        <v>47</v>
      </c>
      <c r="G1394">
        <v>150.5</v>
      </c>
      <c r="H1394">
        <v>20.8</v>
      </c>
      <c r="I1394">
        <v>3.8</v>
      </c>
      <c r="J1394">
        <v>0.13</v>
      </c>
      <c r="K1394">
        <v>14.6</v>
      </c>
      <c r="L1394">
        <v>18.899999999999999</v>
      </c>
      <c r="M1394">
        <v>59.6</v>
      </c>
      <c r="N1394">
        <v>1.3</v>
      </c>
      <c r="O1394">
        <v>202</v>
      </c>
      <c r="P1394" t="s">
        <v>28</v>
      </c>
    </row>
    <row r="1395" spans="1:16" x14ac:dyDescent="0.25">
      <c r="A1395" t="s">
        <v>1462</v>
      </c>
      <c r="B1395" s="2">
        <v>46015</v>
      </c>
      <c r="C1395" t="s">
        <v>50</v>
      </c>
      <c r="D1395" t="s">
        <v>31</v>
      </c>
      <c r="E1395" t="s">
        <v>19</v>
      </c>
      <c r="F1395">
        <v>29.6</v>
      </c>
      <c r="G1395">
        <v>130.5</v>
      </c>
      <c r="H1395">
        <v>17.8</v>
      </c>
      <c r="I1395">
        <v>14.4</v>
      </c>
      <c r="J1395">
        <v>0.05</v>
      </c>
      <c r="K1395">
        <v>48.2</v>
      </c>
      <c r="L1395">
        <v>23.2</v>
      </c>
      <c r="M1395">
        <v>67.5</v>
      </c>
      <c r="N1395">
        <v>3.4</v>
      </c>
      <c r="O1395">
        <v>179</v>
      </c>
      <c r="P1395" t="s">
        <v>33</v>
      </c>
    </row>
    <row r="1396" spans="1:16" x14ac:dyDescent="0.25">
      <c r="A1396" t="s">
        <v>1463</v>
      </c>
      <c r="B1396" s="2">
        <v>45920</v>
      </c>
      <c r="C1396" t="s">
        <v>52</v>
      </c>
      <c r="D1396" t="s">
        <v>31</v>
      </c>
      <c r="E1396" t="s">
        <v>43</v>
      </c>
      <c r="F1396">
        <v>79.2</v>
      </c>
      <c r="G1396">
        <v>62.1</v>
      </c>
      <c r="H1396">
        <v>9.3000000000000007</v>
      </c>
      <c r="I1396">
        <v>9.5</v>
      </c>
      <c r="J1396">
        <v>0.81</v>
      </c>
      <c r="K1396">
        <v>32.299999999999997</v>
      </c>
      <c r="L1396">
        <v>23.6</v>
      </c>
      <c r="M1396">
        <v>93.4</v>
      </c>
      <c r="N1396">
        <v>2.7</v>
      </c>
      <c r="O1396">
        <v>216</v>
      </c>
      <c r="P1396" t="s">
        <v>28</v>
      </c>
    </row>
    <row r="1397" spans="1:16" x14ac:dyDescent="0.25">
      <c r="A1397" t="s">
        <v>1464</v>
      </c>
      <c r="B1397" s="2">
        <v>45861</v>
      </c>
      <c r="C1397" t="s">
        <v>81</v>
      </c>
      <c r="D1397" t="s">
        <v>39</v>
      </c>
      <c r="E1397" t="s">
        <v>55</v>
      </c>
      <c r="F1397">
        <v>40.5</v>
      </c>
      <c r="G1397">
        <v>73.599999999999994</v>
      </c>
      <c r="H1397">
        <v>47.2</v>
      </c>
      <c r="I1397">
        <v>5.2</v>
      </c>
      <c r="J1397">
        <v>1.06</v>
      </c>
      <c r="K1397">
        <v>15.2</v>
      </c>
      <c r="L1397">
        <v>25.5</v>
      </c>
      <c r="M1397">
        <v>56.3</v>
      </c>
      <c r="N1397">
        <v>2.9</v>
      </c>
      <c r="O1397">
        <v>187</v>
      </c>
      <c r="P1397" t="s">
        <v>33</v>
      </c>
    </row>
    <row r="1398" spans="1:16" x14ac:dyDescent="0.25">
      <c r="A1398" t="s">
        <v>1465</v>
      </c>
      <c r="B1398" s="2">
        <v>45716</v>
      </c>
      <c r="C1398" t="s">
        <v>67</v>
      </c>
      <c r="D1398" t="s">
        <v>18</v>
      </c>
      <c r="E1398" t="s">
        <v>91</v>
      </c>
      <c r="F1398">
        <v>51.8</v>
      </c>
      <c r="G1398">
        <v>114.1</v>
      </c>
      <c r="H1398">
        <v>16.8</v>
      </c>
      <c r="I1398">
        <v>10.4</v>
      </c>
      <c r="J1398">
        <v>0.28000000000000003</v>
      </c>
      <c r="K1398">
        <v>25.5</v>
      </c>
      <c r="L1398">
        <v>14.2</v>
      </c>
      <c r="M1398">
        <v>49.9</v>
      </c>
      <c r="N1398">
        <v>3.5</v>
      </c>
      <c r="O1398">
        <v>196</v>
      </c>
      <c r="P1398" t="s">
        <v>33</v>
      </c>
    </row>
    <row r="1399" spans="1:16" x14ac:dyDescent="0.25">
      <c r="A1399" t="s">
        <v>1466</v>
      </c>
      <c r="B1399" s="2">
        <v>45998</v>
      </c>
      <c r="C1399" t="s">
        <v>52</v>
      </c>
      <c r="D1399" t="s">
        <v>31</v>
      </c>
      <c r="E1399" t="s">
        <v>45</v>
      </c>
      <c r="F1399">
        <v>69.900000000000006</v>
      </c>
      <c r="G1399">
        <v>74.3</v>
      </c>
      <c r="H1399">
        <v>13</v>
      </c>
      <c r="I1399">
        <v>10.4</v>
      </c>
      <c r="J1399">
        <v>1.56</v>
      </c>
      <c r="K1399">
        <v>31.6</v>
      </c>
      <c r="L1399">
        <v>28.7</v>
      </c>
      <c r="M1399">
        <v>53.3</v>
      </c>
      <c r="N1399">
        <v>4.8</v>
      </c>
      <c r="O1399">
        <v>231</v>
      </c>
      <c r="P1399" t="s">
        <v>28</v>
      </c>
    </row>
    <row r="1400" spans="1:16" x14ac:dyDescent="0.25">
      <c r="A1400" t="s">
        <v>1467</v>
      </c>
      <c r="B1400" s="2">
        <v>45739</v>
      </c>
      <c r="C1400" t="s">
        <v>54</v>
      </c>
      <c r="D1400" t="s">
        <v>18</v>
      </c>
      <c r="E1400" t="s">
        <v>40</v>
      </c>
      <c r="F1400">
        <v>191.8</v>
      </c>
      <c r="G1400">
        <v>97.9</v>
      </c>
      <c r="H1400">
        <v>18.8</v>
      </c>
      <c r="I1400">
        <v>16.600000000000001</v>
      </c>
      <c r="J1400">
        <v>0.61</v>
      </c>
      <c r="K1400">
        <v>10.3</v>
      </c>
      <c r="L1400">
        <v>18.7</v>
      </c>
      <c r="M1400">
        <v>59.4</v>
      </c>
      <c r="N1400">
        <v>2.1</v>
      </c>
      <c r="O1400">
        <v>417</v>
      </c>
      <c r="P1400" t="s">
        <v>20</v>
      </c>
    </row>
    <row r="1401" spans="1:16" x14ac:dyDescent="0.25">
      <c r="A1401" t="s">
        <v>1468</v>
      </c>
      <c r="B1401" s="2">
        <v>45896</v>
      </c>
      <c r="C1401" t="s">
        <v>52</v>
      </c>
      <c r="D1401" t="s">
        <v>31</v>
      </c>
      <c r="E1401" t="s">
        <v>91</v>
      </c>
      <c r="F1401">
        <v>122</v>
      </c>
      <c r="G1401">
        <v>153.69999999999999</v>
      </c>
      <c r="H1401">
        <v>5.3</v>
      </c>
      <c r="I1401">
        <v>18.5</v>
      </c>
      <c r="J1401">
        <v>1.1100000000000001</v>
      </c>
      <c r="K1401">
        <v>36.799999999999997</v>
      </c>
      <c r="L1401">
        <v>26.1</v>
      </c>
      <c r="M1401">
        <v>65.8</v>
      </c>
      <c r="N1401">
        <v>1.9</v>
      </c>
      <c r="O1401">
        <v>357</v>
      </c>
      <c r="P1401" t="s">
        <v>20</v>
      </c>
    </row>
    <row r="1402" spans="1:16" x14ac:dyDescent="0.25">
      <c r="A1402" t="s">
        <v>1469</v>
      </c>
      <c r="B1402" s="2">
        <v>45726</v>
      </c>
      <c r="C1402" t="s">
        <v>64</v>
      </c>
      <c r="D1402" t="s">
        <v>36</v>
      </c>
      <c r="E1402" t="s">
        <v>27</v>
      </c>
      <c r="F1402">
        <v>15.3</v>
      </c>
      <c r="G1402">
        <v>51.9</v>
      </c>
      <c r="H1402">
        <v>11.9</v>
      </c>
      <c r="I1402">
        <v>16.100000000000001</v>
      </c>
      <c r="J1402">
        <v>0.49</v>
      </c>
      <c r="K1402">
        <v>19.7</v>
      </c>
      <c r="L1402">
        <v>25.6</v>
      </c>
      <c r="M1402">
        <v>55.5</v>
      </c>
      <c r="N1402">
        <v>1.2</v>
      </c>
      <c r="O1402">
        <v>100</v>
      </c>
      <c r="P1402" t="s">
        <v>71</v>
      </c>
    </row>
    <row r="1403" spans="1:16" x14ac:dyDescent="0.25">
      <c r="A1403" t="s">
        <v>1470</v>
      </c>
      <c r="B1403" s="2">
        <v>45821</v>
      </c>
      <c r="C1403" t="s">
        <v>99</v>
      </c>
      <c r="D1403" t="s">
        <v>36</v>
      </c>
      <c r="E1403" t="s">
        <v>19</v>
      </c>
      <c r="F1403">
        <v>15.2</v>
      </c>
      <c r="G1403">
        <v>26.5</v>
      </c>
      <c r="H1403">
        <v>41.1</v>
      </c>
      <c r="I1403">
        <v>8.5</v>
      </c>
      <c r="J1403">
        <v>1.24</v>
      </c>
      <c r="K1403">
        <v>40.1</v>
      </c>
      <c r="L1403">
        <v>25.7</v>
      </c>
      <c r="M1403">
        <v>78.099999999999994</v>
      </c>
      <c r="N1403">
        <v>4.2</v>
      </c>
      <c r="O1403">
        <v>129</v>
      </c>
      <c r="P1403" t="s">
        <v>33</v>
      </c>
    </row>
    <row r="1404" spans="1:16" x14ac:dyDescent="0.25">
      <c r="A1404" t="s">
        <v>1471</v>
      </c>
      <c r="B1404" s="2">
        <v>45667</v>
      </c>
      <c r="C1404" t="s">
        <v>54</v>
      </c>
      <c r="D1404" t="s">
        <v>18</v>
      </c>
      <c r="E1404" t="s">
        <v>45</v>
      </c>
      <c r="F1404">
        <v>45.1</v>
      </c>
      <c r="G1404">
        <v>70.8</v>
      </c>
      <c r="H1404">
        <v>14.9</v>
      </c>
      <c r="I1404">
        <v>6.6</v>
      </c>
      <c r="J1404">
        <v>0.45</v>
      </c>
      <c r="K1404">
        <v>22.2</v>
      </c>
      <c r="L1404">
        <v>39.1</v>
      </c>
      <c r="M1404">
        <v>38.799999999999997</v>
      </c>
      <c r="N1404">
        <v>1.3</v>
      </c>
      <c r="O1404">
        <v>156</v>
      </c>
      <c r="P1404" t="s">
        <v>33</v>
      </c>
    </row>
    <row r="1405" spans="1:16" x14ac:dyDescent="0.25">
      <c r="A1405" t="s">
        <v>1472</v>
      </c>
      <c r="B1405" s="2">
        <v>45913</v>
      </c>
      <c r="C1405" t="s">
        <v>26</v>
      </c>
      <c r="D1405" t="s">
        <v>23</v>
      </c>
      <c r="E1405" t="s">
        <v>61</v>
      </c>
      <c r="F1405">
        <v>49.1</v>
      </c>
      <c r="G1405">
        <v>148.5</v>
      </c>
      <c r="H1405">
        <v>53.9</v>
      </c>
      <c r="I1405">
        <v>7</v>
      </c>
      <c r="J1405">
        <v>1.1499999999999999</v>
      </c>
      <c r="K1405">
        <v>38.5</v>
      </c>
      <c r="L1405">
        <v>21.8</v>
      </c>
      <c r="M1405">
        <v>50</v>
      </c>
      <c r="N1405">
        <v>2.8</v>
      </c>
      <c r="O1405">
        <v>269</v>
      </c>
      <c r="P1405" t="s">
        <v>28</v>
      </c>
    </row>
    <row r="1406" spans="1:16" x14ac:dyDescent="0.25">
      <c r="A1406" t="s">
        <v>1473</v>
      </c>
      <c r="B1406" s="2">
        <v>45962</v>
      </c>
      <c r="C1406" t="s">
        <v>54</v>
      </c>
      <c r="D1406" t="s">
        <v>18</v>
      </c>
      <c r="E1406" t="s">
        <v>70</v>
      </c>
      <c r="F1406">
        <v>40.4</v>
      </c>
      <c r="G1406">
        <v>72.3</v>
      </c>
      <c r="H1406">
        <v>12</v>
      </c>
      <c r="I1406">
        <v>26.8</v>
      </c>
      <c r="J1406">
        <v>0.15</v>
      </c>
      <c r="K1406">
        <v>49.5</v>
      </c>
      <c r="L1406">
        <v>29.1</v>
      </c>
      <c r="M1406">
        <v>70.400000000000006</v>
      </c>
      <c r="N1406">
        <v>1.4</v>
      </c>
      <c r="O1406">
        <v>166</v>
      </c>
      <c r="P1406" t="s">
        <v>33</v>
      </c>
    </row>
    <row r="1407" spans="1:16" x14ac:dyDescent="0.25">
      <c r="A1407" t="s">
        <v>1474</v>
      </c>
      <c r="B1407" s="2">
        <v>45815</v>
      </c>
      <c r="C1407" t="s">
        <v>67</v>
      </c>
      <c r="D1407" t="s">
        <v>18</v>
      </c>
      <c r="E1407" t="s">
        <v>40</v>
      </c>
      <c r="F1407">
        <v>93.2</v>
      </c>
      <c r="G1407">
        <v>108.9</v>
      </c>
      <c r="H1407">
        <v>6.2</v>
      </c>
      <c r="I1407">
        <v>9.6999999999999993</v>
      </c>
      <c r="J1407">
        <v>0.93</v>
      </c>
      <c r="K1407">
        <v>27.3</v>
      </c>
      <c r="L1407">
        <v>26.8</v>
      </c>
      <c r="M1407">
        <v>74.900000000000006</v>
      </c>
      <c r="N1407">
        <v>1.8</v>
      </c>
      <c r="O1407">
        <v>267</v>
      </c>
      <c r="P1407" t="s">
        <v>28</v>
      </c>
    </row>
    <row r="1408" spans="1:16" x14ac:dyDescent="0.25">
      <c r="A1408" t="s">
        <v>1475</v>
      </c>
      <c r="B1408" s="2">
        <v>45956</v>
      </c>
      <c r="C1408" t="s">
        <v>17</v>
      </c>
      <c r="D1408" t="s">
        <v>18</v>
      </c>
      <c r="E1408" t="s">
        <v>24</v>
      </c>
      <c r="F1408">
        <v>53.3</v>
      </c>
      <c r="G1408">
        <v>133.6</v>
      </c>
      <c r="H1408">
        <v>56.5</v>
      </c>
      <c r="I1408">
        <v>6</v>
      </c>
      <c r="J1408">
        <v>0.23</v>
      </c>
      <c r="K1408">
        <v>47</v>
      </c>
      <c r="L1408">
        <v>34.1</v>
      </c>
      <c r="M1408">
        <v>34.9</v>
      </c>
      <c r="N1408">
        <v>3</v>
      </c>
      <c r="O1408">
        <v>248</v>
      </c>
      <c r="P1408" t="s">
        <v>28</v>
      </c>
    </row>
    <row r="1409" spans="1:16" x14ac:dyDescent="0.25">
      <c r="A1409" t="s">
        <v>1476</v>
      </c>
      <c r="B1409" s="2">
        <v>45728</v>
      </c>
      <c r="C1409" t="s">
        <v>38</v>
      </c>
      <c r="D1409" t="s">
        <v>39</v>
      </c>
      <c r="E1409" t="s">
        <v>68</v>
      </c>
      <c r="F1409">
        <v>29.7</v>
      </c>
      <c r="G1409">
        <v>81.099999999999994</v>
      </c>
      <c r="H1409">
        <v>8.9</v>
      </c>
      <c r="I1409">
        <v>12.5</v>
      </c>
      <c r="J1409">
        <v>0.8</v>
      </c>
      <c r="K1409">
        <v>68.099999999999994</v>
      </c>
      <c r="L1409">
        <v>20.5</v>
      </c>
      <c r="M1409">
        <v>98</v>
      </c>
      <c r="N1409">
        <v>1.3</v>
      </c>
      <c r="O1409">
        <v>167</v>
      </c>
      <c r="P1409" t="s">
        <v>33</v>
      </c>
    </row>
    <row r="1410" spans="1:16" x14ac:dyDescent="0.25">
      <c r="A1410" t="s">
        <v>1477</v>
      </c>
      <c r="B1410" s="2">
        <v>45675</v>
      </c>
      <c r="C1410" t="s">
        <v>30</v>
      </c>
      <c r="D1410" t="s">
        <v>31</v>
      </c>
      <c r="E1410" t="s">
        <v>68</v>
      </c>
      <c r="F1410">
        <v>141.6</v>
      </c>
      <c r="G1410">
        <v>37.5</v>
      </c>
      <c r="H1410">
        <v>6</v>
      </c>
      <c r="I1410">
        <v>9.1999999999999993</v>
      </c>
      <c r="J1410">
        <v>0.48</v>
      </c>
      <c r="K1410">
        <v>17.600000000000001</v>
      </c>
      <c r="L1410">
        <v>31.7</v>
      </c>
      <c r="M1410">
        <v>58.3</v>
      </c>
      <c r="N1410">
        <v>3.3</v>
      </c>
      <c r="O1410">
        <v>282</v>
      </c>
      <c r="P1410" t="s">
        <v>28</v>
      </c>
    </row>
    <row r="1411" spans="1:16" x14ac:dyDescent="0.25">
      <c r="A1411" t="s">
        <v>1478</v>
      </c>
      <c r="B1411" s="2">
        <v>45678</v>
      </c>
      <c r="C1411" t="s">
        <v>64</v>
      </c>
      <c r="D1411" t="s">
        <v>36</v>
      </c>
      <c r="E1411" t="s">
        <v>55</v>
      </c>
      <c r="F1411">
        <v>105.5</v>
      </c>
      <c r="G1411">
        <v>86.8</v>
      </c>
      <c r="H1411">
        <v>15.6</v>
      </c>
      <c r="I1411">
        <v>3.4</v>
      </c>
      <c r="J1411">
        <v>1.39</v>
      </c>
      <c r="K1411">
        <v>50.8</v>
      </c>
      <c r="L1411">
        <v>21.9</v>
      </c>
      <c r="M1411">
        <v>68.5</v>
      </c>
      <c r="N1411">
        <v>0.8</v>
      </c>
      <c r="O1411">
        <v>298</v>
      </c>
      <c r="P1411" t="s">
        <v>28</v>
      </c>
    </row>
    <row r="1412" spans="1:16" x14ac:dyDescent="0.25">
      <c r="A1412" t="s">
        <v>1479</v>
      </c>
      <c r="B1412" s="2">
        <v>45670</v>
      </c>
      <c r="C1412" t="s">
        <v>22</v>
      </c>
      <c r="D1412" t="s">
        <v>23</v>
      </c>
      <c r="E1412" t="s">
        <v>61</v>
      </c>
      <c r="F1412">
        <v>52.7</v>
      </c>
      <c r="G1412">
        <v>75.7</v>
      </c>
      <c r="H1412">
        <v>49</v>
      </c>
      <c r="I1412">
        <v>8.4</v>
      </c>
      <c r="J1412">
        <v>0.62</v>
      </c>
      <c r="K1412">
        <v>46.2</v>
      </c>
      <c r="L1412">
        <v>13.4</v>
      </c>
      <c r="M1412">
        <v>36.4</v>
      </c>
      <c r="N1412">
        <v>3.6</v>
      </c>
      <c r="O1412">
        <v>215</v>
      </c>
      <c r="P1412" t="s">
        <v>28</v>
      </c>
    </row>
    <row r="1413" spans="1:16" x14ac:dyDescent="0.25">
      <c r="A1413" t="s">
        <v>1480</v>
      </c>
      <c r="B1413" s="2">
        <v>45995</v>
      </c>
      <c r="C1413" t="s">
        <v>64</v>
      </c>
      <c r="D1413" t="s">
        <v>36</v>
      </c>
      <c r="E1413" t="s">
        <v>40</v>
      </c>
      <c r="F1413">
        <v>39.700000000000003</v>
      </c>
      <c r="G1413">
        <v>87</v>
      </c>
      <c r="H1413">
        <v>35.9</v>
      </c>
      <c r="I1413">
        <v>29.1</v>
      </c>
      <c r="J1413">
        <v>1.55</v>
      </c>
      <c r="K1413">
        <v>16.8</v>
      </c>
      <c r="L1413">
        <v>12.3</v>
      </c>
      <c r="M1413">
        <v>36.6</v>
      </c>
      <c r="N1413">
        <v>2.9</v>
      </c>
      <c r="O1413">
        <v>215</v>
      </c>
      <c r="P1413" t="s">
        <v>28</v>
      </c>
    </row>
    <row r="1414" spans="1:16" x14ac:dyDescent="0.25">
      <c r="A1414" t="s">
        <v>1481</v>
      </c>
      <c r="B1414" s="2">
        <v>45857</v>
      </c>
      <c r="C1414" t="s">
        <v>54</v>
      </c>
      <c r="D1414" t="s">
        <v>18</v>
      </c>
      <c r="E1414" t="s">
        <v>61</v>
      </c>
      <c r="F1414">
        <v>66.599999999999994</v>
      </c>
      <c r="G1414">
        <v>68.099999999999994</v>
      </c>
      <c r="H1414">
        <v>19.5</v>
      </c>
      <c r="I1414">
        <v>13.6</v>
      </c>
      <c r="J1414">
        <v>0.42</v>
      </c>
      <c r="K1414">
        <v>37.299999999999997</v>
      </c>
      <c r="L1414">
        <v>30.4</v>
      </c>
      <c r="M1414">
        <v>53.1</v>
      </c>
      <c r="N1414">
        <v>3.8</v>
      </c>
      <c r="O1414">
        <v>203</v>
      </c>
      <c r="P1414" t="s">
        <v>28</v>
      </c>
    </row>
    <row r="1415" spans="1:16" x14ac:dyDescent="0.25">
      <c r="A1415" t="s">
        <v>1482</v>
      </c>
      <c r="B1415" s="2">
        <v>45791</v>
      </c>
      <c r="C1415" t="s">
        <v>99</v>
      </c>
      <c r="D1415" t="s">
        <v>36</v>
      </c>
      <c r="E1415" t="s">
        <v>32</v>
      </c>
      <c r="F1415">
        <v>28.6</v>
      </c>
      <c r="G1415">
        <v>83.4</v>
      </c>
      <c r="H1415">
        <v>37.200000000000003</v>
      </c>
      <c r="I1415">
        <v>4.2</v>
      </c>
      <c r="J1415">
        <v>1.56</v>
      </c>
      <c r="K1415">
        <v>19.100000000000001</v>
      </c>
      <c r="L1415">
        <v>18.8</v>
      </c>
      <c r="M1415">
        <v>50.2</v>
      </c>
      <c r="N1415">
        <v>1.5</v>
      </c>
      <c r="O1415">
        <v>180</v>
      </c>
      <c r="P1415" t="s">
        <v>33</v>
      </c>
    </row>
    <row r="1416" spans="1:16" x14ac:dyDescent="0.25">
      <c r="A1416" t="s">
        <v>1483</v>
      </c>
      <c r="B1416" s="2">
        <v>45747</v>
      </c>
      <c r="C1416" t="s">
        <v>52</v>
      </c>
      <c r="D1416" t="s">
        <v>31</v>
      </c>
      <c r="E1416" t="s">
        <v>74</v>
      </c>
      <c r="F1416">
        <v>63.3</v>
      </c>
      <c r="G1416">
        <v>137.9</v>
      </c>
      <c r="H1416">
        <v>7.8</v>
      </c>
      <c r="I1416">
        <v>12.8</v>
      </c>
      <c r="J1416">
        <v>1.64</v>
      </c>
      <c r="K1416">
        <v>44.1</v>
      </c>
      <c r="L1416">
        <v>29.9</v>
      </c>
      <c r="M1416">
        <v>98</v>
      </c>
      <c r="N1416">
        <v>1.7</v>
      </c>
      <c r="O1416">
        <v>267</v>
      </c>
      <c r="P1416" t="s">
        <v>28</v>
      </c>
    </row>
    <row r="1417" spans="1:16" x14ac:dyDescent="0.25">
      <c r="A1417" t="s">
        <v>1484</v>
      </c>
      <c r="B1417" s="2">
        <v>45963</v>
      </c>
      <c r="C1417" t="s">
        <v>77</v>
      </c>
      <c r="D1417" t="s">
        <v>39</v>
      </c>
      <c r="E1417" t="s">
        <v>43</v>
      </c>
      <c r="F1417">
        <v>65.5</v>
      </c>
      <c r="G1417">
        <v>71.099999999999994</v>
      </c>
      <c r="H1417">
        <v>4.7</v>
      </c>
      <c r="I1417">
        <v>19.399999999999999</v>
      </c>
      <c r="J1417">
        <v>0.94</v>
      </c>
      <c r="K1417">
        <v>26.8</v>
      </c>
      <c r="L1417">
        <v>32.5</v>
      </c>
      <c r="M1417">
        <v>53.7</v>
      </c>
      <c r="N1417">
        <v>1.1000000000000001</v>
      </c>
      <c r="O1417">
        <v>204</v>
      </c>
      <c r="P1417" t="s">
        <v>28</v>
      </c>
    </row>
    <row r="1418" spans="1:16" x14ac:dyDescent="0.25">
      <c r="A1418" t="s">
        <v>1485</v>
      </c>
      <c r="B1418" s="2">
        <v>45824</v>
      </c>
      <c r="C1418" t="s">
        <v>67</v>
      </c>
      <c r="D1418" t="s">
        <v>18</v>
      </c>
      <c r="E1418" t="s">
        <v>68</v>
      </c>
      <c r="F1418">
        <v>30.4</v>
      </c>
      <c r="G1418">
        <v>65.3</v>
      </c>
      <c r="H1418">
        <v>15</v>
      </c>
      <c r="I1418">
        <v>9.1999999999999993</v>
      </c>
      <c r="J1418">
        <v>0.27</v>
      </c>
      <c r="K1418">
        <v>5.9</v>
      </c>
      <c r="L1418">
        <v>31.4</v>
      </c>
      <c r="M1418">
        <v>51.1</v>
      </c>
      <c r="N1418">
        <v>2.2999999999999998</v>
      </c>
      <c r="O1418">
        <v>119</v>
      </c>
      <c r="P1418" t="s">
        <v>33</v>
      </c>
    </row>
    <row r="1419" spans="1:16" x14ac:dyDescent="0.25">
      <c r="A1419" t="s">
        <v>1486</v>
      </c>
      <c r="B1419" s="2">
        <v>45816</v>
      </c>
      <c r="C1419" t="s">
        <v>81</v>
      </c>
      <c r="D1419" t="s">
        <v>39</v>
      </c>
      <c r="E1419" t="s">
        <v>74</v>
      </c>
      <c r="F1419">
        <v>36.5</v>
      </c>
      <c r="G1419">
        <v>43.8</v>
      </c>
      <c r="H1419">
        <v>18.100000000000001</v>
      </c>
      <c r="I1419">
        <v>3.4</v>
      </c>
      <c r="J1419">
        <v>0.14000000000000001</v>
      </c>
      <c r="K1419">
        <v>30.1</v>
      </c>
      <c r="L1419">
        <v>42.2</v>
      </c>
      <c r="M1419">
        <v>59.9</v>
      </c>
      <c r="N1419">
        <v>1.2</v>
      </c>
      <c r="O1419">
        <v>121</v>
      </c>
      <c r="P1419" t="s">
        <v>33</v>
      </c>
    </row>
    <row r="1420" spans="1:16" x14ac:dyDescent="0.25">
      <c r="A1420" t="s">
        <v>1487</v>
      </c>
      <c r="B1420" s="2">
        <v>45756</v>
      </c>
      <c r="C1420" t="s">
        <v>38</v>
      </c>
      <c r="D1420" t="s">
        <v>39</v>
      </c>
      <c r="E1420" t="s">
        <v>70</v>
      </c>
      <c r="F1420">
        <v>38</v>
      </c>
      <c r="G1420">
        <v>61.3</v>
      </c>
      <c r="H1420">
        <v>24.6</v>
      </c>
      <c r="I1420">
        <v>20.9</v>
      </c>
      <c r="J1420">
        <v>0.21</v>
      </c>
      <c r="K1420">
        <v>21</v>
      </c>
      <c r="L1420">
        <v>24.3</v>
      </c>
      <c r="M1420">
        <v>71.3</v>
      </c>
      <c r="N1420">
        <v>2.2000000000000002</v>
      </c>
      <c r="O1420">
        <v>150</v>
      </c>
      <c r="P1420" t="s">
        <v>33</v>
      </c>
    </row>
    <row r="1421" spans="1:16" x14ac:dyDescent="0.25">
      <c r="A1421" t="s">
        <v>1488</v>
      </c>
      <c r="B1421" s="2">
        <v>45682</v>
      </c>
      <c r="C1421" t="s">
        <v>99</v>
      </c>
      <c r="D1421" t="s">
        <v>36</v>
      </c>
      <c r="E1421" t="s">
        <v>45</v>
      </c>
      <c r="F1421">
        <v>72.5</v>
      </c>
      <c r="G1421">
        <v>144.4</v>
      </c>
      <c r="H1421">
        <v>17.5</v>
      </c>
      <c r="I1421">
        <v>5.9</v>
      </c>
      <c r="J1421">
        <v>0.75</v>
      </c>
      <c r="K1421">
        <v>9.6</v>
      </c>
      <c r="L1421">
        <v>38.1</v>
      </c>
      <c r="M1421">
        <v>98</v>
      </c>
      <c r="N1421">
        <v>2.4</v>
      </c>
      <c r="O1421">
        <v>251</v>
      </c>
      <c r="P1421" t="s">
        <v>28</v>
      </c>
    </row>
    <row r="1422" spans="1:16" x14ac:dyDescent="0.25">
      <c r="A1422" t="s">
        <v>1489</v>
      </c>
      <c r="B1422" s="2">
        <v>45870</v>
      </c>
      <c r="C1422" t="s">
        <v>30</v>
      </c>
      <c r="D1422" t="s">
        <v>31</v>
      </c>
      <c r="E1422" t="s">
        <v>40</v>
      </c>
      <c r="F1422">
        <v>29.6</v>
      </c>
      <c r="G1422">
        <v>124.1</v>
      </c>
      <c r="H1422">
        <v>30.3</v>
      </c>
      <c r="I1422">
        <v>11.1</v>
      </c>
      <c r="J1422">
        <v>0.6</v>
      </c>
      <c r="K1422">
        <v>21.4</v>
      </c>
      <c r="L1422">
        <v>28.4</v>
      </c>
      <c r="M1422">
        <v>68.7</v>
      </c>
      <c r="N1422">
        <v>0.5</v>
      </c>
      <c r="O1422">
        <v>185</v>
      </c>
      <c r="P1422" t="s">
        <v>33</v>
      </c>
    </row>
    <row r="1423" spans="1:16" x14ac:dyDescent="0.25">
      <c r="A1423" t="s">
        <v>1490</v>
      </c>
      <c r="B1423" s="2">
        <v>45861</v>
      </c>
      <c r="C1423" t="s">
        <v>42</v>
      </c>
      <c r="D1423" t="s">
        <v>23</v>
      </c>
      <c r="E1423" t="s">
        <v>45</v>
      </c>
      <c r="F1423">
        <v>61.5</v>
      </c>
      <c r="G1423">
        <v>68.3</v>
      </c>
      <c r="H1423">
        <v>53</v>
      </c>
      <c r="I1423">
        <v>9.3000000000000007</v>
      </c>
      <c r="J1423">
        <v>0.39</v>
      </c>
      <c r="K1423">
        <v>23.3</v>
      </c>
      <c r="L1423">
        <v>22.4</v>
      </c>
      <c r="M1423">
        <v>66.900000000000006</v>
      </c>
      <c r="N1423">
        <v>1.3</v>
      </c>
      <c r="O1423">
        <v>212</v>
      </c>
      <c r="P1423" t="s">
        <v>28</v>
      </c>
    </row>
    <row r="1424" spans="1:16" x14ac:dyDescent="0.25">
      <c r="A1424" t="s">
        <v>1491</v>
      </c>
      <c r="B1424" s="2">
        <v>45957</v>
      </c>
      <c r="C1424" t="s">
        <v>67</v>
      </c>
      <c r="D1424" t="s">
        <v>18</v>
      </c>
      <c r="E1424" t="s">
        <v>74</v>
      </c>
      <c r="F1424">
        <v>77</v>
      </c>
      <c r="G1424">
        <v>82</v>
      </c>
      <c r="H1424">
        <v>22.8</v>
      </c>
      <c r="I1424">
        <v>7.7</v>
      </c>
      <c r="J1424">
        <v>0.76</v>
      </c>
      <c r="K1424">
        <v>43.8</v>
      </c>
      <c r="L1424">
        <v>23.5</v>
      </c>
      <c r="M1424">
        <v>57.9</v>
      </c>
      <c r="N1424">
        <v>1.4</v>
      </c>
      <c r="O1424">
        <v>239</v>
      </c>
      <c r="P1424" t="s">
        <v>28</v>
      </c>
    </row>
    <row r="1425" spans="1:16" x14ac:dyDescent="0.25">
      <c r="A1425" t="s">
        <v>1492</v>
      </c>
      <c r="B1425" s="2">
        <v>45690</v>
      </c>
      <c r="C1425" t="s">
        <v>67</v>
      </c>
      <c r="D1425" t="s">
        <v>18</v>
      </c>
      <c r="E1425" t="s">
        <v>58</v>
      </c>
      <c r="F1425">
        <v>52.1</v>
      </c>
      <c r="G1425">
        <v>57</v>
      </c>
      <c r="H1425">
        <v>22.6</v>
      </c>
      <c r="I1425">
        <v>1.8</v>
      </c>
      <c r="J1425">
        <v>0.25</v>
      </c>
      <c r="K1425">
        <v>71.3</v>
      </c>
      <c r="L1425">
        <v>24.6</v>
      </c>
      <c r="M1425">
        <v>47.9</v>
      </c>
      <c r="N1425">
        <v>0.9</v>
      </c>
      <c r="O1425">
        <v>178</v>
      </c>
      <c r="P1425" t="s">
        <v>33</v>
      </c>
    </row>
    <row r="1426" spans="1:16" x14ac:dyDescent="0.25">
      <c r="A1426" t="s">
        <v>1493</v>
      </c>
      <c r="B1426" s="2">
        <v>45978</v>
      </c>
      <c r="C1426" t="s">
        <v>42</v>
      </c>
      <c r="D1426" t="s">
        <v>23</v>
      </c>
      <c r="E1426" t="s">
        <v>58</v>
      </c>
      <c r="F1426">
        <v>25.5</v>
      </c>
      <c r="G1426">
        <v>178.1</v>
      </c>
      <c r="H1426">
        <v>38.9</v>
      </c>
      <c r="I1426">
        <v>8.8000000000000007</v>
      </c>
      <c r="J1426">
        <v>1.73</v>
      </c>
      <c r="K1426">
        <v>20.2</v>
      </c>
      <c r="L1426">
        <v>22</v>
      </c>
      <c r="M1426">
        <v>69</v>
      </c>
      <c r="N1426">
        <v>1.1000000000000001</v>
      </c>
      <c r="O1426">
        <v>246</v>
      </c>
      <c r="P1426" t="s">
        <v>28</v>
      </c>
    </row>
    <row r="1427" spans="1:16" x14ac:dyDescent="0.25">
      <c r="A1427" t="s">
        <v>1494</v>
      </c>
      <c r="B1427" s="2">
        <v>45922</v>
      </c>
      <c r="C1427" t="s">
        <v>26</v>
      </c>
      <c r="D1427" t="s">
        <v>23</v>
      </c>
      <c r="E1427" t="s">
        <v>97</v>
      </c>
      <c r="F1427">
        <v>51.8</v>
      </c>
      <c r="G1427">
        <v>35</v>
      </c>
      <c r="H1427">
        <v>20.7</v>
      </c>
      <c r="I1427">
        <v>7</v>
      </c>
      <c r="J1427">
        <v>0.93</v>
      </c>
      <c r="K1427">
        <v>19</v>
      </c>
      <c r="L1427">
        <v>27.8</v>
      </c>
      <c r="M1427">
        <v>55.6</v>
      </c>
      <c r="N1427">
        <v>4.5</v>
      </c>
      <c r="O1427">
        <v>159</v>
      </c>
      <c r="P1427" t="s">
        <v>33</v>
      </c>
    </row>
    <row r="1428" spans="1:16" x14ac:dyDescent="0.25">
      <c r="A1428" t="s">
        <v>1495</v>
      </c>
      <c r="B1428" s="2">
        <v>45922</v>
      </c>
      <c r="C1428" t="s">
        <v>54</v>
      </c>
      <c r="D1428" t="s">
        <v>18</v>
      </c>
      <c r="E1428" t="s">
        <v>27</v>
      </c>
      <c r="F1428">
        <v>63.1</v>
      </c>
      <c r="G1428">
        <v>48.3</v>
      </c>
      <c r="H1428">
        <v>18.399999999999999</v>
      </c>
      <c r="I1428">
        <v>11.6</v>
      </c>
      <c r="J1428">
        <v>0.7</v>
      </c>
      <c r="K1428">
        <v>69.2</v>
      </c>
      <c r="L1428">
        <v>27.1</v>
      </c>
      <c r="M1428">
        <v>85.9</v>
      </c>
      <c r="N1428">
        <v>1.8</v>
      </c>
      <c r="O1428">
        <v>204</v>
      </c>
      <c r="P1428" t="s">
        <v>28</v>
      </c>
    </row>
    <row r="1429" spans="1:16" x14ac:dyDescent="0.25">
      <c r="A1429" t="s">
        <v>1496</v>
      </c>
      <c r="B1429" s="2">
        <v>45801</v>
      </c>
      <c r="C1429" t="s">
        <v>54</v>
      </c>
      <c r="D1429" t="s">
        <v>18</v>
      </c>
      <c r="E1429" t="s">
        <v>58</v>
      </c>
      <c r="F1429">
        <v>38.6</v>
      </c>
      <c r="G1429">
        <v>91.5</v>
      </c>
      <c r="H1429">
        <v>26.2</v>
      </c>
      <c r="I1429">
        <v>23.9</v>
      </c>
      <c r="J1429">
        <v>0.85</v>
      </c>
      <c r="K1429">
        <v>49.6</v>
      </c>
      <c r="L1429">
        <v>16</v>
      </c>
      <c r="M1429">
        <v>83.7</v>
      </c>
      <c r="N1429">
        <v>1.3</v>
      </c>
      <c r="O1429">
        <v>202</v>
      </c>
      <c r="P1429" t="s">
        <v>28</v>
      </c>
    </row>
    <row r="1430" spans="1:16" x14ac:dyDescent="0.25">
      <c r="A1430" t="s">
        <v>1497</v>
      </c>
      <c r="B1430" s="2">
        <v>45828</v>
      </c>
      <c r="C1430" t="s">
        <v>38</v>
      </c>
      <c r="D1430" t="s">
        <v>39</v>
      </c>
      <c r="E1430" t="s">
        <v>70</v>
      </c>
      <c r="F1430">
        <v>71.3</v>
      </c>
      <c r="G1430">
        <v>38.299999999999997</v>
      </c>
      <c r="H1430">
        <v>14.3</v>
      </c>
      <c r="I1430">
        <v>25.7</v>
      </c>
      <c r="J1430">
        <v>0.28000000000000003</v>
      </c>
      <c r="K1430">
        <v>56.8</v>
      </c>
      <c r="L1430">
        <v>24.3</v>
      </c>
      <c r="M1430">
        <v>62</v>
      </c>
      <c r="N1430">
        <v>0.1</v>
      </c>
      <c r="O1430">
        <v>201</v>
      </c>
      <c r="P1430" t="s">
        <v>28</v>
      </c>
    </row>
    <row r="1431" spans="1:16" x14ac:dyDescent="0.25">
      <c r="A1431" t="s">
        <v>1498</v>
      </c>
      <c r="B1431" s="2">
        <v>45949</v>
      </c>
      <c r="C1431" t="s">
        <v>26</v>
      </c>
      <c r="D1431" t="s">
        <v>23</v>
      </c>
      <c r="E1431" t="s">
        <v>68</v>
      </c>
      <c r="F1431">
        <v>87.6</v>
      </c>
      <c r="G1431">
        <v>45.8</v>
      </c>
      <c r="H1431">
        <v>4.3</v>
      </c>
      <c r="I1431">
        <v>32.1</v>
      </c>
      <c r="J1431">
        <v>1.02</v>
      </c>
      <c r="K1431">
        <v>33.4</v>
      </c>
      <c r="L1431">
        <v>18.8</v>
      </c>
      <c r="M1431">
        <v>73</v>
      </c>
      <c r="N1431">
        <v>1.5</v>
      </c>
      <c r="O1431">
        <v>236</v>
      </c>
      <c r="P1431" t="s">
        <v>28</v>
      </c>
    </row>
    <row r="1432" spans="1:16" x14ac:dyDescent="0.25">
      <c r="A1432" t="s">
        <v>1499</v>
      </c>
      <c r="B1432" s="2">
        <v>45794</v>
      </c>
      <c r="C1432" t="s">
        <v>42</v>
      </c>
      <c r="D1432" t="s">
        <v>23</v>
      </c>
      <c r="E1432" t="s">
        <v>58</v>
      </c>
      <c r="F1432">
        <v>73.099999999999994</v>
      </c>
      <c r="G1432">
        <v>132.6</v>
      </c>
      <c r="H1432">
        <v>43.7</v>
      </c>
      <c r="I1432">
        <v>20</v>
      </c>
      <c r="J1432">
        <v>1.17</v>
      </c>
      <c r="K1432">
        <v>22.5</v>
      </c>
      <c r="L1432">
        <v>27.8</v>
      </c>
      <c r="M1432">
        <v>47.9</v>
      </c>
      <c r="N1432">
        <v>2.9</v>
      </c>
      <c r="O1432">
        <v>291</v>
      </c>
      <c r="P1432" t="s">
        <v>28</v>
      </c>
    </row>
    <row r="1433" spans="1:16" x14ac:dyDescent="0.25">
      <c r="A1433" t="s">
        <v>1500</v>
      </c>
      <c r="B1433" s="2">
        <v>45695</v>
      </c>
      <c r="C1433" t="s">
        <v>1501</v>
      </c>
      <c r="D1433" t="s">
        <v>39</v>
      </c>
      <c r="E1433" t="s">
        <v>68</v>
      </c>
      <c r="F1433">
        <v>25.2</v>
      </c>
      <c r="G1433">
        <v>82</v>
      </c>
      <c r="H1433">
        <v>46.1</v>
      </c>
      <c r="I1433">
        <v>26.4</v>
      </c>
      <c r="J1433">
        <v>0.78</v>
      </c>
      <c r="K1433">
        <v>17.5</v>
      </c>
      <c r="L1433">
        <v>29.6</v>
      </c>
      <c r="M1433">
        <v>98</v>
      </c>
      <c r="N1433">
        <v>1.6</v>
      </c>
      <c r="O1433">
        <v>176</v>
      </c>
      <c r="P1433" t="s">
        <v>33</v>
      </c>
    </row>
    <row r="1434" spans="1:16" x14ac:dyDescent="0.25">
      <c r="A1434" t="s">
        <v>1502</v>
      </c>
      <c r="B1434" s="2">
        <v>45779</v>
      </c>
      <c r="C1434" t="s">
        <v>67</v>
      </c>
      <c r="D1434" t="s">
        <v>18</v>
      </c>
      <c r="E1434" t="s">
        <v>27</v>
      </c>
      <c r="F1434">
        <v>31.8</v>
      </c>
      <c r="G1434">
        <v>77.5</v>
      </c>
      <c r="H1434">
        <v>15.2</v>
      </c>
      <c r="I1434">
        <v>29.6</v>
      </c>
      <c r="J1434">
        <v>0.82</v>
      </c>
      <c r="K1434">
        <v>14</v>
      </c>
      <c r="L1434">
        <v>34.299999999999997</v>
      </c>
      <c r="M1434">
        <v>89.8</v>
      </c>
      <c r="N1434">
        <v>1</v>
      </c>
      <c r="O1434">
        <v>161</v>
      </c>
      <c r="P1434" t="s">
        <v>33</v>
      </c>
    </row>
    <row r="1435" spans="1:16" x14ac:dyDescent="0.25">
      <c r="A1435" t="s">
        <v>1503</v>
      </c>
      <c r="B1435" s="2">
        <v>45667</v>
      </c>
      <c r="C1435" t="s">
        <v>50</v>
      </c>
      <c r="D1435" t="s">
        <v>31</v>
      </c>
      <c r="E1435" t="s">
        <v>55</v>
      </c>
      <c r="F1435">
        <v>7.7</v>
      </c>
      <c r="G1435">
        <v>144.30000000000001</v>
      </c>
      <c r="H1435">
        <v>69</v>
      </c>
      <c r="I1435">
        <v>23.6</v>
      </c>
      <c r="J1435">
        <v>1.65</v>
      </c>
      <c r="K1435">
        <v>39.200000000000003</v>
      </c>
      <c r="L1435">
        <v>29.6</v>
      </c>
      <c r="M1435">
        <v>56.6</v>
      </c>
      <c r="N1435">
        <v>2.8</v>
      </c>
      <c r="O1435">
        <v>237</v>
      </c>
      <c r="P1435" t="s">
        <v>28</v>
      </c>
    </row>
    <row r="1436" spans="1:16" x14ac:dyDescent="0.25">
      <c r="A1436" t="s">
        <v>1504</v>
      </c>
      <c r="B1436" s="2">
        <v>45717</v>
      </c>
      <c r="C1436" t="s">
        <v>26</v>
      </c>
      <c r="D1436" t="s">
        <v>23</v>
      </c>
      <c r="E1436" t="s">
        <v>24</v>
      </c>
      <c r="F1436">
        <v>63.3</v>
      </c>
      <c r="G1436">
        <v>25.4</v>
      </c>
      <c r="H1436">
        <v>23.5</v>
      </c>
      <c r="I1436">
        <v>39.1</v>
      </c>
      <c r="J1436">
        <v>0.77</v>
      </c>
      <c r="K1436">
        <v>15.6</v>
      </c>
      <c r="L1436">
        <v>35</v>
      </c>
      <c r="M1436">
        <v>54.6</v>
      </c>
      <c r="N1436">
        <v>2.4</v>
      </c>
      <c r="O1436">
        <v>190</v>
      </c>
      <c r="P1436" t="s">
        <v>33</v>
      </c>
    </row>
    <row r="1437" spans="1:16" x14ac:dyDescent="0.25">
      <c r="A1437" t="s">
        <v>1505</v>
      </c>
      <c r="B1437" s="2">
        <v>45702</v>
      </c>
      <c r="C1437" t="s">
        <v>30</v>
      </c>
      <c r="D1437" t="s">
        <v>31</v>
      </c>
      <c r="E1437" t="s">
        <v>55</v>
      </c>
      <c r="F1437">
        <v>58.4</v>
      </c>
      <c r="G1437">
        <v>36.200000000000003</v>
      </c>
      <c r="H1437">
        <v>27.1</v>
      </c>
      <c r="I1437">
        <v>3.7</v>
      </c>
      <c r="J1437">
        <v>2.09</v>
      </c>
      <c r="K1437">
        <v>39.6</v>
      </c>
      <c r="L1437">
        <v>25.1</v>
      </c>
      <c r="M1437">
        <v>59.2</v>
      </c>
      <c r="N1437">
        <v>0.8</v>
      </c>
      <c r="O1437">
        <v>211</v>
      </c>
      <c r="P1437" t="s">
        <v>28</v>
      </c>
    </row>
    <row r="1438" spans="1:16" x14ac:dyDescent="0.25">
      <c r="A1438" t="s">
        <v>1506</v>
      </c>
      <c r="B1438" s="2">
        <v>45935</v>
      </c>
      <c r="C1438" t="s">
        <v>50</v>
      </c>
      <c r="D1438" t="s">
        <v>31</v>
      </c>
      <c r="E1438" t="s">
        <v>58</v>
      </c>
      <c r="F1438">
        <v>19</v>
      </c>
      <c r="G1438">
        <v>36.1</v>
      </c>
      <c r="H1438">
        <v>40.1</v>
      </c>
      <c r="I1438">
        <v>7.8</v>
      </c>
      <c r="J1438">
        <v>0.7</v>
      </c>
      <c r="K1438">
        <v>34.5</v>
      </c>
      <c r="L1438">
        <v>18.899999999999999</v>
      </c>
      <c r="M1438">
        <v>24.8</v>
      </c>
      <c r="N1438">
        <v>1.2</v>
      </c>
      <c r="O1438">
        <v>124</v>
      </c>
      <c r="P1438" t="s">
        <v>33</v>
      </c>
    </row>
    <row r="1439" spans="1:16" x14ac:dyDescent="0.25">
      <c r="A1439" t="s">
        <v>1507</v>
      </c>
      <c r="B1439" s="2">
        <v>46001</v>
      </c>
      <c r="C1439" t="s">
        <v>52</v>
      </c>
      <c r="D1439" t="s">
        <v>31</v>
      </c>
      <c r="E1439" t="s">
        <v>40</v>
      </c>
      <c r="F1439">
        <v>75.2</v>
      </c>
      <c r="G1439">
        <v>144.80000000000001</v>
      </c>
      <c r="H1439">
        <v>19.2</v>
      </c>
      <c r="I1439">
        <v>4.5</v>
      </c>
      <c r="J1439">
        <v>0.5</v>
      </c>
      <c r="K1439">
        <v>26.1</v>
      </c>
      <c r="L1439">
        <v>31.3</v>
      </c>
      <c r="M1439">
        <v>51.6</v>
      </c>
      <c r="N1439">
        <v>3.4</v>
      </c>
      <c r="O1439">
        <v>257</v>
      </c>
      <c r="P1439" t="s">
        <v>28</v>
      </c>
    </row>
    <row r="1440" spans="1:16" x14ac:dyDescent="0.25">
      <c r="A1440" t="s">
        <v>1508</v>
      </c>
      <c r="B1440" s="2">
        <v>45785</v>
      </c>
      <c r="C1440" t="s">
        <v>99</v>
      </c>
      <c r="D1440" t="s">
        <v>36</v>
      </c>
      <c r="E1440" t="s">
        <v>43</v>
      </c>
      <c r="F1440">
        <v>54.6</v>
      </c>
      <c r="G1440">
        <v>112.5</v>
      </c>
      <c r="H1440">
        <v>10.9</v>
      </c>
      <c r="I1440">
        <v>15.4</v>
      </c>
      <c r="J1440">
        <v>0.67</v>
      </c>
      <c r="K1440">
        <v>67.2</v>
      </c>
      <c r="L1440">
        <v>31.3</v>
      </c>
      <c r="M1440">
        <v>52.1</v>
      </c>
      <c r="N1440">
        <v>1.2</v>
      </c>
      <c r="O1440">
        <v>227</v>
      </c>
      <c r="P1440" t="s">
        <v>28</v>
      </c>
    </row>
    <row r="1441" spans="1:16" x14ac:dyDescent="0.25">
      <c r="A1441" t="s">
        <v>1509</v>
      </c>
      <c r="B1441" s="2">
        <v>45758</v>
      </c>
      <c r="C1441" t="s">
        <v>42</v>
      </c>
      <c r="D1441" t="s">
        <v>23</v>
      </c>
      <c r="E1441" t="s">
        <v>58</v>
      </c>
      <c r="F1441">
        <v>75.599999999999994</v>
      </c>
      <c r="G1441">
        <v>43.1</v>
      </c>
      <c r="H1441">
        <v>30.6</v>
      </c>
      <c r="I1441">
        <v>13.7</v>
      </c>
      <c r="J1441">
        <v>0.63</v>
      </c>
      <c r="K1441">
        <v>25.3</v>
      </c>
      <c r="L1441">
        <v>26.4</v>
      </c>
      <c r="M1441">
        <v>61.1</v>
      </c>
      <c r="N1441">
        <v>3.7</v>
      </c>
      <c r="O1441">
        <v>210</v>
      </c>
      <c r="P1441" t="s">
        <v>28</v>
      </c>
    </row>
    <row r="1442" spans="1:16" x14ac:dyDescent="0.25">
      <c r="A1442" t="s">
        <v>1510</v>
      </c>
      <c r="B1442" s="2">
        <v>45941</v>
      </c>
      <c r="C1442" t="s">
        <v>52</v>
      </c>
      <c r="D1442" t="s">
        <v>31</v>
      </c>
      <c r="E1442" t="s">
        <v>55</v>
      </c>
      <c r="F1442">
        <v>23.7</v>
      </c>
      <c r="G1442">
        <v>104.2</v>
      </c>
      <c r="H1442">
        <v>5.5</v>
      </c>
      <c r="I1442">
        <v>26.4</v>
      </c>
      <c r="J1442">
        <v>0.57999999999999996</v>
      </c>
      <c r="K1442">
        <v>72.8</v>
      </c>
      <c r="L1442">
        <v>39</v>
      </c>
      <c r="M1442">
        <v>73.8</v>
      </c>
      <c r="N1442">
        <v>2.7</v>
      </c>
      <c r="O1442">
        <v>176</v>
      </c>
      <c r="P1442" t="s">
        <v>33</v>
      </c>
    </row>
    <row r="1443" spans="1:16" x14ac:dyDescent="0.25">
      <c r="A1443" t="s">
        <v>1511</v>
      </c>
      <c r="B1443" s="2">
        <v>45872</v>
      </c>
      <c r="C1443" t="s">
        <v>17</v>
      </c>
      <c r="D1443" t="s">
        <v>18</v>
      </c>
      <c r="E1443" t="s">
        <v>19</v>
      </c>
      <c r="F1443">
        <v>27.5</v>
      </c>
      <c r="G1443">
        <v>50.6</v>
      </c>
      <c r="H1443">
        <v>18.7</v>
      </c>
      <c r="I1443">
        <v>5.7</v>
      </c>
      <c r="J1443">
        <v>0.52</v>
      </c>
      <c r="K1443">
        <v>33.1</v>
      </c>
      <c r="L1443">
        <v>20.9</v>
      </c>
      <c r="M1443">
        <v>48.5</v>
      </c>
      <c r="N1443">
        <v>1.5</v>
      </c>
      <c r="O1443">
        <v>124</v>
      </c>
      <c r="P1443" t="s">
        <v>33</v>
      </c>
    </row>
    <row r="1444" spans="1:16" x14ac:dyDescent="0.25">
      <c r="A1444" t="s">
        <v>1512</v>
      </c>
      <c r="B1444" s="2">
        <v>45789</v>
      </c>
      <c r="C1444" t="s">
        <v>81</v>
      </c>
      <c r="D1444" t="s">
        <v>39</v>
      </c>
      <c r="E1444" t="s">
        <v>19</v>
      </c>
      <c r="F1444">
        <v>16.399999999999999</v>
      </c>
      <c r="G1444">
        <v>66.5</v>
      </c>
      <c r="H1444">
        <v>12.6</v>
      </c>
      <c r="I1444">
        <v>10.6</v>
      </c>
      <c r="J1444">
        <v>1.02</v>
      </c>
      <c r="K1444">
        <v>59.9</v>
      </c>
      <c r="L1444">
        <v>28</v>
      </c>
      <c r="M1444">
        <v>40.700000000000003</v>
      </c>
      <c r="N1444">
        <v>2.5</v>
      </c>
      <c r="O1444">
        <v>139</v>
      </c>
      <c r="P1444" t="s">
        <v>33</v>
      </c>
    </row>
    <row r="1445" spans="1:16" x14ac:dyDescent="0.25">
      <c r="A1445" t="s">
        <v>1513</v>
      </c>
      <c r="B1445" s="2">
        <v>45800</v>
      </c>
      <c r="C1445" t="s">
        <v>30</v>
      </c>
      <c r="D1445" t="s">
        <v>31</v>
      </c>
      <c r="E1445" t="s">
        <v>68</v>
      </c>
      <c r="F1445">
        <v>31.9</v>
      </c>
      <c r="G1445">
        <v>143.5</v>
      </c>
      <c r="H1445">
        <v>23.5</v>
      </c>
      <c r="I1445">
        <v>20.2</v>
      </c>
      <c r="J1445">
        <v>0.91</v>
      </c>
      <c r="K1445">
        <v>23.3</v>
      </c>
      <c r="L1445">
        <v>22</v>
      </c>
      <c r="M1445">
        <v>83.8</v>
      </c>
      <c r="N1445">
        <v>2</v>
      </c>
      <c r="O1445">
        <v>210</v>
      </c>
      <c r="P1445" t="s">
        <v>28</v>
      </c>
    </row>
    <row r="1446" spans="1:16" x14ac:dyDescent="0.25">
      <c r="A1446" t="s">
        <v>1514</v>
      </c>
      <c r="B1446" s="2">
        <v>46011</v>
      </c>
      <c r="C1446" t="s">
        <v>42</v>
      </c>
      <c r="D1446" t="s">
        <v>23</v>
      </c>
      <c r="E1446" t="s">
        <v>19</v>
      </c>
      <c r="F1446">
        <v>38.200000000000003</v>
      </c>
      <c r="G1446">
        <v>81.099999999999994</v>
      </c>
      <c r="H1446">
        <v>33.6</v>
      </c>
      <c r="I1446">
        <v>13.6</v>
      </c>
      <c r="J1446">
        <v>0.71</v>
      </c>
      <c r="K1446">
        <v>29.2</v>
      </c>
      <c r="L1446">
        <v>19.8</v>
      </c>
      <c r="M1446">
        <v>73.7</v>
      </c>
      <c r="N1446">
        <v>2.2999999999999998</v>
      </c>
      <c r="O1446">
        <v>181</v>
      </c>
      <c r="P1446" t="s">
        <v>33</v>
      </c>
    </row>
    <row r="1447" spans="1:16" x14ac:dyDescent="0.25">
      <c r="A1447" t="s">
        <v>1515</v>
      </c>
      <c r="B1447" s="2">
        <v>45736</v>
      </c>
      <c r="C1447" t="s">
        <v>67</v>
      </c>
      <c r="D1447" t="s">
        <v>18</v>
      </c>
      <c r="E1447" t="s">
        <v>91</v>
      </c>
      <c r="F1447">
        <v>22.6</v>
      </c>
      <c r="G1447">
        <v>53.8</v>
      </c>
      <c r="H1447">
        <v>47.1</v>
      </c>
      <c r="I1447">
        <v>5.8</v>
      </c>
      <c r="J1447">
        <v>0.47</v>
      </c>
      <c r="K1447">
        <v>19.8</v>
      </c>
      <c r="L1447">
        <v>27.2</v>
      </c>
      <c r="M1447">
        <v>79.5</v>
      </c>
      <c r="N1447">
        <v>3.2</v>
      </c>
      <c r="O1447">
        <v>134</v>
      </c>
      <c r="P1447" t="s">
        <v>33</v>
      </c>
    </row>
    <row r="1448" spans="1:16" x14ac:dyDescent="0.25">
      <c r="A1448" t="s">
        <v>1516</v>
      </c>
      <c r="B1448" s="2">
        <v>45838</v>
      </c>
      <c r="C1448" t="s">
        <v>35</v>
      </c>
      <c r="D1448" t="s">
        <v>36</v>
      </c>
      <c r="E1448" t="s">
        <v>263</v>
      </c>
      <c r="F1448">
        <v>62.1</v>
      </c>
      <c r="G1448">
        <v>111.6</v>
      </c>
      <c r="H1448">
        <v>17.8</v>
      </c>
      <c r="I1448">
        <v>5.3</v>
      </c>
      <c r="J1448">
        <v>1.75</v>
      </c>
      <c r="K1448">
        <v>29.7</v>
      </c>
      <c r="L1448">
        <v>22.1</v>
      </c>
      <c r="M1448">
        <v>53.9</v>
      </c>
      <c r="N1448">
        <v>2.5</v>
      </c>
      <c r="O1448">
        <v>247</v>
      </c>
      <c r="P1448" t="s">
        <v>28</v>
      </c>
    </row>
    <row r="1449" spans="1:16" x14ac:dyDescent="0.25">
      <c r="A1449" t="s">
        <v>1517</v>
      </c>
      <c r="B1449" s="2">
        <v>45716</v>
      </c>
      <c r="C1449" t="s">
        <v>67</v>
      </c>
      <c r="D1449" t="s">
        <v>18</v>
      </c>
      <c r="E1449" t="s">
        <v>74</v>
      </c>
      <c r="F1449">
        <v>33.6</v>
      </c>
      <c r="G1449">
        <v>61.6</v>
      </c>
      <c r="H1449">
        <v>42.3</v>
      </c>
      <c r="I1449">
        <v>14.8</v>
      </c>
      <c r="J1449">
        <v>0.69</v>
      </c>
      <c r="K1449">
        <v>32.299999999999997</v>
      </c>
      <c r="L1449">
        <v>36.9</v>
      </c>
      <c r="M1449">
        <v>71.2</v>
      </c>
      <c r="N1449">
        <v>1.9</v>
      </c>
      <c r="O1449">
        <v>170</v>
      </c>
      <c r="P1449" t="s">
        <v>33</v>
      </c>
    </row>
    <row r="1450" spans="1:16" x14ac:dyDescent="0.25">
      <c r="A1450" t="s">
        <v>1518</v>
      </c>
      <c r="B1450" s="2">
        <v>45898</v>
      </c>
      <c r="C1450" t="s">
        <v>22</v>
      </c>
      <c r="D1450" t="s">
        <v>23</v>
      </c>
      <c r="E1450" t="s">
        <v>27</v>
      </c>
      <c r="F1450">
        <v>56.6</v>
      </c>
      <c r="G1450">
        <v>105.4</v>
      </c>
      <c r="H1450">
        <v>17</v>
      </c>
      <c r="I1450">
        <v>13</v>
      </c>
      <c r="J1450">
        <v>0.91</v>
      </c>
      <c r="K1450">
        <v>44.3</v>
      </c>
      <c r="L1450">
        <v>23.1</v>
      </c>
      <c r="M1450">
        <v>30</v>
      </c>
      <c r="N1450">
        <v>1.7</v>
      </c>
      <c r="O1450">
        <v>224</v>
      </c>
      <c r="P1450" t="s">
        <v>28</v>
      </c>
    </row>
    <row r="1451" spans="1:16" x14ac:dyDescent="0.25">
      <c r="A1451" t="s">
        <v>1519</v>
      </c>
      <c r="B1451" s="2">
        <v>45874</v>
      </c>
      <c r="C1451" t="s">
        <v>50</v>
      </c>
      <c r="D1451" t="s">
        <v>31</v>
      </c>
      <c r="E1451" t="s">
        <v>68</v>
      </c>
      <c r="F1451">
        <v>13.5</v>
      </c>
      <c r="G1451">
        <v>126.3</v>
      </c>
      <c r="H1451">
        <v>49</v>
      </c>
      <c r="I1451">
        <v>24.1</v>
      </c>
      <c r="J1451">
        <v>1.27</v>
      </c>
      <c r="K1451">
        <v>12.5</v>
      </c>
      <c r="L1451">
        <v>28.6</v>
      </c>
      <c r="M1451">
        <v>41.5</v>
      </c>
      <c r="N1451">
        <v>4.2</v>
      </c>
      <c r="O1451">
        <v>197</v>
      </c>
      <c r="P1451" t="s">
        <v>33</v>
      </c>
    </row>
    <row r="1452" spans="1:16" x14ac:dyDescent="0.25">
      <c r="A1452" t="s">
        <v>1520</v>
      </c>
      <c r="B1452" s="2">
        <v>45744</v>
      </c>
      <c r="C1452" t="s">
        <v>50</v>
      </c>
      <c r="D1452" t="s">
        <v>31</v>
      </c>
      <c r="E1452" t="s">
        <v>24</v>
      </c>
      <c r="F1452">
        <v>96.2</v>
      </c>
      <c r="G1452">
        <v>58.8</v>
      </c>
      <c r="H1452">
        <v>9.1</v>
      </c>
      <c r="I1452">
        <v>13.7</v>
      </c>
      <c r="J1452">
        <v>0.62</v>
      </c>
      <c r="K1452">
        <v>12.6</v>
      </c>
      <c r="L1452">
        <v>30.8</v>
      </c>
      <c r="M1452">
        <v>62.9</v>
      </c>
      <c r="N1452">
        <v>2</v>
      </c>
      <c r="O1452">
        <v>230</v>
      </c>
      <c r="P1452" t="s">
        <v>28</v>
      </c>
    </row>
    <row r="1453" spans="1:16" x14ac:dyDescent="0.25">
      <c r="A1453" t="s">
        <v>1521</v>
      </c>
      <c r="B1453" s="2">
        <v>45827</v>
      </c>
      <c r="C1453" t="s">
        <v>50</v>
      </c>
      <c r="D1453" t="s">
        <v>31</v>
      </c>
      <c r="E1453" t="s">
        <v>91</v>
      </c>
      <c r="F1453">
        <v>32.299999999999997</v>
      </c>
      <c r="G1453">
        <v>99.9</v>
      </c>
      <c r="H1453">
        <v>59.8</v>
      </c>
      <c r="I1453">
        <v>3.2</v>
      </c>
      <c r="J1453">
        <v>2.35</v>
      </c>
      <c r="K1453">
        <v>26.3</v>
      </c>
      <c r="L1453">
        <v>26.3</v>
      </c>
      <c r="M1453">
        <v>83</v>
      </c>
      <c r="N1453">
        <v>0.7</v>
      </c>
      <c r="O1453">
        <v>237</v>
      </c>
      <c r="P1453" t="s">
        <v>28</v>
      </c>
    </row>
    <row r="1454" spans="1:16" x14ac:dyDescent="0.25">
      <c r="A1454" t="s">
        <v>1522</v>
      </c>
      <c r="B1454" s="2">
        <v>45689</v>
      </c>
      <c r="C1454" t="s">
        <v>64</v>
      </c>
      <c r="D1454" t="s">
        <v>36</v>
      </c>
      <c r="E1454" t="s">
        <v>70</v>
      </c>
      <c r="F1454">
        <v>24.2</v>
      </c>
      <c r="G1454">
        <v>90.2</v>
      </c>
      <c r="H1454">
        <v>46.7</v>
      </c>
      <c r="I1454">
        <v>15.4</v>
      </c>
      <c r="J1454">
        <v>0.87</v>
      </c>
      <c r="K1454">
        <v>16.399999999999999</v>
      </c>
      <c r="L1454">
        <v>36.6</v>
      </c>
      <c r="M1454">
        <v>56.3</v>
      </c>
      <c r="N1454">
        <v>2.7</v>
      </c>
      <c r="O1454">
        <v>175</v>
      </c>
      <c r="P1454" t="s">
        <v>33</v>
      </c>
    </row>
    <row r="1455" spans="1:16" x14ac:dyDescent="0.25">
      <c r="A1455" t="s">
        <v>1523</v>
      </c>
      <c r="B1455" s="2">
        <v>46008</v>
      </c>
      <c r="C1455" t="s">
        <v>67</v>
      </c>
      <c r="D1455" t="s">
        <v>18</v>
      </c>
      <c r="E1455" t="s">
        <v>91</v>
      </c>
      <c r="F1455">
        <v>50.7</v>
      </c>
      <c r="G1455">
        <v>29.5</v>
      </c>
      <c r="H1455">
        <v>37.9</v>
      </c>
      <c r="I1455">
        <v>2.9</v>
      </c>
      <c r="J1455">
        <v>0.35</v>
      </c>
      <c r="K1455">
        <v>83.7</v>
      </c>
      <c r="L1455">
        <v>29.1</v>
      </c>
      <c r="M1455">
        <v>66.599999999999994</v>
      </c>
      <c r="N1455">
        <v>2</v>
      </c>
      <c r="O1455">
        <v>179</v>
      </c>
      <c r="P1455" t="s">
        <v>33</v>
      </c>
    </row>
    <row r="1456" spans="1:16" x14ac:dyDescent="0.25">
      <c r="A1456" t="s">
        <v>1524</v>
      </c>
      <c r="B1456" s="2">
        <v>45965</v>
      </c>
      <c r="C1456" t="s">
        <v>99</v>
      </c>
      <c r="D1456" t="s">
        <v>36</v>
      </c>
      <c r="E1456" t="s">
        <v>24</v>
      </c>
      <c r="F1456">
        <v>108.3</v>
      </c>
      <c r="G1456">
        <v>172.3</v>
      </c>
      <c r="H1456">
        <v>19.399999999999999</v>
      </c>
      <c r="I1456">
        <v>13.6</v>
      </c>
      <c r="J1456">
        <v>1.31</v>
      </c>
      <c r="K1456">
        <v>31.3</v>
      </c>
      <c r="L1456">
        <v>20</v>
      </c>
      <c r="M1456">
        <v>64.8</v>
      </c>
      <c r="N1456">
        <v>1.4</v>
      </c>
      <c r="O1456">
        <v>357</v>
      </c>
      <c r="P1456" t="s">
        <v>20</v>
      </c>
    </row>
    <row r="1457" spans="1:16" x14ac:dyDescent="0.25">
      <c r="A1457" t="s">
        <v>1525</v>
      </c>
      <c r="B1457" s="2">
        <v>45960</v>
      </c>
      <c r="C1457" t="s">
        <v>52</v>
      </c>
      <c r="D1457" t="s">
        <v>31</v>
      </c>
      <c r="E1457" t="s">
        <v>40</v>
      </c>
      <c r="F1457">
        <v>111.6</v>
      </c>
      <c r="G1457">
        <v>103.2</v>
      </c>
      <c r="H1457">
        <v>15.3</v>
      </c>
      <c r="I1457">
        <v>25.9</v>
      </c>
      <c r="J1457">
        <v>0.47</v>
      </c>
      <c r="K1457">
        <v>18.5</v>
      </c>
      <c r="L1457">
        <v>31.7</v>
      </c>
      <c r="M1457">
        <v>77.3</v>
      </c>
      <c r="N1457">
        <v>1.7</v>
      </c>
      <c r="O1457">
        <v>296</v>
      </c>
      <c r="P1457" t="s">
        <v>28</v>
      </c>
    </row>
    <row r="1458" spans="1:16" x14ac:dyDescent="0.25">
      <c r="A1458" t="s">
        <v>1526</v>
      </c>
      <c r="B1458" s="2">
        <v>45774</v>
      </c>
      <c r="C1458" t="s">
        <v>42</v>
      </c>
      <c r="D1458" t="s">
        <v>23</v>
      </c>
      <c r="E1458" t="s">
        <v>32</v>
      </c>
      <c r="F1458">
        <v>39.4</v>
      </c>
      <c r="G1458">
        <v>135</v>
      </c>
      <c r="H1458">
        <v>40.799999999999997</v>
      </c>
      <c r="I1458">
        <v>7</v>
      </c>
      <c r="J1458">
        <v>0.96</v>
      </c>
      <c r="K1458">
        <v>75.599999999999994</v>
      </c>
      <c r="L1458">
        <v>21.8</v>
      </c>
      <c r="M1458">
        <v>84.9</v>
      </c>
      <c r="N1458">
        <v>0.3</v>
      </c>
      <c r="O1458">
        <v>246</v>
      </c>
      <c r="P1458" t="s">
        <v>28</v>
      </c>
    </row>
    <row r="1459" spans="1:16" x14ac:dyDescent="0.25">
      <c r="A1459" t="s">
        <v>1527</v>
      </c>
      <c r="B1459" s="2">
        <v>45957</v>
      </c>
      <c r="C1459" t="s">
        <v>77</v>
      </c>
      <c r="D1459" t="s">
        <v>39</v>
      </c>
      <c r="E1459" t="s">
        <v>74</v>
      </c>
      <c r="F1459">
        <v>43.8</v>
      </c>
      <c r="G1459">
        <v>47.6</v>
      </c>
      <c r="H1459">
        <v>11.8</v>
      </c>
      <c r="I1459">
        <v>7.7</v>
      </c>
      <c r="J1459">
        <v>0.42</v>
      </c>
      <c r="K1459">
        <v>26</v>
      </c>
      <c r="L1459">
        <v>20.3</v>
      </c>
      <c r="M1459">
        <v>58.6</v>
      </c>
      <c r="N1459">
        <v>2.5</v>
      </c>
      <c r="O1459">
        <v>138</v>
      </c>
      <c r="P1459" t="s">
        <v>33</v>
      </c>
    </row>
    <row r="1460" spans="1:16" x14ac:dyDescent="0.25">
      <c r="A1460" t="s">
        <v>1528</v>
      </c>
      <c r="B1460" s="2">
        <v>45759</v>
      </c>
      <c r="C1460" t="s">
        <v>64</v>
      </c>
      <c r="D1460" t="s">
        <v>36</v>
      </c>
      <c r="E1460" t="s">
        <v>68</v>
      </c>
      <c r="F1460">
        <v>41.8</v>
      </c>
      <c r="G1460">
        <v>13.4</v>
      </c>
      <c r="H1460">
        <v>50.6</v>
      </c>
      <c r="I1460">
        <v>30.6</v>
      </c>
      <c r="J1460">
        <v>0.79</v>
      </c>
      <c r="K1460">
        <v>32.299999999999997</v>
      </c>
      <c r="L1460">
        <v>27.3</v>
      </c>
      <c r="M1460">
        <v>57.9</v>
      </c>
      <c r="N1460">
        <v>2.8</v>
      </c>
      <c r="O1460">
        <v>172</v>
      </c>
      <c r="P1460" t="s">
        <v>33</v>
      </c>
    </row>
    <row r="1461" spans="1:16" x14ac:dyDescent="0.25">
      <c r="A1461" t="s">
        <v>1529</v>
      </c>
      <c r="B1461" s="2">
        <v>45682</v>
      </c>
      <c r="C1461" t="s">
        <v>81</v>
      </c>
      <c r="D1461" t="s">
        <v>39</v>
      </c>
      <c r="E1461" t="s">
        <v>24</v>
      </c>
      <c r="F1461">
        <v>34.6</v>
      </c>
      <c r="G1461">
        <v>124.6</v>
      </c>
      <c r="H1461">
        <v>35.200000000000003</v>
      </c>
      <c r="I1461">
        <v>5.4</v>
      </c>
      <c r="J1461">
        <v>0.22</v>
      </c>
      <c r="K1461">
        <v>21.2</v>
      </c>
      <c r="L1461">
        <v>21</v>
      </c>
      <c r="M1461">
        <v>47.7</v>
      </c>
      <c r="N1461">
        <v>0.7</v>
      </c>
      <c r="O1461">
        <v>183</v>
      </c>
      <c r="P1461" t="s">
        <v>33</v>
      </c>
    </row>
    <row r="1462" spans="1:16" x14ac:dyDescent="0.25">
      <c r="A1462" t="s">
        <v>1530</v>
      </c>
      <c r="B1462" s="2">
        <v>45719</v>
      </c>
      <c r="C1462" t="s">
        <v>52</v>
      </c>
      <c r="D1462" t="s">
        <v>31</v>
      </c>
      <c r="E1462" t="s">
        <v>19</v>
      </c>
      <c r="F1462">
        <v>33.9</v>
      </c>
      <c r="G1462">
        <v>37.6</v>
      </c>
      <c r="H1462">
        <v>103.3</v>
      </c>
      <c r="I1462">
        <v>10.5</v>
      </c>
      <c r="J1462">
        <v>0.96</v>
      </c>
      <c r="K1462">
        <v>43.7</v>
      </c>
      <c r="L1462">
        <v>25.5</v>
      </c>
      <c r="M1462">
        <v>75.8</v>
      </c>
      <c r="N1462">
        <v>2.8</v>
      </c>
      <c r="O1462">
        <v>212</v>
      </c>
      <c r="P1462" t="s">
        <v>28</v>
      </c>
    </row>
    <row r="1463" spans="1:16" x14ac:dyDescent="0.25">
      <c r="A1463" t="s">
        <v>1531</v>
      </c>
      <c r="B1463" s="2">
        <v>45822</v>
      </c>
      <c r="C1463" t="s">
        <v>81</v>
      </c>
      <c r="D1463" t="s">
        <v>39</v>
      </c>
      <c r="E1463" t="s">
        <v>32</v>
      </c>
      <c r="F1463">
        <v>15.5</v>
      </c>
      <c r="G1463">
        <v>60.2</v>
      </c>
      <c r="H1463">
        <v>34.700000000000003</v>
      </c>
      <c r="I1463">
        <v>22</v>
      </c>
      <c r="J1463">
        <v>0.66</v>
      </c>
      <c r="K1463">
        <v>60.1</v>
      </c>
      <c r="L1463">
        <v>16.7</v>
      </c>
      <c r="M1463">
        <v>63.3</v>
      </c>
      <c r="N1463">
        <v>3.4</v>
      </c>
      <c r="O1463">
        <v>151</v>
      </c>
      <c r="P1463" t="s">
        <v>33</v>
      </c>
    </row>
    <row r="1464" spans="1:16" x14ac:dyDescent="0.25">
      <c r="A1464" t="s">
        <v>1532</v>
      </c>
      <c r="B1464" s="2">
        <v>45846</v>
      </c>
      <c r="C1464" t="s">
        <v>42</v>
      </c>
      <c r="D1464" t="s">
        <v>23</v>
      </c>
      <c r="E1464" t="s">
        <v>70</v>
      </c>
      <c r="F1464">
        <v>7.5</v>
      </c>
      <c r="G1464">
        <v>35.700000000000003</v>
      </c>
      <c r="H1464">
        <v>12.6</v>
      </c>
      <c r="I1464">
        <v>27.8</v>
      </c>
      <c r="J1464">
        <v>0.56999999999999995</v>
      </c>
      <c r="K1464">
        <v>36.299999999999997</v>
      </c>
      <c r="L1464">
        <v>38.1</v>
      </c>
      <c r="M1464">
        <v>42.9</v>
      </c>
      <c r="N1464">
        <v>1.4</v>
      </c>
      <c r="O1464">
        <v>95</v>
      </c>
      <c r="P1464" t="s">
        <v>71</v>
      </c>
    </row>
    <row r="1465" spans="1:16" x14ac:dyDescent="0.25">
      <c r="A1465" t="s">
        <v>1533</v>
      </c>
      <c r="B1465" s="2">
        <v>45659</v>
      </c>
      <c r="C1465" t="s">
        <v>30</v>
      </c>
      <c r="D1465" t="s">
        <v>31</v>
      </c>
      <c r="E1465" t="s">
        <v>24</v>
      </c>
      <c r="F1465">
        <v>64.900000000000006</v>
      </c>
      <c r="G1465">
        <v>102.6</v>
      </c>
      <c r="H1465">
        <v>25.6</v>
      </c>
      <c r="I1465">
        <v>7.2</v>
      </c>
      <c r="J1465">
        <v>0.35</v>
      </c>
      <c r="K1465">
        <v>91.8</v>
      </c>
      <c r="L1465">
        <v>29</v>
      </c>
      <c r="M1465">
        <v>46.7</v>
      </c>
      <c r="N1465">
        <v>2.4</v>
      </c>
      <c r="O1465">
        <v>246</v>
      </c>
      <c r="P1465" t="s">
        <v>28</v>
      </c>
    </row>
    <row r="1466" spans="1:16" x14ac:dyDescent="0.25">
      <c r="A1466" t="s">
        <v>1534</v>
      </c>
      <c r="B1466" s="2">
        <v>45990</v>
      </c>
      <c r="C1466" t="s">
        <v>35</v>
      </c>
      <c r="D1466" t="s">
        <v>36</v>
      </c>
      <c r="E1466" t="s">
        <v>19</v>
      </c>
      <c r="F1466">
        <v>28.3</v>
      </c>
      <c r="G1466">
        <v>42</v>
      </c>
      <c r="H1466">
        <v>16.899999999999999</v>
      </c>
      <c r="I1466">
        <v>2.8</v>
      </c>
      <c r="J1466">
        <v>1.1200000000000001</v>
      </c>
      <c r="K1466">
        <v>25.9</v>
      </c>
      <c r="L1466">
        <v>27.2</v>
      </c>
      <c r="M1466">
        <v>71</v>
      </c>
      <c r="N1466">
        <v>3.6</v>
      </c>
      <c r="O1466">
        <v>128</v>
      </c>
      <c r="P1466" t="s">
        <v>33</v>
      </c>
    </row>
    <row r="1467" spans="1:16" x14ac:dyDescent="0.25">
      <c r="A1467" t="s">
        <v>1535</v>
      </c>
      <c r="B1467" s="2">
        <v>45967</v>
      </c>
      <c r="C1467" t="s">
        <v>77</v>
      </c>
      <c r="D1467" t="s">
        <v>39</v>
      </c>
      <c r="E1467" t="s">
        <v>24</v>
      </c>
      <c r="F1467">
        <v>23.6</v>
      </c>
      <c r="G1467">
        <v>46.3</v>
      </c>
      <c r="H1467">
        <v>3.2</v>
      </c>
      <c r="I1467">
        <v>6</v>
      </c>
      <c r="J1467">
        <v>1.82</v>
      </c>
      <c r="K1467">
        <v>32.6</v>
      </c>
      <c r="L1467">
        <v>30.4</v>
      </c>
      <c r="M1467">
        <v>94.3</v>
      </c>
      <c r="N1467">
        <v>2.6</v>
      </c>
      <c r="O1467">
        <v>135</v>
      </c>
      <c r="P1467" t="s">
        <v>33</v>
      </c>
    </row>
    <row r="1468" spans="1:16" x14ac:dyDescent="0.25">
      <c r="A1468" t="s">
        <v>1536</v>
      </c>
      <c r="B1468" s="2">
        <v>45808</v>
      </c>
      <c r="C1468" t="s">
        <v>30</v>
      </c>
      <c r="D1468" t="s">
        <v>31</v>
      </c>
      <c r="E1468" t="s">
        <v>61</v>
      </c>
      <c r="F1468">
        <v>92.7</v>
      </c>
      <c r="G1468">
        <v>89.1</v>
      </c>
      <c r="H1468">
        <v>29.9</v>
      </c>
      <c r="I1468">
        <v>20.8</v>
      </c>
      <c r="J1468">
        <v>0.5</v>
      </c>
      <c r="K1468">
        <v>33.299999999999997</v>
      </c>
      <c r="L1468">
        <v>36.4</v>
      </c>
      <c r="M1468">
        <v>48.1</v>
      </c>
      <c r="N1468">
        <v>3.8</v>
      </c>
      <c r="O1468">
        <v>272</v>
      </c>
      <c r="P1468" t="s">
        <v>28</v>
      </c>
    </row>
    <row r="1469" spans="1:16" x14ac:dyDescent="0.25">
      <c r="A1469" t="s">
        <v>1537</v>
      </c>
      <c r="B1469" s="2">
        <v>45751</v>
      </c>
      <c r="C1469" t="s">
        <v>26</v>
      </c>
      <c r="D1469" t="s">
        <v>23</v>
      </c>
      <c r="E1469" t="s">
        <v>91</v>
      </c>
      <c r="F1469">
        <v>46.8</v>
      </c>
      <c r="G1469">
        <v>138.4</v>
      </c>
      <c r="H1469">
        <v>14.8</v>
      </c>
      <c r="I1469">
        <v>23.8</v>
      </c>
      <c r="J1469">
        <v>0.71</v>
      </c>
      <c r="K1469">
        <v>38.5</v>
      </c>
      <c r="L1469">
        <v>22</v>
      </c>
      <c r="M1469">
        <v>55.9</v>
      </c>
      <c r="N1469">
        <v>1.5</v>
      </c>
      <c r="O1469">
        <v>228</v>
      </c>
      <c r="P1469" t="s">
        <v>28</v>
      </c>
    </row>
    <row r="1470" spans="1:16" x14ac:dyDescent="0.25">
      <c r="A1470" t="s">
        <v>1538</v>
      </c>
      <c r="B1470" s="2">
        <v>45881</v>
      </c>
      <c r="C1470" t="s">
        <v>64</v>
      </c>
      <c r="D1470" t="s">
        <v>36</v>
      </c>
      <c r="E1470" t="s">
        <v>70</v>
      </c>
      <c r="F1470">
        <v>43</v>
      </c>
      <c r="G1470">
        <v>162</v>
      </c>
      <c r="H1470">
        <v>23</v>
      </c>
      <c r="I1470">
        <v>14.1</v>
      </c>
      <c r="J1470">
        <v>0.47</v>
      </c>
      <c r="K1470">
        <v>2.4</v>
      </c>
      <c r="L1470">
        <v>29.1</v>
      </c>
      <c r="M1470">
        <v>59</v>
      </c>
      <c r="N1470">
        <v>2.6</v>
      </c>
      <c r="O1470">
        <v>215</v>
      </c>
      <c r="P1470" t="s">
        <v>28</v>
      </c>
    </row>
    <row r="1471" spans="1:16" x14ac:dyDescent="0.25">
      <c r="A1471" t="s">
        <v>1539</v>
      </c>
      <c r="B1471" s="2">
        <v>45814</v>
      </c>
      <c r="C1471" t="s">
        <v>22</v>
      </c>
      <c r="D1471" t="s">
        <v>23</v>
      </c>
      <c r="E1471" t="s">
        <v>19</v>
      </c>
      <c r="F1471">
        <v>31</v>
      </c>
      <c r="G1471">
        <v>53.4</v>
      </c>
      <c r="H1471">
        <v>45.3</v>
      </c>
      <c r="I1471">
        <v>6</v>
      </c>
      <c r="J1471">
        <v>0.87</v>
      </c>
      <c r="K1471">
        <v>54</v>
      </c>
      <c r="L1471">
        <v>37.4</v>
      </c>
      <c r="M1471">
        <v>62</v>
      </c>
      <c r="N1471">
        <v>3.6</v>
      </c>
      <c r="O1471">
        <v>171</v>
      </c>
      <c r="P1471" t="s">
        <v>33</v>
      </c>
    </row>
    <row r="1472" spans="1:16" x14ac:dyDescent="0.25">
      <c r="A1472" t="s">
        <v>1540</v>
      </c>
      <c r="B1472" s="2">
        <v>45891</v>
      </c>
      <c r="C1472" t="s">
        <v>52</v>
      </c>
      <c r="D1472" t="s">
        <v>31</v>
      </c>
      <c r="E1472" t="s">
        <v>68</v>
      </c>
      <c r="F1472">
        <v>72.8</v>
      </c>
      <c r="G1472">
        <v>134.9</v>
      </c>
      <c r="H1472">
        <v>20.2</v>
      </c>
      <c r="I1472">
        <v>7.2</v>
      </c>
      <c r="J1472">
        <v>1.51</v>
      </c>
      <c r="K1472">
        <v>117.9</v>
      </c>
      <c r="L1472">
        <v>9.8000000000000007</v>
      </c>
      <c r="M1472">
        <v>63.5</v>
      </c>
      <c r="N1472">
        <v>3.3</v>
      </c>
      <c r="O1472">
        <v>316</v>
      </c>
      <c r="P1472" t="s">
        <v>20</v>
      </c>
    </row>
    <row r="1473" spans="1:16" x14ac:dyDescent="0.25">
      <c r="A1473" t="s">
        <v>1541</v>
      </c>
      <c r="B1473" s="2">
        <v>45744</v>
      </c>
      <c r="C1473" t="s">
        <v>99</v>
      </c>
      <c r="D1473" t="s">
        <v>36</v>
      </c>
      <c r="E1473" t="s">
        <v>58</v>
      </c>
      <c r="F1473">
        <v>87.1</v>
      </c>
      <c r="G1473">
        <v>92.5</v>
      </c>
      <c r="H1473">
        <v>29</v>
      </c>
      <c r="I1473">
        <v>24</v>
      </c>
      <c r="J1473">
        <v>1.22</v>
      </c>
      <c r="K1473">
        <v>10.6</v>
      </c>
      <c r="L1473">
        <v>31.2</v>
      </c>
      <c r="M1473">
        <v>61.9</v>
      </c>
      <c r="N1473">
        <v>1.7</v>
      </c>
      <c r="O1473">
        <v>275</v>
      </c>
      <c r="P1473" t="s">
        <v>28</v>
      </c>
    </row>
    <row r="1474" spans="1:16" x14ac:dyDescent="0.25">
      <c r="A1474" t="s">
        <v>1542</v>
      </c>
      <c r="B1474" s="2">
        <v>45755</v>
      </c>
      <c r="C1474" t="s">
        <v>42</v>
      </c>
      <c r="D1474" t="s">
        <v>23</v>
      </c>
      <c r="E1474" t="s">
        <v>74</v>
      </c>
      <c r="F1474">
        <v>38.6</v>
      </c>
      <c r="G1474">
        <v>104.5</v>
      </c>
      <c r="H1474">
        <v>24.9</v>
      </c>
      <c r="I1474">
        <v>11.4</v>
      </c>
      <c r="J1474">
        <v>0.19</v>
      </c>
      <c r="K1474">
        <v>19.100000000000001</v>
      </c>
      <c r="L1474">
        <v>25.7</v>
      </c>
      <c r="M1474">
        <v>46.6</v>
      </c>
      <c r="N1474">
        <v>3.2</v>
      </c>
      <c r="O1474">
        <v>171</v>
      </c>
      <c r="P1474" t="s">
        <v>33</v>
      </c>
    </row>
    <row r="1475" spans="1:16" x14ac:dyDescent="0.25">
      <c r="A1475" t="s">
        <v>1543</v>
      </c>
      <c r="B1475" s="2">
        <v>45690</v>
      </c>
      <c r="C1475" t="s">
        <v>64</v>
      </c>
      <c r="D1475" t="s">
        <v>36</v>
      </c>
      <c r="E1475" t="s">
        <v>68</v>
      </c>
      <c r="F1475">
        <v>20</v>
      </c>
      <c r="G1475">
        <v>66.7</v>
      </c>
      <c r="H1475">
        <v>23.3</v>
      </c>
      <c r="I1475">
        <v>9.4</v>
      </c>
      <c r="J1475">
        <v>0.64</v>
      </c>
      <c r="K1475">
        <v>57.2</v>
      </c>
      <c r="L1475">
        <v>25.4</v>
      </c>
      <c r="M1475">
        <v>65.3</v>
      </c>
      <c r="N1475">
        <v>1.7</v>
      </c>
      <c r="O1475">
        <v>142</v>
      </c>
      <c r="P1475" t="s">
        <v>33</v>
      </c>
    </row>
    <row r="1476" spans="1:16" x14ac:dyDescent="0.25">
      <c r="A1476" t="s">
        <v>1544</v>
      </c>
      <c r="B1476" s="2">
        <v>45880</v>
      </c>
      <c r="C1476" t="s">
        <v>67</v>
      </c>
      <c r="D1476" t="s">
        <v>18</v>
      </c>
      <c r="E1476" t="s">
        <v>40</v>
      </c>
      <c r="F1476">
        <v>40.5</v>
      </c>
      <c r="G1476">
        <v>46.9</v>
      </c>
      <c r="H1476">
        <v>67.900000000000006</v>
      </c>
      <c r="I1476">
        <v>4.8</v>
      </c>
      <c r="J1476">
        <v>0.67</v>
      </c>
      <c r="K1476">
        <v>80</v>
      </c>
      <c r="L1476">
        <v>17.600000000000001</v>
      </c>
      <c r="M1476">
        <v>37.299999999999997</v>
      </c>
      <c r="N1476">
        <v>3</v>
      </c>
      <c r="O1476">
        <v>206</v>
      </c>
      <c r="P1476" t="s">
        <v>28</v>
      </c>
    </row>
    <row r="1477" spans="1:16" x14ac:dyDescent="0.25">
      <c r="A1477" t="s">
        <v>1545</v>
      </c>
      <c r="B1477" s="2">
        <v>46007</v>
      </c>
      <c r="C1477" t="s">
        <v>30</v>
      </c>
      <c r="D1477" t="s">
        <v>31</v>
      </c>
      <c r="E1477" t="s">
        <v>19</v>
      </c>
      <c r="F1477">
        <v>143.6</v>
      </c>
      <c r="G1477">
        <v>116.2</v>
      </c>
      <c r="H1477">
        <v>17.2</v>
      </c>
      <c r="I1477">
        <v>13.3</v>
      </c>
      <c r="J1477">
        <v>1.03</v>
      </c>
      <c r="K1477">
        <v>54</v>
      </c>
      <c r="L1477">
        <v>30.3</v>
      </c>
      <c r="M1477">
        <v>92.6</v>
      </c>
      <c r="N1477">
        <v>1.7</v>
      </c>
      <c r="O1477">
        <v>378</v>
      </c>
      <c r="P1477" t="s">
        <v>20</v>
      </c>
    </row>
    <row r="1478" spans="1:16" x14ac:dyDescent="0.25">
      <c r="A1478" t="s">
        <v>1546</v>
      </c>
      <c r="B1478" s="2">
        <v>45985</v>
      </c>
      <c r="C1478" t="s">
        <v>99</v>
      </c>
      <c r="D1478" t="s">
        <v>36</v>
      </c>
      <c r="E1478" t="s">
        <v>70</v>
      </c>
      <c r="F1478">
        <v>51.1</v>
      </c>
      <c r="G1478">
        <v>145.19999999999999</v>
      </c>
      <c r="H1478">
        <v>94.6</v>
      </c>
      <c r="I1478">
        <v>16.8</v>
      </c>
      <c r="J1478">
        <v>0.16</v>
      </c>
      <c r="K1478">
        <v>100.7</v>
      </c>
      <c r="L1478">
        <v>29.7</v>
      </c>
      <c r="M1478">
        <v>47.9</v>
      </c>
      <c r="N1478">
        <v>3.4</v>
      </c>
      <c r="O1478">
        <v>313</v>
      </c>
      <c r="P1478" t="s">
        <v>20</v>
      </c>
    </row>
    <row r="1479" spans="1:16" x14ac:dyDescent="0.25">
      <c r="A1479" t="s">
        <v>1547</v>
      </c>
      <c r="B1479" s="2">
        <v>45864</v>
      </c>
      <c r="C1479" t="s">
        <v>67</v>
      </c>
      <c r="D1479" t="s">
        <v>18</v>
      </c>
      <c r="E1479" t="s">
        <v>68</v>
      </c>
      <c r="F1479">
        <v>99.1</v>
      </c>
      <c r="G1479">
        <v>48.9</v>
      </c>
      <c r="H1479">
        <v>25.5</v>
      </c>
      <c r="I1479">
        <v>7.7</v>
      </c>
      <c r="J1479">
        <v>1.04</v>
      </c>
      <c r="K1479">
        <v>49.6</v>
      </c>
      <c r="L1479">
        <v>34.799999999999997</v>
      </c>
      <c r="M1479">
        <v>53.3</v>
      </c>
      <c r="N1479">
        <v>1.6</v>
      </c>
      <c r="O1479">
        <v>264</v>
      </c>
      <c r="P1479" t="s">
        <v>28</v>
      </c>
    </row>
    <row r="1480" spans="1:16" x14ac:dyDescent="0.25">
      <c r="A1480" t="s">
        <v>1548</v>
      </c>
      <c r="B1480" s="2">
        <v>45707</v>
      </c>
      <c r="C1480" t="s">
        <v>30</v>
      </c>
      <c r="D1480" t="s">
        <v>31</v>
      </c>
      <c r="E1480" t="s">
        <v>32</v>
      </c>
      <c r="F1480">
        <v>54.8</v>
      </c>
      <c r="G1480">
        <v>54.4</v>
      </c>
      <c r="H1480">
        <v>39.299999999999997</v>
      </c>
      <c r="I1480">
        <v>28.5</v>
      </c>
      <c r="J1480">
        <v>0.25</v>
      </c>
      <c r="K1480">
        <v>19.2</v>
      </c>
      <c r="L1480">
        <v>31.1</v>
      </c>
      <c r="M1480">
        <v>64.3</v>
      </c>
      <c r="N1480">
        <v>3.4</v>
      </c>
      <c r="O1480">
        <v>189</v>
      </c>
      <c r="P1480" t="s">
        <v>33</v>
      </c>
    </row>
    <row r="1481" spans="1:16" x14ac:dyDescent="0.25">
      <c r="A1481" t="s">
        <v>1549</v>
      </c>
      <c r="B1481" s="2">
        <v>45825</v>
      </c>
      <c r="C1481" t="s">
        <v>64</v>
      </c>
      <c r="D1481" t="s">
        <v>36</v>
      </c>
      <c r="E1481" t="s">
        <v>91</v>
      </c>
      <c r="F1481">
        <v>44.5</v>
      </c>
      <c r="G1481">
        <v>67.7</v>
      </c>
      <c r="H1481">
        <v>20</v>
      </c>
      <c r="I1481">
        <v>10.8</v>
      </c>
      <c r="J1481">
        <v>0.18</v>
      </c>
      <c r="K1481">
        <v>41.5</v>
      </c>
      <c r="L1481">
        <v>24.8</v>
      </c>
      <c r="M1481">
        <v>76.2</v>
      </c>
      <c r="N1481">
        <v>2.1</v>
      </c>
      <c r="O1481">
        <v>162</v>
      </c>
      <c r="P1481" t="s">
        <v>33</v>
      </c>
    </row>
    <row r="1482" spans="1:16" x14ac:dyDescent="0.25">
      <c r="A1482" t="s">
        <v>1550</v>
      </c>
      <c r="B1482" s="2">
        <v>45816</v>
      </c>
      <c r="C1482" t="s">
        <v>22</v>
      </c>
      <c r="D1482" t="s">
        <v>23</v>
      </c>
      <c r="E1482" t="s">
        <v>32</v>
      </c>
      <c r="F1482">
        <v>33.700000000000003</v>
      </c>
      <c r="G1482">
        <v>70.900000000000006</v>
      </c>
      <c r="H1482">
        <v>13.5</v>
      </c>
      <c r="I1482">
        <v>6.6</v>
      </c>
      <c r="J1482">
        <v>0.38</v>
      </c>
      <c r="K1482">
        <v>104.3</v>
      </c>
      <c r="L1482">
        <v>23.3</v>
      </c>
      <c r="M1482">
        <v>51.9</v>
      </c>
      <c r="N1482">
        <v>3.3</v>
      </c>
      <c r="O1482">
        <v>172</v>
      </c>
      <c r="P1482" t="s">
        <v>33</v>
      </c>
    </row>
    <row r="1483" spans="1:16" x14ac:dyDescent="0.25">
      <c r="A1483" t="s">
        <v>1551</v>
      </c>
      <c r="B1483" s="2">
        <v>45941</v>
      </c>
      <c r="C1483" t="s">
        <v>50</v>
      </c>
      <c r="D1483" t="s">
        <v>31</v>
      </c>
      <c r="E1483" t="s">
        <v>70</v>
      </c>
      <c r="F1483">
        <v>82.5</v>
      </c>
      <c r="G1483">
        <v>89.3</v>
      </c>
      <c r="H1483">
        <v>43</v>
      </c>
      <c r="I1483">
        <v>30.5</v>
      </c>
      <c r="J1483">
        <v>0.46</v>
      </c>
      <c r="K1483">
        <v>42.6</v>
      </c>
      <c r="L1483">
        <v>28.6</v>
      </c>
      <c r="M1483">
        <v>63.5</v>
      </c>
      <c r="N1483">
        <v>1.5</v>
      </c>
      <c r="O1483">
        <v>276</v>
      </c>
      <c r="P1483" t="s">
        <v>28</v>
      </c>
    </row>
    <row r="1484" spans="1:16" x14ac:dyDescent="0.25">
      <c r="A1484" t="s">
        <v>1552</v>
      </c>
      <c r="B1484" s="2">
        <v>45759</v>
      </c>
      <c r="C1484" t="s">
        <v>64</v>
      </c>
      <c r="D1484" t="s">
        <v>36</v>
      </c>
      <c r="E1484" t="s">
        <v>43</v>
      </c>
      <c r="F1484">
        <v>58.3</v>
      </c>
      <c r="G1484">
        <v>146</v>
      </c>
      <c r="H1484">
        <v>60.9</v>
      </c>
      <c r="I1484">
        <v>21</v>
      </c>
      <c r="J1484">
        <v>1.25</v>
      </c>
      <c r="K1484">
        <v>16.899999999999999</v>
      </c>
      <c r="L1484">
        <v>18.100000000000001</v>
      </c>
      <c r="M1484">
        <v>89.1</v>
      </c>
      <c r="N1484">
        <v>3</v>
      </c>
      <c r="O1484">
        <v>290</v>
      </c>
      <c r="P1484" t="s">
        <v>28</v>
      </c>
    </row>
    <row r="1485" spans="1:16" x14ac:dyDescent="0.25">
      <c r="A1485" t="s">
        <v>1553</v>
      </c>
      <c r="B1485" s="2">
        <v>45836</v>
      </c>
      <c r="C1485" t="s">
        <v>35</v>
      </c>
      <c r="D1485" t="s">
        <v>36</v>
      </c>
      <c r="E1485" t="s">
        <v>70</v>
      </c>
      <c r="F1485">
        <v>68.599999999999994</v>
      </c>
      <c r="G1485">
        <v>89.7</v>
      </c>
      <c r="H1485">
        <v>62.7</v>
      </c>
      <c r="I1485">
        <v>11.3</v>
      </c>
      <c r="J1485">
        <v>0.28000000000000003</v>
      </c>
      <c r="K1485">
        <v>31.5</v>
      </c>
      <c r="L1485">
        <v>17</v>
      </c>
      <c r="M1485">
        <v>49</v>
      </c>
      <c r="N1485">
        <v>2.5</v>
      </c>
      <c r="O1485">
        <v>247</v>
      </c>
      <c r="P1485" t="s">
        <v>28</v>
      </c>
    </row>
    <row r="1486" spans="1:16" x14ac:dyDescent="0.25">
      <c r="A1486" t="s">
        <v>1554</v>
      </c>
      <c r="B1486" s="2">
        <v>45838</v>
      </c>
      <c r="C1486" t="s">
        <v>64</v>
      </c>
      <c r="D1486" t="s">
        <v>36</v>
      </c>
      <c r="E1486" t="s">
        <v>68</v>
      </c>
      <c r="F1486">
        <v>52.7</v>
      </c>
      <c r="G1486">
        <v>16.2</v>
      </c>
      <c r="H1486">
        <v>58.6</v>
      </c>
      <c r="I1486">
        <v>20.100000000000001</v>
      </c>
      <c r="J1486">
        <v>0.85</v>
      </c>
      <c r="K1486">
        <v>54.4</v>
      </c>
      <c r="L1486">
        <v>31.9</v>
      </c>
      <c r="M1486">
        <v>59.7</v>
      </c>
      <c r="N1486">
        <v>0.1</v>
      </c>
      <c r="O1486">
        <v>202</v>
      </c>
      <c r="P1486" t="s">
        <v>28</v>
      </c>
    </row>
    <row r="1487" spans="1:16" x14ac:dyDescent="0.25">
      <c r="A1487" t="s">
        <v>1555</v>
      </c>
      <c r="B1487" s="2">
        <v>45967</v>
      </c>
      <c r="C1487" t="s">
        <v>52</v>
      </c>
      <c r="D1487" t="s">
        <v>31</v>
      </c>
      <c r="E1487" t="s">
        <v>43</v>
      </c>
      <c r="F1487">
        <v>24.8</v>
      </c>
      <c r="G1487">
        <v>113</v>
      </c>
      <c r="H1487">
        <v>42.1</v>
      </c>
      <c r="I1487">
        <v>25.9</v>
      </c>
      <c r="J1487">
        <v>0.49</v>
      </c>
      <c r="K1487">
        <v>26.6</v>
      </c>
      <c r="L1487">
        <v>22.8</v>
      </c>
      <c r="M1487">
        <v>69.2</v>
      </c>
      <c r="N1487">
        <v>0.4</v>
      </c>
      <c r="O1487">
        <v>189</v>
      </c>
      <c r="P1487" t="s">
        <v>33</v>
      </c>
    </row>
    <row r="1488" spans="1:16" x14ac:dyDescent="0.25">
      <c r="A1488" t="s">
        <v>1556</v>
      </c>
      <c r="B1488" s="2">
        <v>46003</v>
      </c>
      <c r="C1488" t="s">
        <v>22</v>
      </c>
      <c r="D1488" t="s">
        <v>23</v>
      </c>
      <c r="E1488" t="s">
        <v>61</v>
      </c>
      <c r="F1488">
        <v>7.9</v>
      </c>
      <c r="G1488">
        <v>146.69999999999999</v>
      </c>
      <c r="H1488">
        <v>37.1</v>
      </c>
      <c r="I1488">
        <v>25.8</v>
      </c>
      <c r="J1488">
        <v>0.65</v>
      </c>
      <c r="K1488">
        <v>33.299999999999997</v>
      </c>
      <c r="L1488">
        <v>19.399999999999999</v>
      </c>
      <c r="M1488">
        <v>58.7</v>
      </c>
      <c r="N1488">
        <v>2.8</v>
      </c>
      <c r="O1488">
        <v>187</v>
      </c>
      <c r="P1488" t="s">
        <v>33</v>
      </c>
    </row>
    <row r="1489" spans="1:16" x14ac:dyDescent="0.25">
      <c r="A1489" t="s">
        <v>1557</v>
      </c>
      <c r="B1489" s="2">
        <v>45953</v>
      </c>
      <c r="C1489" t="s">
        <v>42</v>
      </c>
      <c r="D1489" t="s">
        <v>23</v>
      </c>
      <c r="E1489" t="s">
        <v>70</v>
      </c>
      <c r="F1489">
        <v>57.5</v>
      </c>
      <c r="G1489">
        <v>156.30000000000001</v>
      </c>
      <c r="H1489">
        <v>39.5</v>
      </c>
      <c r="I1489">
        <v>10.3</v>
      </c>
      <c r="J1489">
        <v>0.77</v>
      </c>
      <c r="K1489">
        <v>49.4</v>
      </c>
      <c r="L1489">
        <v>29.7</v>
      </c>
      <c r="M1489">
        <v>64.400000000000006</v>
      </c>
      <c r="N1489">
        <v>1.4</v>
      </c>
      <c r="O1489">
        <v>274</v>
      </c>
      <c r="P1489" t="s">
        <v>28</v>
      </c>
    </row>
    <row r="1490" spans="1:16" x14ac:dyDescent="0.25">
      <c r="A1490" t="s">
        <v>1558</v>
      </c>
      <c r="B1490" s="2">
        <v>45770</v>
      </c>
      <c r="C1490" t="s">
        <v>77</v>
      </c>
      <c r="D1490" t="s">
        <v>39</v>
      </c>
      <c r="E1490" t="s">
        <v>91</v>
      </c>
      <c r="F1490">
        <v>23.8</v>
      </c>
      <c r="G1490">
        <v>122.9</v>
      </c>
      <c r="H1490">
        <v>6.3</v>
      </c>
      <c r="I1490">
        <v>18.100000000000001</v>
      </c>
      <c r="J1490">
        <v>0.99</v>
      </c>
      <c r="K1490">
        <v>16.5</v>
      </c>
      <c r="L1490">
        <v>20.399999999999999</v>
      </c>
      <c r="M1490">
        <v>47.4</v>
      </c>
      <c r="N1490">
        <v>2.5</v>
      </c>
      <c r="O1490">
        <v>168</v>
      </c>
      <c r="P1490" t="s">
        <v>33</v>
      </c>
    </row>
    <row r="1491" spans="1:16" x14ac:dyDescent="0.25">
      <c r="A1491" t="s">
        <v>1559</v>
      </c>
      <c r="B1491" s="2">
        <v>45666</v>
      </c>
      <c r="C1491" t="s">
        <v>77</v>
      </c>
      <c r="D1491" t="s">
        <v>39</v>
      </c>
      <c r="E1491" t="s">
        <v>91</v>
      </c>
      <c r="F1491">
        <v>38.9</v>
      </c>
      <c r="G1491">
        <v>171.9</v>
      </c>
      <c r="H1491">
        <v>8.8000000000000007</v>
      </c>
      <c r="I1491">
        <v>1.2</v>
      </c>
      <c r="J1491">
        <v>1.62</v>
      </c>
      <c r="K1491">
        <v>14.5</v>
      </c>
      <c r="L1491">
        <v>27.8</v>
      </c>
      <c r="M1491">
        <v>74.2</v>
      </c>
      <c r="N1491">
        <v>2</v>
      </c>
      <c r="O1491">
        <v>229</v>
      </c>
      <c r="P1491" t="s">
        <v>28</v>
      </c>
    </row>
    <row r="1492" spans="1:16" x14ac:dyDescent="0.25">
      <c r="A1492" t="s">
        <v>1560</v>
      </c>
      <c r="B1492" s="2">
        <v>45880</v>
      </c>
      <c r="C1492" t="s">
        <v>30</v>
      </c>
      <c r="D1492" t="s">
        <v>31</v>
      </c>
      <c r="E1492" t="s">
        <v>40</v>
      </c>
      <c r="F1492">
        <v>40.6</v>
      </c>
      <c r="G1492">
        <v>76</v>
      </c>
      <c r="H1492">
        <v>8.6999999999999993</v>
      </c>
      <c r="I1492">
        <v>20.399999999999999</v>
      </c>
      <c r="J1492">
        <v>0.66</v>
      </c>
      <c r="K1492">
        <v>63.7</v>
      </c>
      <c r="L1492">
        <v>21.9</v>
      </c>
      <c r="M1492">
        <v>57.2</v>
      </c>
      <c r="N1492">
        <v>1</v>
      </c>
      <c r="O1492">
        <v>181</v>
      </c>
      <c r="P1492" t="s">
        <v>33</v>
      </c>
    </row>
    <row r="1493" spans="1:16" x14ac:dyDescent="0.25">
      <c r="A1493" t="s">
        <v>1561</v>
      </c>
      <c r="B1493" s="2">
        <v>45836</v>
      </c>
      <c r="C1493" t="s">
        <v>81</v>
      </c>
      <c r="D1493" t="s">
        <v>39</v>
      </c>
      <c r="E1493" t="s">
        <v>74</v>
      </c>
      <c r="F1493">
        <v>146.9</v>
      </c>
      <c r="G1493">
        <v>35.700000000000003</v>
      </c>
      <c r="H1493">
        <v>24.9</v>
      </c>
      <c r="I1493">
        <v>21.6</v>
      </c>
      <c r="J1493">
        <v>0.81</v>
      </c>
      <c r="K1493">
        <v>32.299999999999997</v>
      </c>
      <c r="L1493">
        <v>22.1</v>
      </c>
      <c r="M1493">
        <v>61.2</v>
      </c>
      <c r="N1493">
        <v>4.4000000000000004</v>
      </c>
      <c r="O1493">
        <v>328</v>
      </c>
      <c r="P1493" t="s">
        <v>20</v>
      </c>
    </row>
    <row r="1494" spans="1:16" x14ac:dyDescent="0.25">
      <c r="A1494" t="s">
        <v>1562</v>
      </c>
      <c r="B1494" s="2">
        <v>45999</v>
      </c>
      <c r="C1494" t="s">
        <v>93</v>
      </c>
      <c r="D1494" t="s">
        <v>36</v>
      </c>
      <c r="E1494" t="s">
        <v>91</v>
      </c>
      <c r="F1494">
        <v>41.5</v>
      </c>
      <c r="G1494">
        <v>146.80000000000001</v>
      </c>
      <c r="H1494">
        <v>28.6</v>
      </c>
      <c r="I1494">
        <v>20.8</v>
      </c>
      <c r="J1494">
        <v>1.84</v>
      </c>
      <c r="K1494">
        <v>17.5</v>
      </c>
      <c r="L1494">
        <v>23.6</v>
      </c>
      <c r="M1494">
        <v>63.6</v>
      </c>
      <c r="N1494">
        <v>3</v>
      </c>
      <c r="O1494">
        <v>253</v>
      </c>
      <c r="P1494" t="s">
        <v>28</v>
      </c>
    </row>
    <row r="1495" spans="1:16" x14ac:dyDescent="0.25">
      <c r="A1495" t="s">
        <v>1563</v>
      </c>
      <c r="B1495" s="2">
        <v>45671</v>
      </c>
      <c r="C1495" t="s">
        <v>17</v>
      </c>
      <c r="D1495" t="s">
        <v>18</v>
      </c>
      <c r="E1495" t="s">
        <v>32</v>
      </c>
      <c r="F1495">
        <v>71.599999999999994</v>
      </c>
      <c r="G1495">
        <v>70.5</v>
      </c>
      <c r="H1495">
        <v>26.5</v>
      </c>
      <c r="I1495">
        <v>29.4</v>
      </c>
      <c r="J1495">
        <v>0.61</v>
      </c>
      <c r="K1495">
        <v>23.2</v>
      </c>
      <c r="L1495">
        <v>20.7</v>
      </c>
      <c r="M1495">
        <v>59.6</v>
      </c>
      <c r="N1495">
        <v>2.6</v>
      </c>
      <c r="O1495">
        <v>228</v>
      </c>
      <c r="P1495" t="s">
        <v>28</v>
      </c>
    </row>
    <row r="1496" spans="1:16" x14ac:dyDescent="0.25">
      <c r="A1496" t="s">
        <v>1564</v>
      </c>
      <c r="B1496" s="2">
        <v>45890</v>
      </c>
      <c r="C1496" t="s">
        <v>67</v>
      </c>
      <c r="D1496" t="s">
        <v>18</v>
      </c>
      <c r="E1496" t="s">
        <v>19</v>
      </c>
      <c r="F1496">
        <v>60.5</v>
      </c>
      <c r="G1496">
        <v>61.3</v>
      </c>
      <c r="H1496">
        <v>11.7</v>
      </c>
      <c r="I1496">
        <v>6.7</v>
      </c>
      <c r="J1496">
        <v>1.49</v>
      </c>
      <c r="K1496">
        <v>54.6</v>
      </c>
      <c r="L1496">
        <v>19.5</v>
      </c>
      <c r="M1496">
        <v>89.4</v>
      </c>
      <c r="N1496">
        <v>0.6</v>
      </c>
      <c r="O1496">
        <v>213</v>
      </c>
      <c r="P1496" t="s">
        <v>28</v>
      </c>
    </row>
    <row r="1497" spans="1:16" x14ac:dyDescent="0.25">
      <c r="A1497" t="s">
        <v>1565</v>
      </c>
      <c r="B1497" s="2">
        <v>45799</v>
      </c>
      <c r="C1497" t="s">
        <v>42</v>
      </c>
      <c r="D1497" t="s">
        <v>23</v>
      </c>
      <c r="E1497" t="s">
        <v>61</v>
      </c>
      <c r="F1497">
        <v>53.8</v>
      </c>
      <c r="G1497">
        <v>137.6</v>
      </c>
      <c r="H1497">
        <v>22</v>
      </c>
      <c r="I1497">
        <v>10.8</v>
      </c>
      <c r="J1497">
        <v>0.77</v>
      </c>
      <c r="K1497">
        <v>12.2</v>
      </c>
      <c r="L1497">
        <v>29.5</v>
      </c>
      <c r="M1497">
        <v>53.8</v>
      </c>
      <c r="N1497">
        <v>3.7</v>
      </c>
      <c r="O1497">
        <v>225</v>
      </c>
      <c r="P1497" t="s">
        <v>28</v>
      </c>
    </row>
    <row r="1498" spans="1:16" x14ac:dyDescent="0.25">
      <c r="A1498" t="s">
        <v>1566</v>
      </c>
      <c r="B1498" s="2">
        <v>45846</v>
      </c>
      <c r="C1498" t="s">
        <v>64</v>
      </c>
      <c r="D1498" t="s">
        <v>36</v>
      </c>
      <c r="E1498" t="s">
        <v>61</v>
      </c>
      <c r="F1498">
        <v>57.1</v>
      </c>
      <c r="G1498">
        <v>61.4</v>
      </c>
      <c r="H1498">
        <v>17.899999999999999</v>
      </c>
      <c r="I1498">
        <v>2</v>
      </c>
      <c r="J1498">
        <v>0.75</v>
      </c>
      <c r="K1498">
        <v>39</v>
      </c>
      <c r="L1498">
        <v>34.6</v>
      </c>
      <c r="M1498">
        <v>39.5</v>
      </c>
      <c r="N1498">
        <v>3.3</v>
      </c>
      <c r="O1498">
        <v>183</v>
      </c>
      <c r="P1498" t="s">
        <v>33</v>
      </c>
    </row>
    <row r="1499" spans="1:16" x14ac:dyDescent="0.25">
      <c r="A1499" t="s">
        <v>1567</v>
      </c>
      <c r="B1499" s="2">
        <v>45793</v>
      </c>
      <c r="C1499" t="s">
        <v>81</v>
      </c>
      <c r="D1499" t="s">
        <v>39</v>
      </c>
      <c r="E1499" t="s">
        <v>58</v>
      </c>
      <c r="F1499">
        <v>87.4</v>
      </c>
      <c r="G1499">
        <v>69.400000000000006</v>
      </c>
      <c r="H1499">
        <v>38.799999999999997</v>
      </c>
      <c r="I1499">
        <v>2.5</v>
      </c>
      <c r="J1499">
        <v>0.5</v>
      </c>
      <c r="K1499">
        <v>41.9</v>
      </c>
      <c r="L1499">
        <v>23.4</v>
      </c>
      <c r="M1499">
        <v>66.7</v>
      </c>
      <c r="N1499">
        <v>2.8</v>
      </c>
      <c r="O1499">
        <v>249</v>
      </c>
      <c r="P1499" t="s">
        <v>28</v>
      </c>
    </row>
    <row r="1500" spans="1:16" x14ac:dyDescent="0.25">
      <c r="A1500" t="s">
        <v>1568</v>
      </c>
      <c r="B1500" s="2">
        <v>45686</v>
      </c>
      <c r="C1500" t="s">
        <v>99</v>
      </c>
      <c r="D1500" t="s">
        <v>36</v>
      </c>
      <c r="E1500" t="s">
        <v>32</v>
      </c>
      <c r="F1500">
        <v>62.8</v>
      </c>
      <c r="G1500">
        <v>154.1</v>
      </c>
      <c r="H1500">
        <v>17</v>
      </c>
      <c r="I1500">
        <v>26.5</v>
      </c>
      <c r="J1500">
        <v>0.48</v>
      </c>
      <c r="K1500">
        <v>7.2</v>
      </c>
      <c r="L1500">
        <v>24.5</v>
      </c>
      <c r="M1500">
        <v>58.1</v>
      </c>
      <c r="N1500">
        <v>2.8</v>
      </c>
      <c r="O1500">
        <v>248</v>
      </c>
      <c r="P1500" t="s">
        <v>28</v>
      </c>
    </row>
    <row r="1501" spans="1:16" x14ac:dyDescent="0.25">
      <c r="A1501" t="s">
        <v>1569</v>
      </c>
      <c r="B1501" s="2">
        <v>45949</v>
      </c>
      <c r="C1501" t="s">
        <v>17</v>
      </c>
      <c r="D1501" t="s">
        <v>18</v>
      </c>
      <c r="E1501" t="s">
        <v>55</v>
      </c>
      <c r="F1501">
        <v>44.9</v>
      </c>
      <c r="G1501">
        <v>81.2</v>
      </c>
      <c r="H1501">
        <v>4.5</v>
      </c>
      <c r="I1501">
        <v>13.7</v>
      </c>
      <c r="J1501">
        <v>0.59</v>
      </c>
      <c r="K1501">
        <v>14.3</v>
      </c>
      <c r="L1501">
        <v>24.6</v>
      </c>
      <c r="M1501">
        <v>70.400000000000006</v>
      </c>
      <c r="N1501">
        <v>3.3</v>
      </c>
      <c r="O1501">
        <v>159</v>
      </c>
      <c r="P1501" t="s">
        <v>33</v>
      </c>
    </row>
    <row r="1502" spans="1:16" x14ac:dyDescent="0.25">
      <c r="A1502" t="s">
        <v>65</v>
      </c>
      <c r="B1502" s="2">
        <v>45703</v>
      </c>
      <c r="C1502" t="s">
        <v>22</v>
      </c>
      <c r="D1502" t="s">
        <v>23</v>
      </c>
      <c r="E1502" t="s">
        <v>61</v>
      </c>
      <c r="F1502">
        <v>165</v>
      </c>
      <c r="G1502">
        <v>79.599999999999994</v>
      </c>
      <c r="H1502">
        <v>40.4</v>
      </c>
      <c r="I1502">
        <v>13</v>
      </c>
      <c r="J1502">
        <v>0.86</v>
      </c>
      <c r="K1502">
        <v>62.4</v>
      </c>
      <c r="L1502">
        <v>28.8</v>
      </c>
      <c r="M1502">
        <v>58.3</v>
      </c>
      <c r="N1502">
        <v>2</v>
      </c>
      <c r="O1502">
        <v>407</v>
      </c>
      <c r="P1502" t="s">
        <v>20</v>
      </c>
    </row>
    <row r="1503" spans="1:16" x14ac:dyDescent="0.25">
      <c r="A1503" t="s">
        <v>101</v>
      </c>
      <c r="B1503" s="2">
        <v>45879</v>
      </c>
      <c r="C1503" t="s">
        <v>30</v>
      </c>
      <c r="D1503" t="s">
        <v>31</v>
      </c>
      <c r="E1503" t="s">
        <v>91</v>
      </c>
      <c r="F1503">
        <v>56.9</v>
      </c>
      <c r="G1503">
        <v>154.9</v>
      </c>
      <c r="H1503">
        <v>13.7</v>
      </c>
      <c r="I1503">
        <v>6.1</v>
      </c>
      <c r="J1503">
        <v>0.15</v>
      </c>
      <c r="K1503">
        <v>13.5</v>
      </c>
      <c r="L1503">
        <v>32.200000000000003</v>
      </c>
      <c r="M1503">
        <v>74</v>
      </c>
      <c r="N1503">
        <v>0.8</v>
      </c>
      <c r="O1503">
        <v>217</v>
      </c>
      <c r="P1503" t="s">
        <v>28</v>
      </c>
    </row>
    <row r="1504" spans="1:16" x14ac:dyDescent="0.25">
      <c r="A1504" t="s">
        <v>146</v>
      </c>
      <c r="B1504" s="2">
        <v>45788</v>
      </c>
      <c r="C1504" t="s">
        <v>81</v>
      </c>
      <c r="D1504" t="s">
        <v>39</v>
      </c>
      <c r="E1504" t="s">
        <v>61</v>
      </c>
      <c r="F1504">
        <v>36.5</v>
      </c>
      <c r="G1504">
        <v>110.4</v>
      </c>
      <c r="H1504">
        <v>13.8</v>
      </c>
      <c r="I1504">
        <v>14.8</v>
      </c>
      <c r="J1504">
        <v>1.57</v>
      </c>
      <c r="K1504">
        <v>58.5</v>
      </c>
      <c r="L1504">
        <v>27.2</v>
      </c>
      <c r="M1504">
        <v>30.6</v>
      </c>
      <c r="N1504">
        <v>0.6</v>
      </c>
      <c r="O1504">
        <v>217</v>
      </c>
      <c r="P1504" t="s">
        <v>28</v>
      </c>
    </row>
  </sheetData>
  <autoFilter ref="A1:P1504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01"/>
  <sheetViews>
    <sheetView topLeftCell="B8" zoomScale="70" zoomScaleNormal="70" workbookViewId="0">
      <selection activeCell="B2" sqref="B2:B1501"/>
    </sheetView>
  </sheetViews>
  <sheetFormatPr defaultRowHeight="15" x14ac:dyDescent="0.25"/>
  <cols>
    <col min="1" max="1" width="14.5703125" bestFit="1" customWidth="1"/>
    <col min="2" max="2" width="18.28515625" bestFit="1" customWidth="1"/>
    <col min="3" max="3" width="13.140625" bestFit="1" customWidth="1"/>
    <col min="4" max="4" width="11.7109375" bestFit="1" customWidth="1"/>
    <col min="5" max="5" width="23.140625" bestFit="1" customWidth="1"/>
    <col min="6" max="6" width="18.140625" style="3" bestFit="1" customWidth="1"/>
    <col min="7" max="7" width="17.42578125" style="3" bestFit="1" customWidth="1"/>
    <col min="8" max="8" width="16.28515625" style="3" bestFit="1" customWidth="1"/>
    <col min="9" max="9" width="15.85546875" style="3" bestFit="1" customWidth="1"/>
    <col min="10" max="10" width="15.5703125" style="3" bestFit="1" customWidth="1"/>
    <col min="11" max="11" width="14.85546875" style="3" bestFit="1" customWidth="1"/>
    <col min="12" max="12" width="19.42578125" bestFit="1" customWidth="1"/>
    <col min="13" max="14" width="21.85546875" bestFit="1" customWidth="1"/>
    <col min="15" max="15" width="8.85546875" bestFit="1" customWidth="1"/>
    <col min="16" max="16" width="17.85546875" bestFit="1" customWidth="1"/>
    <col min="17" max="17" width="18.28515625" customWidth="1"/>
    <col min="18" max="18" width="20.42578125" customWidth="1"/>
    <col min="19" max="19" width="18.140625" customWidth="1"/>
    <col min="20" max="20" width="17.140625" customWidth="1"/>
  </cols>
  <sheetData>
    <row r="1" spans="1:20" s="15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4" t="s">
        <v>1572</v>
      </c>
      <c r="R1" s="14" t="s">
        <v>1570</v>
      </c>
      <c r="S1" s="14" t="s">
        <v>1571</v>
      </c>
      <c r="T1" s="14" t="s">
        <v>1573</v>
      </c>
    </row>
    <row r="2" spans="1:20" x14ac:dyDescent="0.25">
      <c r="A2" s="7" t="s">
        <v>16</v>
      </c>
      <c r="B2" s="10">
        <v>46010</v>
      </c>
      <c r="C2" s="11" t="s">
        <v>17</v>
      </c>
      <c r="D2" s="11" t="s">
        <v>18</v>
      </c>
      <c r="E2" s="7" t="s">
        <v>19</v>
      </c>
      <c r="F2" s="9">
        <v>103.5</v>
      </c>
      <c r="G2" s="9">
        <v>133</v>
      </c>
      <c r="H2" s="9">
        <v>27.2</v>
      </c>
      <c r="I2" s="9">
        <v>17.8</v>
      </c>
      <c r="J2" s="9">
        <v>1.66</v>
      </c>
      <c r="K2" s="9">
        <v>27</v>
      </c>
      <c r="L2" s="7">
        <v>28.4</v>
      </c>
      <c r="M2" s="7">
        <v>40.200000000000003</v>
      </c>
      <c r="N2" s="7">
        <v>2.6</v>
      </c>
      <c r="O2" s="7">
        <v>340</v>
      </c>
      <c r="P2" s="7" t="s">
        <v>20</v>
      </c>
      <c r="Q2" s="7" t="str">
        <f>IF(G2&lt;50,"Good",IF(G2&lt;=100,"Moderate",IF(G2&lt;=150,"Unhealthy","VeryUnhealthy")))</f>
        <v>Unhealthy</v>
      </c>
      <c r="R2" s="7" t="str">
        <f>IF(L2&lt;20,"Cool",IF(L2&lt;=30,"Normal","Hot"))</f>
        <v>Normal</v>
      </c>
      <c r="S2" s="7" t="s">
        <v>1574</v>
      </c>
      <c r="T2" s="7" t="str">
        <f>IF(N2&lt;2,"Low Wind",IF(N2&lt;=5,"Moderate Wind","High Wind"))</f>
        <v>Moderate Wind</v>
      </c>
    </row>
    <row r="3" spans="1:20" x14ac:dyDescent="0.25">
      <c r="A3" s="7" t="s">
        <v>21</v>
      </c>
      <c r="B3" s="10">
        <v>45911</v>
      </c>
      <c r="C3" s="11" t="s">
        <v>22</v>
      </c>
      <c r="D3" s="11" t="s">
        <v>23</v>
      </c>
      <c r="E3" s="7" t="s">
        <v>24</v>
      </c>
      <c r="F3" s="9">
        <v>69.3</v>
      </c>
      <c r="G3" s="9">
        <v>206.9</v>
      </c>
      <c r="H3" s="9">
        <v>43.2</v>
      </c>
      <c r="I3" s="9">
        <v>20</v>
      </c>
      <c r="J3" s="9">
        <v>0.96</v>
      </c>
      <c r="K3" s="9">
        <v>17</v>
      </c>
      <c r="L3" s="7">
        <v>36.9</v>
      </c>
      <c r="M3" s="7">
        <v>88.5</v>
      </c>
      <c r="N3" s="7">
        <v>1.5</v>
      </c>
      <c r="O3" s="7">
        <v>326</v>
      </c>
      <c r="P3" s="7" t="s">
        <v>20</v>
      </c>
      <c r="Q3" s="7" t="str">
        <f t="shared" ref="Q3:Q66" si="0">IF(G3&lt;50,"Good",IF(G3&lt;=100,"Moderate",IF(G3&lt;=150,"Unhealthy","VeryUnhealthy")))</f>
        <v>VeryUnhealthy</v>
      </c>
      <c r="R3" s="7" t="str">
        <f t="shared" ref="R3:R66" si="1">IF(L3&lt;20,"Cool",IF(L3&lt;=30,"Normal","Hot"))</f>
        <v>Hot</v>
      </c>
      <c r="S3" s="7" t="str">
        <f t="shared" ref="S3:S66" si="2">IF(M3&lt;30,"Low Humidity",IF(M3&lt;=60,"Normal Humidity","High Humidity"))</f>
        <v>High Humidity</v>
      </c>
      <c r="T3" s="7" t="str">
        <f t="shared" ref="T3:T66" si="3">IF(N3&lt;2,"Low Wind",IF(N3&lt;=5,"Moderate Wind","High Wind"))</f>
        <v>Low Wind</v>
      </c>
    </row>
    <row r="4" spans="1:20" x14ac:dyDescent="0.25">
      <c r="A4" s="7" t="s">
        <v>25</v>
      </c>
      <c r="B4" s="10">
        <v>45803</v>
      </c>
      <c r="C4" s="11" t="s">
        <v>26</v>
      </c>
      <c r="D4" s="11" t="s">
        <v>23</v>
      </c>
      <c r="E4" s="7" t="s">
        <v>27</v>
      </c>
      <c r="F4" s="9">
        <v>42.2</v>
      </c>
      <c r="G4" s="9">
        <v>138.1</v>
      </c>
      <c r="H4" s="9">
        <v>24</v>
      </c>
      <c r="I4" s="9">
        <v>1.4</v>
      </c>
      <c r="J4" s="9">
        <v>0.14000000000000001</v>
      </c>
      <c r="K4" s="9">
        <v>62.3</v>
      </c>
      <c r="L4" s="7">
        <v>37.4</v>
      </c>
      <c r="M4" s="7">
        <v>53.4</v>
      </c>
      <c r="N4" s="7">
        <v>2.2000000000000002</v>
      </c>
      <c r="O4" s="7">
        <v>209</v>
      </c>
      <c r="P4" s="7" t="s">
        <v>28</v>
      </c>
      <c r="Q4" s="7" t="str">
        <f t="shared" si="0"/>
        <v>Unhealthy</v>
      </c>
      <c r="R4" s="7" t="str">
        <f t="shared" si="1"/>
        <v>Hot</v>
      </c>
      <c r="S4" s="7" t="str">
        <f t="shared" si="2"/>
        <v>Normal Humidity</v>
      </c>
      <c r="T4" s="7" t="str">
        <f t="shared" si="3"/>
        <v>Moderate Wind</v>
      </c>
    </row>
    <row r="5" spans="1:20" x14ac:dyDescent="0.25">
      <c r="A5" s="7" t="s">
        <v>29</v>
      </c>
      <c r="B5" s="10">
        <v>45716</v>
      </c>
      <c r="C5" s="11" t="s">
        <v>30</v>
      </c>
      <c r="D5" s="11" t="s">
        <v>31</v>
      </c>
      <c r="E5" s="7" t="s">
        <v>32</v>
      </c>
      <c r="F5" s="9">
        <v>18.2</v>
      </c>
      <c r="G5" s="9">
        <v>133.19999999999999</v>
      </c>
      <c r="H5" s="9">
        <v>45.4</v>
      </c>
      <c r="I5" s="9">
        <v>10.199999999999999</v>
      </c>
      <c r="J5" s="9">
        <v>0.55000000000000004</v>
      </c>
      <c r="K5" s="9">
        <v>53.4</v>
      </c>
      <c r="L5" s="7">
        <v>21.2</v>
      </c>
      <c r="M5" s="7">
        <v>34.200000000000003</v>
      </c>
      <c r="N5" s="7">
        <v>3.6</v>
      </c>
      <c r="O5" s="7">
        <v>197</v>
      </c>
      <c r="P5" s="7" t="s">
        <v>33</v>
      </c>
      <c r="Q5" s="7" t="str">
        <f t="shared" si="0"/>
        <v>Unhealthy</v>
      </c>
      <c r="R5" s="7" t="str">
        <f t="shared" si="1"/>
        <v>Normal</v>
      </c>
      <c r="S5" s="7" t="str">
        <f t="shared" si="2"/>
        <v>Normal Humidity</v>
      </c>
      <c r="T5" s="7" t="str">
        <f t="shared" si="3"/>
        <v>Moderate Wind</v>
      </c>
    </row>
    <row r="6" spans="1:20" x14ac:dyDescent="0.25">
      <c r="A6" s="7" t="s">
        <v>34</v>
      </c>
      <c r="B6" s="10">
        <v>45930</v>
      </c>
      <c r="C6" s="11" t="s">
        <v>35</v>
      </c>
      <c r="D6" s="11" t="s">
        <v>36</v>
      </c>
      <c r="E6" s="7" t="s">
        <v>32</v>
      </c>
      <c r="F6" s="9">
        <v>46</v>
      </c>
      <c r="G6" s="9">
        <v>58.1</v>
      </c>
      <c r="H6" s="9">
        <v>8.1</v>
      </c>
      <c r="I6" s="9">
        <v>12.6</v>
      </c>
      <c r="J6" s="9">
        <v>0.46</v>
      </c>
      <c r="K6" s="9">
        <v>21.9</v>
      </c>
      <c r="L6" s="7">
        <v>23.6</v>
      </c>
      <c r="M6" s="7">
        <v>47.1</v>
      </c>
      <c r="N6" s="7">
        <v>2.2000000000000002</v>
      </c>
      <c r="O6" s="7">
        <v>148</v>
      </c>
      <c r="P6" s="7" t="s">
        <v>33</v>
      </c>
      <c r="Q6" s="7" t="str">
        <f t="shared" si="0"/>
        <v>Moderate</v>
      </c>
      <c r="R6" s="7" t="str">
        <f t="shared" si="1"/>
        <v>Normal</v>
      </c>
      <c r="S6" s="7" t="str">
        <f t="shared" si="2"/>
        <v>Normal Humidity</v>
      </c>
      <c r="T6" s="7" t="str">
        <f t="shared" si="3"/>
        <v>Moderate Wind</v>
      </c>
    </row>
    <row r="7" spans="1:20" x14ac:dyDescent="0.25">
      <c r="A7" s="7" t="s">
        <v>37</v>
      </c>
      <c r="B7" s="10">
        <v>45969</v>
      </c>
      <c r="C7" s="11" t="s">
        <v>38</v>
      </c>
      <c r="D7" s="11" t="s">
        <v>39</v>
      </c>
      <c r="E7" s="7" t="s">
        <v>40</v>
      </c>
      <c r="F7" s="9">
        <v>40.1</v>
      </c>
      <c r="G7" s="9">
        <v>72.7</v>
      </c>
      <c r="H7" s="9">
        <v>47.7</v>
      </c>
      <c r="I7" s="9">
        <v>7.6</v>
      </c>
      <c r="J7" s="9">
        <v>1.68</v>
      </c>
      <c r="K7" s="9">
        <v>87.8</v>
      </c>
      <c r="L7" s="7">
        <v>29.9</v>
      </c>
      <c r="M7" s="7">
        <v>62.5</v>
      </c>
      <c r="N7" s="7">
        <v>1.8</v>
      </c>
      <c r="O7" s="7">
        <v>236</v>
      </c>
      <c r="P7" s="7" t="s">
        <v>28</v>
      </c>
      <c r="Q7" s="7" t="str">
        <f t="shared" si="0"/>
        <v>Moderate</v>
      </c>
      <c r="R7" s="7" t="str">
        <f t="shared" si="1"/>
        <v>Normal</v>
      </c>
      <c r="S7" s="7" t="str">
        <f t="shared" si="2"/>
        <v>High Humidity</v>
      </c>
      <c r="T7" s="7" t="str">
        <f t="shared" si="3"/>
        <v>Low Wind</v>
      </c>
    </row>
    <row r="8" spans="1:20" x14ac:dyDescent="0.25">
      <c r="A8" s="7" t="s">
        <v>41</v>
      </c>
      <c r="B8" s="10">
        <v>46009</v>
      </c>
      <c r="C8" s="11" t="s">
        <v>42</v>
      </c>
      <c r="D8" s="11" t="s">
        <v>23</v>
      </c>
      <c r="E8" s="7" t="s">
        <v>43</v>
      </c>
      <c r="F8" s="9">
        <v>118.1</v>
      </c>
      <c r="G8" s="9">
        <v>63</v>
      </c>
      <c r="H8" s="9">
        <v>74.7</v>
      </c>
      <c r="I8" s="9">
        <v>28.1</v>
      </c>
      <c r="J8" s="9">
        <v>0.63</v>
      </c>
      <c r="K8" s="9">
        <v>41.3</v>
      </c>
      <c r="L8" s="7">
        <v>32.200000000000003</v>
      </c>
      <c r="M8" s="7">
        <v>44</v>
      </c>
      <c r="N8" s="7">
        <v>1.4</v>
      </c>
      <c r="O8" s="7">
        <v>344</v>
      </c>
      <c r="P8" s="7" t="s">
        <v>20</v>
      </c>
      <c r="Q8" s="7" t="str">
        <f t="shared" si="0"/>
        <v>Moderate</v>
      </c>
      <c r="R8" s="7" t="str">
        <f t="shared" si="1"/>
        <v>Hot</v>
      </c>
      <c r="S8" s="7" t="str">
        <f t="shared" si="2"/>
        <v>Normal Humidity</v>
      </c>
      <c r="T8" s="7" t="str">
        <f t="shared" si="3"/>
        <v>Low Wind</v>
      </c>
    </row>
    <row r="9" spans="1:20" x14ac:dyDescent="0.25">
      <c r="A9" s="7" t="s">
        <v>44</v>
      </c>
      <c r="B9" s="10">
        <v>45742</v>
      </c>
      <c r="C9" s="11" t="s">
        <v>35</v>
      </c>
      <c r="D9" s="11" t="s">
        <v>36</v>
      </c>
      <c r="E9" s="7" t="s">
        <v>45</v>
      </c>
      <c r="F9" s="9">
        <v>49.1</v>
      </c>
      <c r="G9" s="9">
        <v>87.3</v>
      </c>
      <c r="H9" s="9">
        <v>83.2</v>
      </c>
      <c r="I9" s="9">
        <v>27.3</v>
      </c>
      <c r="J9" s="9">
        <v>0.17</v>
      </c>
      <c r="K9" s="9">
        <v>64.8</v>
      </c>
      <c r="L9" s="7">
        <v>32.200000000000003</v>
      </c>
      <c r="M9" s="7">
        <v>76.7</v>
      </c>
      <c r="N9" s="7">
        <v>2.6</v>
      </c>
      <c r="O9" s="7">
        <v>254</v>
      </c>
      <c r="P9" s="7" t="s">
        <v>28</v>
      </c>
      <c r="Q9" s="7" t="str">
        <f t="shared" si="0"/>
        <v>Moderate</v>
      </c>
      <c r="R9" s="7" t="str">
        <f t="shared" si="1"/>
        <v>Hot</v>
      </c>
      <c r="S9" s="7" t="str">
        <f t="shared" si="2"/>
        <v>High Humidity</v>
      </c>
      <c r="T9" s="7" t="str">
        <f t="shared" si="3"/>
        <v>Moderate Wind</v>
      </c>
    </row>
    <row r="10" spans="1:20" x14ac:dyDescent="0.25">
      <c r="A10" s="7" t="s">
        <v>46</v>
      </c>
      <c r="B10" s="10">
        <v>45885</v>
      </c>
      <c r="C10" s="11" t="s">
        <v>30</v>
      </c>
      <c r="D10" s="11" t="s">
        <v>31</v>
      </c>
      <c r="E10" s="7" t="s">
        <v>32</v>
      </c>
      <c r="F10" s="9">
        <v>55.8</v>
      </c>
      <c r="G10" s="9">
        <v>92.2</v>
      </c>
      <c r="H10" s="9">
        <v>85.9</v>
      </c>
      <c r="I10" s="9">
        <v>7.7</v>
      </c>
      <c r="J10" s="9">
        <v>1.02</v>
      </c>
      <c r="K10" s="9">
        <v>33.9</v>
      </c>
      <c r="L10" s="7">
        <v>29.8</v>
      </c>
      <c r="M10" s="7">
        <v>43.8</v>
      </c>
      <c r="N10" s="7">
        <v>0.9</v>
      </c>
      <c r="O10" s="7">
        <v>264</v>
      </c>
      <c r="P10" s="7" t="s">
        <v>28</v>
      </c>
      <c r="Q10" s="7" t="str">
        <f t="shared" si="0"/>
        <v>Moderate</v>
      </c>
      <c r="R10" s="7" t="str">
        <f t="shared" si="1"/>
        <v>Normal</v>
      </c>
      <c r="S10" s="7" t="str">
        <f t="shared" si="2"/>
        <v>Normal Humidity</v>
      </c>
      <c r="T10" s="7" t="str">
        <f t="shared" si="3"/>
        <v>Low Wind</v>
      </c>
    </row>
    <row r="11" spans="1:20" x14ac:dyDescent="0.25">
      <c r="A11" s="7" t="s">
        <v>47</v>
      </c>
      <c r="B11" s="10">
        <v>45684</v>
      </c>
      <c r="C11" s="11" t="s">
        <v>35</v>
      </c>
      <c r="D11" s="11" t="s">
        <v>36</v>
      </c>
      <c r="E11" s="7" t="s">
        <v>45</v>
      </c>
      <c r="F11" s="9">
        <v>3.8</v>
      </c>
      <c r="G11" s="9">
        <v>119.9</v>
      </c>
      <c r="H11" s="9">
        <v>23.6</v>
      </c>
      <c r="I11" s="9">
        <v>10.6</v>
      </c>
      <c r="J11" s="9">
        <v>0.8</v>
      </c>
      <c r="K11" s="9">
        <v>31.9</v>
      </c>
      <c r="L11" s="7">
        <v>36.9</v>
      </c>
      <c r="M11" s="7">
        <v>95.7</v>
      </c>
      <c r="N11" s="7">
        <v>3.4</v>
      </c>
      <c r="O11" s="7">
        <v>145</v>
      </c>
      <c r="P11" s="7" t="s">
        <v>33</v>
      </c>
      <c r="Q11" s="7" t="str">
        <f t="shared" si="0"/>
        <v>Unhealthy</v>
      </c>
      <c r="R11" s="7" t="str">
        <f t="shared" si="1"/>
        <v>Hot</v>
      </c>
      <c r="S11" s="7" t="str">
        <f t="shared" si="2"/>
        <v>High Humidity</v>
      </c>
      <c r="T11" s="7" t="str">
        <f t="shared" si="3"/>
        <v>Moderate Wind</v>
      </c>
    </row>
    <row r="12" spans="1:20" x14ac:dyDescent="0.25">
      <c r="A12" s="7" t="s">
        <v>48</v>
      </c>
      <c r="B12" s="10">
        <v>46005</v>
      </c>
      <c r="C12" s="11" t="s">
        <v>17</v>
      </c>
      <c r="D12" s="11" t="s">
        <v>18</v>
      </c>
      <c r="E12" s="7" t="s">
        <v>40</v>
      </c>
      <c r="F12" s="9">
        <v>101.6</v>
      </c>
      <c r="G12" s="9">
        <v>116.6</v>
      </c>
      <c r="H12" s="9">
        <v>19.100000000000001</v>
      </c>
      <c r="I12" s="9">
        <v>62.5</v>
      </c>
      <c r="J12" s="9">
        <v>1.1399999999999999</v>
      </c>
      <c r="K12" s="9">
        <v>9.1</v>
      </c>
      <c r="L12" s="7">
        <v>31.8</v>
      </c>
      <c r="M12" s="7">
        <v>64.5</v>
      </c>
      <c r="N12" s="7">
        <v>0.9</v>
      </c>
      <c r="O12" s="7">
        <v>330</v>
      </c>
      <c r="P12" s="7" t="s">
        <v>20</v>
      </c>
      <c r="Q12" s="7" t="str">
        <f t="shared" si="0"/>
        <v>Unhealthy</v>
      </c>
      <c r="R12" s="7" t="str">
        <f t="shared" si="1"/>
        <v>Hot</v>
      </c>
      <c r="S12" s="7" t="str">
        <f t="shared" si="2"/>
        <v>High Humidity</v>
      </c>
      <c r="T12" s="7" t="str">
        <f t="shared" si="3"/>
        <v>Low Wind</v>
      </c>
    </row>
    <row r="13" spans="1:20" x14ac:dyDescent="0.25">
      <c r="A13" s="7" t="s">
        <v>49</v>
      </c>
      <c r="B13" s="10">
        <v>45688</v>
      </c>
      <c r="C13" s="11" t="s">
        <v>50</v>
      </c>
      <c r="D13" s="11" t="s">
        <v>31</v>
      </c>
      <c r="E13" s="7" t="s">
        <v>19</v>
      </c>
      <c r="F13" s="9">
        <v>19.100000000000001</v>
      </c>
      <c r="G13" s="9">
        <v>80.099999999999994</v>
      </c>
      <c r="H13" s="9">
        <v>16.100000000000001</v>
      </c>
      <c r="I13" s="9">
        <v>13.3</v>
      </c>
      <c r="J13" s="9">
        <v>1.23</v>
      </c>
      <c r="K13" s="9">
        <v>18.899999999999999</v>
      </c>
      <c r="L13" s="7">
        <v>32.4</v>
      </c>
      <c r="M13" s="7">
        <v>57.4</v>
      </c>
      <c r="N13" s="7">
        <v>1.6</v>
      </c>
      <c r="O13" s="7">
        <v>144</v>
      </c>
      <c r="P13" s="7" t="s">
        <v>33</v>
      </c>
      <c r="Q13" s="7" t="str">
        <f t="shared" si="0"/>
        <v>Moderate</v>
      </c>
      <c r="R13" s="7" t="str">
        <f t="shared" si="1"/>
        <v>Hot</v>
      </c>
      <c r="S13" s="7" t="str">
        <f t="shared" si="2"/>
        <v>Normal Humidity</v>
      </c>
      <c r="T13" s="7" t="str">
        <f t="shared" si="3"/>
        <v>Low Wind</v>
      </c>
    </row>
    <row r="14" spans="1:20" x14ac:dyDescent="0.25">
      <c r="A14" s="7" t="s">
        <v>51</v>
      </c>
      <c r="B14" s="10">
        <v>45946</v>
      </c>
      <c r="C14" s="11" t="s">
        <v>52</v>
      </c>
      <c r="D14" s="11" t="s">
        <v>31</v>
      </c>
      <c r="E14" s="7" t="s">
        <v>32</v>
      </c>
      <c r="F14" s="9">
        <v>38.6</v>
      </c>
      <c r="G14" s="9">
        <v>113.7</v>
      </c>
      <c r="H14" s="9">
        <v>14.9</v>
      </c>
      <c r="I14" s="9">
        <v>23.9</v>
      </c>
      <c r="J14" s="9">
        <v>0.96</v>
      </c>
      <c r="K14" s="9">
        <v>32.200000000000003</v>
      </c>
      <c r="L14" s="7">
        <v>22.5</v>
      </c>
      <c r="M14" s="7">
        <v>71.5</v>
      </c>
      <c r="N14" s="7">
        <v>2</v>
      </c>
      <c r="O14" s="7">
        <v>203</v>
      </c>
      <c r="P14" s="7" t="s">
        <v>28</v>
      </c>
      <c r="Q14" s="7" t="str">
        <f t="shared" si="0"/>
        <v>Unhealthy</v>
      </c>
      <c r="R14" s="7" t="str">
        <f t="shared" si="1"/>
        <v>Normal</v>
      </c>
      <c r="S14" s="7" t="str">
        <f t="shared" si="2"/>
        <v>High Humidity</v>
      </c>
      <c r="T14" s="7" t="str">
        <f t="shared" si="3"/>
        <v>Moderate Wind</v>
      </c>
    </row>
    <row r="15" spans="1:20" x14ac:dyDescent="0.25">
      <c r="A15" s="7" t="s">
        <v>53</v>
      </c>
      <c r="B15" s="10">
        <v>45944</v>
      </c>
      <c r="C15" s="11" t="s">
        <v>54</v>
      </c>
      <c r="D15" s="11" t="s">
        <v>18</v>
      </c>
      <c r="E15" s="7" t="s">
        <v>55</v>
      </c>
      <c r="F15" s="9">
        <v>47.4</v>
      </c>
      <c r="G15" s="9">
        <v>74.5</v>
      </c>
      <c r="H15" s="9">
        <v>23.8</v>
      </c>
      <c r="I15" s="9">
        <v>4.5</v>
      </c>
      <c r="J15" s="9">
        <v>1.34</v>
      </c>
      <c r="K15" s="9">
        <v>15.2</v>
      </c>
      <c r="L15" s="7">
        <v>21.1</v>
      </c>
      <c r="M15" s="7">
        <v>58.8</v>
      </c>
      <c r="N15" s="7">
        <v>3.3</v>
      </c>
      <c r="O15" s="7">
        <v>187</v>
      </c>
      <c r="P15" s="7" t="s">
        <v>33</v>
      </c>
      <c r="Q15" s="7" t="str">
        <f t="shared" si="0"/>
        <v>Moderate</v>
      </c>
      <c r="R15" s="7" t="str">
        <f t="shared" si="1"/>
        <v>Normal</v>
      </c>
      <c r="S15" s="7" t="str">
        <f t="shared" si="2"/>
        <v>Normal Humidity</v>
      </c>
      <c r="T15" s="7" t="str">
        <f t="shared" si="3"/>
        <v>Moderate Wind</v>
      </c>
    </row>
    <row r="16" spans="1:20" x14ac:dyDescent="0.25">
      <c r="A16" s="7" t="s">
        <v>56</v>
      </c>
      <c r="B16" s="10">
        <v>45825</v>
      </c>
      <c r="C16" s="11" t="s">
        <v>52</v>
      </c>
      <c r="D16" s="11" t="s">
        <v>31</v>
      </c>
      <c r="E16" s="7" t="s">
        <v>27</v>
      </c>
      <c r="F16" s="9">
        <v>33.5</v>
      </c>
      <c r="G16" s="9">
        <v>19.8</v>
      </c>
      <c r="H16" s="9">
        <v>28.7</v>
      </c>
      <c r="I16" s="9">
        <v>13.2</v>
      </c>
      <c r="J16" s="9">
        <v>0.28999999999999998</v>
      </c>
      <c r="K16" s="9">
        <v>7.3</v>
      </c>
      <c r="L16" s="7">
        <v>29</v>
      </c>
      <c r="M16" s="7">
        <v>66.3</v>
      </c>
      <c r="N16" s="7">
        <v>3</v>
      </c>
      <c r="O16" s="7">
        <v>109</v>
      </c>
      <c r="P16" s="7" t="s">
        <v>33</v>
      </c>
      <c r="Q16" s="7" t="str">
        <f t="shared" si="0"/>
        <v>Good</v>
      </c>
      <c r="R16" s="7" t="str">
        <f t="shared" si="1"/>
        <v>Normal</v>
      </c>
      <c r="S16" s="7" t="str">
        <f t="shared" si="2"/>
        <v>High Humidity</v>
      </c>
      <c r="T16" s="7" t="str">
        <f t="shared" si="3"/>
        <v>Moderate Wind</v>
      </c>
    </row>
    <row r="17" spans="1:20" x14ac:dyDescent="0.25">
      <c r="A17" s="7" t="s">
        <v>57</v>
      </c>
      <c r="B17" s="10">
        <v>45964</v>
      </c>
      <c r="C17" s="11" t="s">
        <v>22</v>
      </c>
      <c r="D17" s="11" t="s">
        <v>23</v>
      </c>
      <c r="E17" s="7" t="s">
        <v>58</v>
      </c>
      <c r="F17" s="9">
        <v>32.6</v>
      </c>
      <c r="G17" s="9">
        <v>111</v>
      </c>
      <c r="H17" s="9">
        <v>49.5</v>
      </c>
      <c r="I17" s="9">
        <v>21.3</v>
      </c>
      <c r="J17" s="9">
        <v>1.03</v>
      </c>
      <c r="K17" s="9">
        <v>23</v>
      </c>
      <c r="L17" s="7">
        <v>27.9</v>
      </c>
      <c r="M17" s="7">
        <v>52.6</v>
      </c>
      <c r="N17" s="7">
        <v>2.4</v>
      </c>
      <c r="O17" s="7">
        <v>215</v>
      </c>
      <c r="P17" s="7" t="s">
        <v>28</v>
      </c>
      <c r="Q17" s="7" t="str">
        <f t="shared" si="0"/>
        <v>Unhealthy</v>
      </c>
      <c r="R17" s="7" t="str">
        <f t="shared" si="1"/>
        <v>Normal</v>
      </c>
      <c r="S17" s="7" t="str">
        <f t="shared" si="2"/>
        <v>Normal Humidity</v>
      </c>
      <c r="T17" s="7" t="str">
        <f t="shared" si="3"/>
        <v>Moderate Wind</v>
      </c>
    </row>
    <row r="18" spans="1:20" x14ac:dyDescent="0.25">
      <c r="A18" s="7" t="s">
        <v>59</v>
      </c>
      <c r="B18" s="10">
        <v>45680</v>
      </c>
      <c r="C18" s="11" t="s">
        <v>17</v>
      </c>
      <c r="D18" s="11" t="s">
        <v>18</v>
      </c>
      <c r="E18" s="7" t="s">
        <v>27</v>
      </c>
      <c r="F18" s="9">
        <v>60.3</v>
      </c>
      <c r="G18" s="9">
        <v>118.1</v>
      </c>
      <c r="H18" s="9">
        <v>15.9</v>
      </c>
      <c r="I18" s="9">
        <v>10.1</v>
      </c>
      <c r="J18" s="9">
        <v>0.13</v>
      </c>
      <c r="K18" s="9">
        <v>5.8</v>
      </c>
      <c r="L18" s="7">
        <v>24.4</v>
      </c>
      <c r="M18" s="7">
        <v>76</v>
      </c>
      <c r="N18" s="7">
        <v>1.5</v>
      </c>
      <c r="O18" s="7">
        <v>199</v>
      </c>
      <c r="P18" s="7" t="s">
        <v>33</v>
      </c>
      <c r="Q18" s="7" t="str">
        <f t="shared" si="0"/>
        <v>Unhealthy</v>
      </c>
      <c r="R18" s="7" t="str">
        <f t="shared" si="1"/>
        <v>Normal</v>
      </c>
      <c r="S18" s="7" t="str">
        <f t="shared" si="2"/>
        <v>High Humidity</v>
      </c>
      <c r="T18" s="7" t="str">
        <f t="shared" si="3"/>
        <v>Low Wind</v>
      </c>
    </row>
    <row r="19" spans="1:20" x14ac:dyDescent="0.25">
      <c r="A19" s="7" t="s">
        <v>60</v>
      </c>
      <c r="B19" s="10">
        <v>45979</v>
      </c>
      <c r="C19" s="11" t="s">
        <v>30</v>
      </c>
      <c r="D19" s="11" t="s">
        <v>31</v>
      </c>
      <c r="E19" s="7" t="s">
        <v>61</v>
      </c>
      <c r="F19" s="9">
        <v>38.6</v>
      </c>
      <c r="G19" s="9">
        <v>38.200000000000003</v>
      </c>
      <c r="H19" s="9">
        <v>18.5</v>
      </c>
      <c r="I19" s="9">
        <v>6.3</v>
      </c>
      <c r="J19" s="9">
        <v>0.94</v>
      </c>
      <c r="K19" s="9">
        <v>39.799999999999997</v>
      </c>
      <c r="L19" s="7">
        <v>24</v>
      </c>
      <c r="M19" s="7">
        <v>69.599999999999994</v>
      </c>
      <c r="N19" s="7">
        <v>2.5</v>
      </c>
      <c r="O19" s="7">
        <v>147</v>
      </c>
      <c r="P19" s="7" t="s">
        <v>33</v>
      </c>
      <c r="Q19" s="7" t="str">
        <f t="shared" si="0"/>
        <v>Good</v>
      </c>
      <c r="R19" s="7" t="str">
        <f t="shared" si="1"/>
        <v>Normal</v>
      </c>
      <c r="S19" s="7" t="str">
        <f t="shared" si="2"/>
        <v>High Humidity</v>
      </c>
      <c r="T19" s="7" t="str">
        <f t="shared" si="3"/>
        <v>Moderate Wind</v>
      </c>
    </row>
    <row r="20" spans="1:20" x14ac:dyDescent="0.25">
      <c r="A20" s="7" t="s">
        <v>62</v>
      </c>
      <c r="B20" s="10">
        <v>45789</v>
      </c>
      <c r="C20" s="11" t="s">
        <v>42</v>
      </c>
      <c r="D20" s="11" t="s">
        <v>23</v>
      </c>
      <c r="E20" s="7" t="s">
        <v>19</v>
      </c>
      <c r="F20" s="9">
        <v>13.5</v>
      </c>
      <c r="G20" s="9">
        <v>91.7</v>
      </c>
      <c r="H20" s="9">
        <v>18.3</v>
      </c>
      <c r="I20" s="9">
        <v>32.200000000000003</v>
      </c>
      <c r="J20" s="9">
        <v>1.07</v>
      </c>
      <c r="K20" s="9">
        <v>25.3</v>
      </c>
      <c r="L20" s="7">
        <v>32.6</v>
      </c>
      <c r="M20" s="7">
        <v>72.099999999999994</v>
      </c>
      <c r="N20" s="7">
        <v>2.5</v>
      </c>
      <c r="O20" s="7">
        <v>157</v>
      </c>
      <c r="P20" s="7" t="s">
        <v>33</v>
      </c>
      <c r="Q20" s="7" t="str">
        <f t="shared" si="0"/>
        <v>Moderate</v>
      </c>
      <c r="R20" s="7" t="str">
        <f t="shared" si="1"/>
        <v>Hot</v>
      </c>
      <c r="S20" s="7" t="str">
        <f t="shared" si="2"/>
        <v>High Humidity</v>
      </c>
      <c r="T20" s="7" t="str">
        <f t="shared" si="3"/>
        <v>Moderate Wind</v>
      </c>
    </row>
    <row r="21" spans="1:20" x14ac:dyDescent="0.25">
      <c r="A21" s="7" t="s">
        <v>63</v>
      </c>
      <c r="B21" s="10">
        <v>45933</v>
      </c>
      <c r="C21" s="11" t="s">
        <v>64</v>
      </c>
      <c r="D21" s="11" t="s">
        <v>36</v>
      </c>
      <c r="E21" s="7" t="s">
        <v>19</v>
      </c>
      <c r="F21" s="9">
        <v>18.3</v>
      </c>
      <c r="G21" s="9">
        <v>55.7</v>
      </c>
      <c r="H21" s="9">
        <v>19.7</v>
      </c>
      <c r="I21" s="9">
        <v>4.0999999999999996</v>
      </c>
      <c r="J21" s="9">
        <v>0.34</v>
      </c>
      <c r="K21" s="9">
        <v>84.8</v>
      </c>
      <c r="L21" s="7">
        <v>33.6</v>
      </c>
      <c r="M21" s="7">
        <v>53.5</v>
      </c>
      <c r="N21" s="7">
        <v>1.6</v>
      </c>
      <c r="O21" s="7">
        <v>131</v>
      </c>
      <c r="P21" s="7" t="s">
        <v>33</v>
      </c>
      <c r="Q21" s="7" t="str">
        <f t="shared" si="0"/>
        <v>Moderate</v>
      </c>
      <c r="R21" s="7" t="str">
        <f t="shared" si="1"/>
        <v>Hot</v>
      </c>
      <c r="S21" s="7" t="str">
        <f t="shared" si="2"/>
        <v>Normal Humidity</v>
      </c>
      <c r="T21" s="7" t="str">
        <f t="shared" si="3"/>
        <v>Low Wind</v>
      </c>
    </row>
    <row r="22" spans="1:20" x14ac:dyDescent="0.25">
      <c r="A22" s="7" t="s">
        <v>65</v>
      </c>
      <c r="B22" s="10">
        <v>45703</v>
      </c>
      <c r="C22" s="11" t="s">
        <v>22</v>
      </c>
      <c r="D22" s="11" t="s">
        <v>23</v>
      </c>
      <c r="E22" s="7" t="s">
        <v>61</v>
      </c>
      <c r="F22" s="9">
        <v>165</v>
      </c>
      <c r="G22" s="9">
        <v>79.599999999999994</v>
      </c>
      <c r="H22" s="9">
        <v>40.4</v>
      </c>
      <c r="I22" s="9">
        <v>13</v>
      </c>
      <c r="J22" s="9">
        <v>0.86</v>
      </c>
      <c r="K22" s="9">
        <v>62.4</v>
      </c>
      <c r="L22" s="7">
        <v>28.8</v>
      </c>
      <c r="M22" s="7">
        <v>58.3</v>
      </c>
      <c r="N22" s="7">
        <v>2</v>
      </c>
      <c r="O22" s="7">
        <v>407</v>
      </c>
      <c r="P22" s="7" t="s">
        <v>20</v>
      </c>
      <c r="Q22" s="7" t="str">
        <f t="shared" si="0"/>
        <v>Moderate</v>
      </c>
      <c r="R22" s="7" t="str">
        <f t="shared" si="1"/>
        <v>Normal</v>
      </c>
      <c r="S22" s="7" t="str">
        <f t="shared" si="2"/>
        <v>Normal Humidity</v>
      </c>
      <c r="T22" s="7" t="str">
        <f t="shared" si="3"/>
        <v>Moderate Wind</v>
      </c>
    </row>
    <row r="23" spans="1:20" x14ac:dyDescent="0.25">
      <c r="A23" s="7" t="s">
        <v>66</v>
      </c>
      <c r="B23" s="10">
        <v>45984</v>
      </c>
      <c r="C23" s="11" t="s">
        <v>67</v>
      </c>
      <c r="D23" s="11" t="s">
        <v>18</v>
      </c>
      <c r="E23" s="7" t="s">
        <v>68</v>
      </c>
      <c r="F23" s="9">
        <v>87.8</v>
      </c>
      <c r="G23" s="9">
        <v>76.8</v>
      </c>
      <c r="H23" s="9">
        <v>65.400000000000006</v>
      </c>
      <c r="I23" s="9">
        <v>17.399999999999999</v>
      </c>
      <c r="J23" s="9">
        <v>0.36</v>
      </c>
      <c r="K23" s="9">
        <v>29.3</v>
      </c>
      <c r="L23" s="7">
        <v>22.5</v>
      </c>
      <c r="M23" s="7">
        <v>27.2</v>
      </c>
      <c r="N23" s="7">
        <v>3</v>
      </c>
      <c r="O23" s="7">
        <v>277</v>
      </c>
      <c r="P23" s="7" t="s">
        <v>28</v>
      </c>
      <c r="Q23" s="7" t="str">
        <f t="shared" si="0"/>
        <v>Moderate</v>
      </c>
      <c r="R23" s="7" t="str">
        <f t="shared" si="1"/>
        <v>Normal</v>
      </c>
      <c r="S23" s="7" t="str">
        <f t="shared" si="2"/>
        <v>Low Humidity</v>
      </c>
      <c r="T23" s="7" t="str">
        <f t="shared" si="3"/>
        <v>Moderate Wind</v>
      </c>
    </row>
    <row r="24" spans="1:20" x14ac:dyDescent="0.25">
      <c r="A24" s="7" t="s">
        <v>69</v>
      </c>
      <c r="B24" s="10">
        <v>45714</v>
      </c>
      <c r="C24" s="11" t="s">
        <v>52</v>
      </c>
      <c r="D24" s="11" t="s">
        <v>31</v>
      </c>
      <c r="E24" s="7" t="s">
        <v>70</v>
      </c>
      <c r="F24" s="9">
        <v>8.9</v>
      </c>
      <c r="G24" s="9">
        <v>41.6</v>
      </c>
      <c r="H24" s="9">
        <v>32.9</v>
      </c>
      <c r="I24" s="9">
        <v>11.5</v>
      </c>
      <c r="J24" s="9">
        <v>0.5</v>
      </c>
      <c r="K24" s="9">
        <v>14.9</v>
      </c>
      <c r="L24" s="7">
        <v>21.8</v>
      </c>
      <c r="M24" s="7">
        <v>67.099999999999994</v>
      </c>
      <c r="N24" s="7">
        <v>2.1</v>
      </c>
      <c r="O24" s="7">
        <v>95</v>
      </c>
      <c r="P24" s="7" t="s">
        <v>71</v>
      </c>
      <c r="Q24" s="7" t="str">
        <f t="shared" si="0"/>
        <v>Good</v>
      </c>
      <c r="R24" s="7" t="str">
        <f t="shared" si="1"/>
        <v>Normal</v>
      </c>
      <c r="S24" s="7" t="str">
        <f t="shared" si="2"/>
        <v>High Humidity</v>
      </c>
      <c r="T24" s="7" t="str">
        <f t="shared" si="3"/>
        <v>Moderate Wind</v>
      </c>
    </row>
    <row r="25" spans="1:20" x14ac:dyDescent="0.25">
      <c r="A25" s="7" t="s">
        <v>72</v>
      </c>
      <c r="B25" s="10">
        <v>45996</v>
      </c>
      <c r="C25" s="11" t="s">
        <v>54</v>
      </c>
      <c r="D25" s="11" t="s">
        <v>18</v>
      </c>
      <c r="E25" s="7" t="s">
        <v>70</v>
      </c>
      <c r="F25" s="9">
        <v>45.3</v>
      </c>
      <c r="G25" s="9">
        <v>135.69999999999999</v>
      </c>
      <c r="H25" s="9">
        <v>24.7</v>
      </c>
      <c r="I25" s="9">
        <v>6</v>
      </c>
      <c r="J25" s="9">
        <v>1.1299999999999999</v>
      </c>
      <c r="K25" s="9">
        <v>35.6</v>
      </c>
      <c r="L25" s="7">
        <v>19.8</v>
      </c>
      <c r="M25" s="7">
        <v>51.4</v>
      </c>
      <c r="N25" s="7">
        <v>1.1000000000000001</v>
      </c>
      <c r="O25" s="7">
        <v>229</v>
      </c>
      <c r="P25" s="7" t="s">
        <v>28</v>
      </c>
      <c r="Q25" s="7" t="str">
        <f t="shared" si="0"/>
        <v>Unhealthy</v>
      </c>
      <c r="R25" s="7" t="str">
        <f t="shared" si="1"/>
        <v>Cool</v>
      </c>
      <c r="S25" s="7" t="str">
        <f t="shared" si="2"/>
        <v>Normal Humidity</v>
      </c>
      <c r="T25" s="7" t="str">
        <f t="shared" si="3"/>
        <v>Low Wind</v>
      </c>
    </row>
    <row r="26" spans="1:20" x14ac:dyDescent="0.25">
      <c r="A26" s="7" t="s">
        <v>73</v>
      </c>
      <c r="B26" s="10">
        <v>45766</v>
      </c>
      <c r="C26" s="11" t="s">
        <v>64</v>
      </c>
      <c r="D26" s="11" t="s">
        <v>36</v>
      </c>
      <c r="E26" s="7" t="s">
        <v>74</v>
      </c>
      <c r="F26" s="9">
        <v>53.8</v>
      </c>
      <c r="G26" s="9">
        <v>171.3</v>
      </c>
      <c r="H26" s="9">
        <v>17.899999999999999</v>
      </c>
      <c r="I26" s="9">
        <v>6.5</v>
      </c>
      <c r="J26" s="9">
        <v>1.51</v>
      </c>
      <c r="K26" s="9">
        <v>48.7</v>
      </c>
      <c r="L26" s="7">
        <v>28.1</v>
      </c>
      <c r="M26" s="7">
        <v>75.400000000000006</v>
      </c>
      <c r="N26" s="7">
        <v>1.8</v>
      </c>
      <c r="O26" s="7">
        <v>276</v>
      </c>
      <c r="P26" s="7" t="s">
        <v>28</v>
      </c>
      <c r="Q26" s="7" t="str">
        <f t="shared" si="0"/>
        <v>VeryUnhealthy</v>
      </c>
      <c r="R26" s="7" t="str">
        <f t="shared" si="1"/>
        <v>Normal</v>
      </c>
      <c r="S26" s="7" t="str">
        <f t="shared" si="2"/>
        <v>High Humidity</v>
      </c>
      <c r="T26" s="7" t="str">
        <f t="shared" si="3"/>
        <v>Low Wind</v>
      </c>
    </row>
    <row r="27" spans="1:20" x14ac:dyDescent="0.25">
      <c r="A27" s="7" t="s">
        <v>75</v>
      </c>
      <c r="B27" s="10">
        <v>45854</v>
      </c>
      <c r="C27" s="11" t="s">
        <v>30</v>
      </c>
      <c r="D27" s="11" t="s">
        <v>31</v>
      </c>
      <c r="E27" s="7" t="s">
        <v>45</v>
      </c>
      <c r="F27" s="9">
        <v>67.7</v>
      </c>
      <c r="G27" s="9">
        <v>133.9</v>
      </c>
      <c r="H27" s="9">
        <v>30.2</v>
      </c>
      <c r="I27" s="9">
        <v>11.2</v>
      </c>
      <c r="J27" s="9">
        <v>0.47</v>
      </c>
      <c r="K27" s="9">
        <v>61.4</v>
      </c>
      <c r="L27" s="7">
        <v>30.2</v>
      </c>
      <c r="M27" s="7">
        <v>65.400000000000006</v>
      </c>
      <c r="N27" s="7">
        <v>1.7</v>
      </c>
      <c r="O27" s="7">
        <v>267</v>
      </c>
      <c r="P27" s="7" t="s">
        <v>28</v>
      </c>
      <c r="Q27" s="7" t="str">
        <f t="shared" si="0"/>
        <v>Unhealthy</v>
      </c>
      <c r="R27" s="7" t="str">
        <f t="shared" si="1"/>
        <v>Hot</v>
      </c>
      <c r="S27" s="7" t="str">
        <f t="shared" si="2"/>
        <v>High Humidity</v>
      </c>
      <c r="T27" s="7" t="str">
        <f t="shared" si="3"/>
        <v>Low Wind</v>
      </c>
    </row>
    <row r="28" spans="1:20" x14ac:dyDescent="0.25">
      <c r="A28" s="7" t="s">
        <v>76</v>
      </c>
      <c r="B28" s="10">
        <v>45909</v>
      </c>
      <c r="C28" s="11" t="s">
        <v>77</v>
      </c>
      <c r="D28" s="11" t="s">
        <v>39</v>
      </c>
      <c r="E28" s="7" t="s">
        <v>24</v>
      </c>
      <c r="F28" s="9">
        <v>63</v>
      </c>
      <c r="G28" s="9">
        <v>42.8</v>
      </c>
      <c r="H28" s="9">
        <v>30.4</v>
      </c>
      <c r="I28" s="9">
        <v>5.5</v>
      </c>
      <c r="J28" s="9">
        <v>0.2</v>
      </c>
      <c r="K28" s="9">
        <v>51.7</v>
      </c>
      <c r="L28" s="7">
        <v>32.1</v>
      </c>
      <c r="M28" s="7">
        <v>53.3</v>
      </c>
      <c r="N28" s="7">
        <v>2.7</v>
      </c>
      <c r="O28" s="7">
        <v>185</v>
      </c>
      <c r="P28" s="7" t="s">
        <v>33</v>
      </c>
      <c r="Q28" s="7" t="str">
        <f t="shared" si="0"/>
        <v>Good</v>
      </c>
      <c r="R28" s="7" t="str">
        <f t="shared" si="1"/>
        <v>Hot</v>
      </c>
      <c r="S28" s="7" t="str">
        <f t="shared" si="2"/>
        <v>Normal Humidity</v>
      </c>
      <c r="T28" s="7" t="str">
        <f t="shared" si="3"/>
        <v>Moderate Wind</v>
      </c>
    </row>
    <row r="29" spans="1:20" x14ac:dyDescent="0.25">
      <c r="A29" s="7" t="s">
        <v>78</v>
      </c>
      <c r="B29" s="10">
        <v>45888</v>
      </c>
      <c r="C29" s="11" t="s">
        <v>50</v>
      </c>
      <c r="D29" s="11" t="s">
        <v>31</v>
      </c>
      <c r="E29" s="7" t="s">
        <v>40</v>
      </c>
      <c r="F29" s="9">
        <v>19.399999999999999</v>
      </c>
      <c r="G29" s="9">
        <v>215.5</v>
      </c>
      <c r="H29" s="9">
        <v>36.200000000000003</v>
      </c>
      <c r="I29" s="9">
        <v>40.299999999999997</v>
      </c>
      <c r="J29" s="9">
        <v>0.15</v>
      </c>
      <c r="K29" s="9">
        <v>38.200000000000003</v>
      </c>
      <c r="L29" s="7">
        <v>27.6</v>
      </c>
      <c r="M29" s="7">
        <v>64.8</v>
      </c>
      <c r="N29" s="7">
        <v>3.7</v>
      </c>
      <c r="O29" s="7">
        <v>249</v>
      </c>
      <c r="P29" s="7" t="s">
        <v>28</v>
      </c>
      <c r="Q29" s="7" t="str">
        <f t="shared" si="0"/>
        <v>VeryUnhealthy</v>
      </c>
      <c r="R29" s="7" t="str">
        <f t="shared" si="1"/>
        <v>Normal</v>
      </c>
      <c r="S29" s="7" t="str">
        <f t="shared" si="2"/>
        <v>High Humidity</v>
      </c>
      <c r="T29" s="7" t="str">
        <f t="shared" si="3"/>
        <v>Moderate Wind</v>
      </c>
    </row>
    <row r="30" spans="1:20" x14ac:dyDescent="0.25">
      <c r="A30" s="7" t="s">
        <v>79</v>
      </c>
      <c r="B30" s="10">
        <v>45861</v>
      </c>
      <c r="C30" s="11" t="s">
        <v>42</v>
      </c>
      <c r="D30" s="11" t="s">
        <v>23</v>
      </c>
      <c r="E30" s="7" t="s">
        <v>68</v>
      </c>
      <c r="F30" s="9">
        <v>59.7</v>
      </c>
      <c r="G30" s="9">
        <v>93.9</v>
      </c>
      <c r="H30" s="9">
        <v>48.1</v>
      </c>
      <c r="I30" s="9">
        <v>20.100000000000001</v>
      </c>
      <c r="J30" s="9">
        <v>1.05</v>
      </c>
      <c r="K30" s="9">
        <v>47</v>
      </c>
      <c r="L30" s="7">
        <v>30.9</v>
      </c>
      <c r="M30" s="7">
        <v>80.7</v>
      </c>
      <c r="N30" s="7">
        <v>1.8</v>
      </c>
      <c r="O30" s="7">
        <v>257</v>
      </c>
      <c r="P30" s="7" t="s">
        <v>28</v>
      </c>
      <c r="Q30" s="7" t="str">
        <f t="shared" si="0"/>
        <v>Moderate</v>
      </c>
      <c r="R30" s="7" t="str">
        <f t="shared" si="1"/>
        <v>Hot</v>
      </c>
      <c r="S30" s="7" t="str">
        <f t="shared" si="2"/>
        <v>High Humidity</v>
      </c>
      <c r="T30" s="7" t="str">
        <f t="shared" si="3"/>
        <v>Low Wind</v>
      </c>
    </row>
    <row r="31" spans="1:20" x14ac:dyDescent="0.25">
      <c r="A31" s="7" t="s">
        <v>80</v>
      </c>
      <c r="B31" s="10">
        <v>46006</v>
      </c>
      <c r="C31" s="11" t="s">
        <v>81</v>
      </c>
      <c r="D31" s="11" t="s">
        <v>39</v>
      </c>
      <c r="E31" s="7" t="s">
        <v>24</v>
      </c>
      <c r="F31" s="9">
        <v>55.2</v>
      </c>
      <c r="G31" s="9">
        <v>39.799999999999997</v>
      </c>
      <c r="H31" s="9">
        <v>75.2</v>
      </c>
      <c r="I31" s="9">
        <v>29</v>
      </c>
      <c r="J31" s="9">
        <v>1.02</v>
      </c>
      <c r="K31" s="9">
        <v>69.2</v>
      </c>
      <c r="L31" s="7">
        <v>21.4</v>
      </c>
      <c r="M31" s="7">
        <v>88.5</v>
      </c>
      <c r="N31" s="7">
        <v>2.2999999999999998</v>
      </c>
      <c r="O31" s="7">
        <v>251</v>
      </c>
      <c r="P31" s="7" t="s">
        <v>28</v>
      </c>
      <c r="Q31" s="7" t="str">
        <f t="shared" si="0"/>
        <v>Good</v>
      </c>
      <c r="R31" s="7" t="str">
        <f t="shared" si="1"/>
        <v>Normal</v>
      </c>
      <c r="S31" s="7" t="str">
        <f t="shared" si="2"/>
        <v>High Humidity</v>
      </c>
      <c r="T31" s="7" t="str">
        <f t="shared" si="3"/>
        <v>Moderate Wind</v>
      </c>
    </row>
    <row r="32" spans="1:20" x14ac:dyDescent="0.25">
      <c r="A32" s="7" t="s">
        <v>82</v>
      </c>
      <c r="B32" s="10">
        <v>45877</v>
      </c>
      <c r="C32" s="11" t="s">
        <v>30</v>
      </c>
      <c r="D32" s="11" t="s">
        <v>31</v>
      </c>
      <c r="E32" s="7" t="s">
        <v>27</v>
      </c>
      <c r="F32" s="9">
        <v>11.2</v>
      </c>
      <c r="G32" s="9">
        <v>68.900000000000006</v>
      </c>
      <c r="H32" s="9">
        <v>13.7</v>
      </c>
      <c r="I32" s="9">
        <v>8.3000000000000007</v>
      </c>
      <c r="J32" s="9">
        <v>0.9</v>
      </c>
      <c r="K32" s="9">
        <v>51.8</v>
      </c>
      <c r="L32" s="7">
        <v>30.7</v>
      </c>
      <c r="M32" s="7">
        <v>53.3</v>
      </c>
      <c r="N32" s="7">
        <v>2.8</v>
      </c>
      <c r="O32" s="7">
        <v>125</v>
      </c>
      <c r="P32" s="7" t="s">
        <v>33</v>
      </c>
      <c r="Q32" s="7" t="str">
        <f t="shared" si="0"/>
        <v>Moderate</v>
      </c>
      <c r="R32" s="7" t="str">
        <f t="shared" si="1"/>
        <v>Hot</v>
      </c>
      <c r="S32" s="7" t="str">
        <f t="shared" si="2"/>
        <v>Normal Humidity</v>
      </c>
      <c r="T32" s="7" t="str">
        <f t="shared" si="3"/>
        <v>Moderate Wind</v>
      </c>
    </row>
    <row r="33" spans="1:20" x14ac:dyDescent="0.25">
      <c r="A33" s="7" t="s">
        <v>83</v>
      </c>
      <c r="B33" s="10">
        <v>45845</v>
      </c>
      <c r="C33" s="11" t="s">
        <v>17</v>
      </c>
      <c r="D33" s="11" t="s">
        <v>18</v>
      </c>
      <c r="E33" s="7" t="s">
        <v>24</v>
      </c>
      <c r="F33" s="9">
        <v>50.1</v>
      </c>
      <c r="G33" s="9">
        <v>77.5</v>
      </c>
      <c r="H33" s="9">
        <v>29.8</v>
      </c>
      <c r="I33" s="9">
        <v>21.5</v>
      </c>
      <c r="J33" s="9">
        <v>0.86</v>
      </c>
      <c r="K33" s="9">
        <v>34.799999999999997</v>
      </c>
      <c r="L33" s="7">
        <v>29</v>
      </c>
      <c r="M33" s="7">
        <v>75.099999999999994</v>
      </c>
      <c r="N33" s="7">
        <v>1.2</v>
      </c>
      <c r="O33" s="7">
        <v>207</v>
      </c>
      <c r="P33" s="7" t="s">
        <v>28</v>
      </c>
      <c r="Q33" s="7" t="str">
        <f t="shared" si="0"/>
        <v>Moderate</v>
      </c>
      <c r="R33" s="7" t="str">
        <f t="shared" si="1"/>
        <v>Normal</v>
      </c>
      <c r="S33" s="7" t="str">
        <f t="shared" si="2"/>
        <v>High Humidity</v>
      </c>
      <c r="T33" s="7" t="str">
        <f t="shared" si="3"/>
        <v>Low Wind</v>
      </c>
    </row>
    <row r="34" spans="1:20" x14ac:dyDescent="0.25">
      <c r="A34" s="7" t="s">
        <v>84</v>
      </c>
      <c r="B34" s="10">
        <v>45684</v>
      </c>
      <c r="C34" s="11" t="s">
        <v>30</v>
      </c>
      <c r="D34" s="11" t="s">
        <v>31</v>
      </c>
      <c r="E34" s="7" t="s">
        <v>24</v>
      </c>
      <c r="F34" s="9">
        <v>51.1</v>
      </c>
      <c r="G34" s="9">
        <v>50.1</v>
      </c>
      <c r="H34" s="9">
        <v>24.7</v>
      </c>
      <c r="I34" s="9">
        <v>5.6</v>
      </c>
      <c r="J34" s="9">
        <v>0.45</v>
      </c>
      <c r="K34" s="9">
        <v>32.299999999999997</v>
      </c>
      <c r="L34" s="7">
        <v>23.1</v>
      </c>
      <c r="M34" s="7">
        <v>62.9</v>
      </c>
      <c r="N34" s="7">
        <v>3.2</v>
      </c>
      <c r="O34" s="7">
        <v>164</v>
      </c>
      <c r="P34" s="7" t="s">
        <v>33</v>
      </c>
      <c r="Q34" s="7" t="str">
        <f t="shared" si="0"/>
        <v>Moderate</v>
      </c>
      <c r="R34" s="7" t="str">
        <f t="shared" si="1"/>
        <v>Normal</v>
      </c>
      <c r="S34" s="7" t="str">
        <f t="shared" si="2"/>
        <v>High Humidity</v>
      </c>
      <c r="T34" s="7" t="str">
        <f t="shared" si="3"/>
        <v>Moderate Wind</v>
      </c>
    </row>
    <row r="35" spans="1:20" x14ac:dyDescent="0.25">
      <c r="A35" s="7" t="s">
        <v>85</v>
      </c>
      <c r="B35" s="10">
        <v>45745</v>
      </c>
      <c r="C35" s="11" t="s">
        <v>38</v>
      </c>
      <c r="D35" s="11" t="s">
        <v>39</v>
      </c>
      <c r="E35" s="7" t="s">
        <v>74</v>
      </c>
      <c r="F35" s="9">
        <v>28.8</v>
      </c>
      <c r="G35" s="9">
        <v>87.4</v>
      </c>
      <c r="H35" s="9">
        <v>38.6</v>
      </c>
      <c r="I35" s="9">
        <v>17.3</v>
      </c>
      <c r="J35" s="9">
        <v>1.19</v>
      </c>
      <c r="K35" s="9">
        <v>38.200000000000003</v>
      </c>
      <c r="L35" s="7">
        <v>29.1</v>
      </c>
      <c r="M35" s="7">
        <v>58.8</v>
      </c>
      <c r="N35" s="7">
        <v>2.2999999999999998</v>
      </c>
      <c r="O35" s="7">
        <v>193</v>
      </c>
      <c r="P35" s="7" t="s">
        <v>33</v>
      </c>
      <c r="Q35" s="7" t="str">
        <f t="shared" si="0"/>
        <v>Moderate</v>
      </c>
      <c r="R35" s="7" t="str">
        <f t="shared" si="1"/>
        <v>Normal</v>
      </c>
      <c r="S35" s="7" t="str">
        <f t="shared" si="2"/>
        <v>Normal Humidity</v>
      </c>
      <c r="T35" s="7" t="str">
        <f t="shared" si="3"/>
        <v>Moderate Wind</v>
      </c>
    </row>
    <row r="36" spans="1:20" x14ac:dyDescent="0.25">
      <c r="A36" s="7" t="s">
        <v>86</v>
      </c>
      <c r="B36" s="10">
        <v>45825</v>
      </c>
      <c r="C36" s="11" t="s">
        <v>38</v>
      </c>
      <c r="D36" s="11" t="s">
        <v>39</v>
      </c>
      <c r="E36" s="7" t="s">
        <v>24</v>
      </c>
      <c r="F36" s="9">
        <v>50.7</v>
      </c>
      <c r="G36" s="9">
        <v>169</v>
      </c>
      <c r="H36" s="9">
        <v>26.1</v>
      </c>
      <c r="I36" s="9">
        <v>24.3</v>
      </c>
      <c r="J36" s="9">
        <v>0.69</v>
      </c>
      <c r="K36" s="9">
        <v>34.9</v>
      </c>
      <c r="L36" s="7">
        <v>21.3</v>
      </c>
      <c r="M36" s="7">
        <v>67.8</v>
      </c>
      <c r="N36" s="7">
        <v>3.5</v>
      </c>
      <c r="O36" s="7">
        <v>262</v>
      </c>
      <c r="P36" s="7" t="s">
        <v>28</v>
      </c>
      <c r="Q36" s="7" t="str">
        <f t="shared" si="0"/>
        <v>VeryUnhealthy</v>
      </c>
      <c r="R36" s="7" t="str">
        <f t="shared" si="1"/>
        <v>Normal</v>
      </c>
      <c r="S36" s="7" t="str">
        <f t="shared" si="2"/>
        <v>High Humidity</v>
      </c>
      <c r="T36" s="7" t="str">
        <f t="shared" si="3"/>
        <v>Moderate Wind</v>
      </c>
    </row>
    <row r="37" spans="1:20" x14ac:dyDescent="0.25">
      <c r="A37" s="7" t="s">
        <v>87</v>
      </c>
      <c r="B37" s="10">
        <v>46000</v>
      </c>
      <c r="C37" s="11" t="s">
        <v>35</v>
      </c>
      <c r="D37" s="11" t="s">
        <v>36</v>
      </c>
      <c r="E37" s="7" t="s">
        <v>43</v>
      </c>
      <c r="F37" s="9">
        <v>55</v>
      </c>
      <c r="G37" s="9">
        <v>86.8</v>
      </c>
      <c r="H37" s="9">
        <v>70.599999999999994</v>
      </c>
      <c r="I37" s="9">
        <v>3</v>
      </c>
      <c r="J37" s="9">
        <v>0.57999999999999996</v>
      </c>
      <c r="K37" s="9">
        <v>23.6</v>
      </c>
      <c r="L37" s="7">
        <v>39.200000000000003</v>
      </c>
      <c r="M37" s="7">
        <v>92.5</v>
      </c>
      <c r="N37" s="7">
        <v>2.4</v>
      </c>
      <c r="O37" s="7">
        <v>228</v>
      </c>
      <c r="P37" s="7" t="s">
        <v>28</v>
      </c>
      <c r="Q37" s="7" t="str">
        <f t="shared" si="0"/>
        <v>Moderate</v>
      </c>
      <c r="R37" s="7" t="str">
        <f t="shared" si="1"/>
        <v>Hot</v>
      </c>
      <c r="S37" s="7" t="str">
        <f t="shared" si="2"/>
        <v>High Humidity</v>
      </c>
      <c r="T37" s="7" t="str">
        <f t="shared" si="3"/>
        <v>Moderate Wind</v>
      </c>
    </row>
    <row r="38" spans="1:20" x14ac:dyDescent="0.25">
      <c r="A38" s="7" t="s">
        <v>88</v>
      </c>
      <c r="B38" s="10">
        <v>45848</v>
      </c>
      <c r="C38" s="11" t="s">
        <v>22</v>
      </c>
      <c r="D38" s="11" t="s">
        <v>23</v>
      </c>
      <c r="E38" s="7" t="s">
        <v>40</v>
      </c>
      <c r="F38" s="9">
        <v>31.6</v>
      </c>
      <c r="G38" s="9">
        <v>118.2</v>
      </c>
      <c r="H38" s="9">
        <v>36</v>
      </c>
      <c r="I38" s="9">
        <v>6.6</v>
      </c>
      <c r="J38" s="9">
        <v>0.23</v>
      </c>
      <c r="K38" s="9">
        <v>19.8</v>
      </c>
      <c r="L38" s="7">
        <v>32.1</v>
      </c>
      <c r="M38" s="7">
        <v>44.1</v>
      </c>
      <c r="N38" s="7">
        <v>5.3</v>
      </c>
      <c r="O38" s="7">
        <v>175</v>
      </c>
      <c r="P38" s="7" t="s">
        <v>33</v>
      </c>
      <c r="Q38" s="7" t="str">
        <f t="shared" si="0"/>
        <v>Unhealthy</v>
      </c>
      <c r="R38" s="7" t="str">
        <f t="shared" si="1"/>
        <v>Hot</v>
      </c>
      <c r="S38" s="7" t="str">
        <f t="shared" si="2"/>
        <v>Normal Humidity</v>
      </c>
      <c r="T38" s="7" t="str">
        <f t="shared" si="3"/>
        <v>High Wind</v>
      </c>
    </row>
    <row r="39" spans="1:20" x14ac:dyDescent="0.25">
      <c r="A39" s="7" t="s">
        <v>89</v>
      </c>
      <c r="B39" s="10">
        <v>45676</v>
      </c>
      <c r="C39" s="11" t="s">
        <v>64</v>
      </c>
      <c r="D39" s="11" t="s">
        <v>36</v>
      </c>
      <c r="E39" s="7" t="s">
        <v>68</v>
      </c>
      <c r="F39" s="9">
        <v>58.8</v>
      </c>
      <c r="G39" s="9">
        <v>89.6</v>
      </c>
      <c r="H39" s="9">
        <v>19.2</v>
      </c>
      <c r="I39" s="9">
        <v>18.2</v>
      </c>
      <c r="J39" s="9">
        <v>0.02</v>
      </c>
      <c r="K39" s="9">
        <v>75.3</v>
      </c>
      <c r="L39" s="7">
        <v>29</v>
      </c>
      <c r="M39" s="7">
        <v>57.3</v>
      </c>
      <c r="N39" s="7">
        <v>3.6</v>
      </c>
      <c r="O39" s="7">
        <v>215</v>
      </c>
      <c r="P39" s="7" t="s">
        <v>28</v>
      </c>
      <c r="Q39" s="7" t="str">
        <f t="shared" si="0"/>
        <v>Moderate</v>
      </c>
      <c r="R39" s="7" t="str">
        <f t="shared" si="1"/>
        <v>Normal</v>
      </c>
      <c r="S39" s="7" t="str">
        <f t="shared" si="2"/>
        <v>Normal Humidity</v>
      </c>
      <c r="T39" s="7" t="str">
        <f t="shared" si="3"/>
        <v>Moderate Wind</v>
      </c>
    </row>
    <row r="40" spans="1:20" x14ac:dyDescent="0.25">
      <c r="A40" s="7" t="s">
        <v>90</v>
      </c>
      <c r="B40" s="10">
        <v>45733</v>
      </c>
      <c r="C40" s="11" t="s">
        <v>22</v>
      </c>
      <c r="D40" s="11" t="s">
        <v>23</v>
      </c>
      <c r="E40" s="7" t="s">
        <v>91</v>
      </c>
      <c r="F40" s="9">
        <v>57</v>
      </c>
      <c r="G40" s="9">
        <v>33.6</v>
      </c>
      <c r="H40" s="9">
        <v>21.2</v>
      </c>
      <c r="I40" s="9">
        <v>2</v>
      </c>
      <c r="J40" s="9">
        <v>7.0000000000000007E-2</v>
      </c>
      <c r="K40" s="9">
        <v>10.199999999999999</v>
      </c>
      <c r="L40" s="7">
        <v>24.2</v>
      </c>
      <c r="M40" s="7">
        <v>65</v>
      </c>
      <c r="N40" s="7">
        <v>2.9</v>
      </c>
      <c r="O40" s="7">
        <v>138</v>
      </c>
      <c r="P40" s="7" t="s">
        <v>33</v>
      </c>
      <c r="Q40" s="7" t="str">
        <f t="shared" si="0"/>
        <v>Good</v>
      </c>
      <c r="R40" s="7" t="str">
        <f t="shared" si="1"/>
        <v>Normal</v>
      </c>
      <c r="S40" s="7" t="str">
        <f t="shared" si="2"/>
        <v>High Humidity</v>
      </c>
      <c r="T40" s="7" t="str">
        <f t="shared" si="3"/>
        <v>Moderate Wind</v>
      </c>
    </row>
    <row r="41" spans="1:20" x14ac:dyDescent="0.25">
      <c r="A41" s="7" t="s">
        <v>92</v>
      </c>
      <c r="B41" s="10">
        <v>45870</v>
      </c>
      <c r="C41" s="11" t="s">
        <v>93</v>
      </c>
      <c r="D41" s="11" t="s">
        <v>36</v>
      </c>
      <c r="E41" s="7" t="s">
        <v>74</v>
      </c>
      <c r="F41" s="9">
        <v>33.9</v>
      </c>
      <c r="G41" s="9">
        <v>94.6</v>
      </c>
      <c r="H41" s="9">
        <v>33.1</v>
      </c>
      <c r="I41" s="9">
        <v>40.299999999999997</v>
      </c>
      <c r="J41" s="9">
        <v>0.38</v>
      </c>
      <c r="K41" s="9">
        <v>63.8</v>
      </c>
      <c r="L41" s="7">
        <v>37.200000000000003</v>
      </c>
      <c r="M41" s="7">
        <v>40.4</v>
      </c>
      <c r="N41" s="7">
        <v>2.8</v>
      </c>
      <c r="O41" s="7">
        <v>209</v>
      </c>
      <c r="P41" s="7" t="s">
        <v>28</v>
      </c>
      <c r="Q41" s="7" t="str">
        <f t="shared" si="0"/>
        <v>Moderate</v>
      </c>
      <c r="R41" s="7" t="str">
        <f t="shared" si="1"/>
        <v>Hot</v>
      </c>
      <c r="S41" s="7" t="str">
        <f t="shared" si="2"/>
        <v>Normal Humidity</v>
      </c>
      <c r="T41" s="7" t="str">
        <f t="shared" si="3"/>
        <v>Moderate Wind</v>
      </c>
    </row>
    <row r="42" spans="1:20" x14ac:dyDescent="0.25">
      <c r="A42" s="7" t="s">
        <v>94</v>
      </c>
      <c r="B42" s="10">
        <v>45709</v>
      </c>
      <c r="C42" s="11" t="s">
        <v>17</v>
      </c>
      <c r="D42" s="11" t="s">
        <v>18</v>
      </c>
      <c r="E42" s="7" t="s">
        <v>40</v>
      </c>
      <c r="F42" s="9">
        <v>18.399999999999999</v>
      </c>
      <c r="G42" s="9">
        <v>67</v>
      </c>
      <c r="H42" s="9">
        <v>62.9</v>
      </c>
      <c r="I42" s="9">
        <v>13</v>
      </c>
      <c r="J42" s="9">
        <v>0.87</v>
      </c>
      <c r="K42" s="9">
        <v>15.6</v>
      </c>
      <c r="L42" s="7">
        <v>28.7</v>
      </c>
      <c r="M42" s="7">
        <v>54.4</v>
      </c>
      <c r="N42" s="7">
        <v>1.5</v>
      </c>
      <c r="O42" s="7">
        <v>161</v>
      </c>
      <c r="P42" s="7" t="s">
        <v>33</v>
      </c>
      <c r="Q42" s="7" t="str">
        <f t="shared" si="0"/>
        <v>Moderate</v>
      </c>
      <c r="R42" s="7" t="str">
        <f t="shared" si="1"/>
        <v>Normal</v>
      </c>
      <c r="S42" s="7" t="str">
        <f t="shared" si="2"/>
        <v>Normal Humidity</v>
      </c>
      <c r="T42" s="7" t="str">
        <f t="shared" si="3"/>
        <v>Low Wind</v>
      </c>
    </row>
    <row r="43" spans="1:20" x14ac:dyDescent="0.25">
      <c r="A43" s="7" t="s">
        <v>95</v>
      </c>
      <c r="B43" s="10">
        <v>45997</v>
      </c>
      <c r="C43" s="11" t="s">
        <v>81</v>
      </c>
      <c r="D43" s="11" t="s">
        <v>39</v>
      </c>
      <c r="E43" s="7" t="s">
        <v>19</v>
      </c>
      <c r="F43" s="9">
        <v>40.5</v>
      </c>
      <c r="G43" s="9">
        <v>154</v>
      </c>
      <c r="H43" s="9">
        <v>5.2</v>
      </c>
      <c r="I43" s="9">
        <v>8.6</v>
      </c>
      <c r="J43" s="9">
        <v>0.16</v>
      </c>
      <c r="K43" s="9">
        <v>38.9</v>
      </c>
      <c r="L43" s="7">
        <v>33.4</v>
      </c>
      <c r="M43" s="7">
        <v>41</v>
      </c>
      <c r="N43" s="7">
        <v>3</v>
      </c>
      <c r="O43" s="7">
        <v>197</v>
      </c>
      <c r="P43" s="7" t="s">
        <v>33</v>
      </c>
      <c r="Q43" s="7" t="str">
        <f t="shared" si="0"/>
        <v>VeryUnhealthy</v>
      </c>
      <c r="R43" s="7" t="str">
        <f t="shared" si="1"/>
        <v>Hot</v>
      </c>
      <c r="S43" s="7" t="str">
        <f t="shared" si="2"/>
        <v>Normal Humidity</v>
      </c>
      <c r="T43" s="7" t="str">
        <f t="shared" si="3"/>
        <v>Moderate Wind</v>
      </c>
    </row>
    <row r="44" spans="1:20" x14ac:dyDescent="0.25">
      <c r="A44" s="7" t="s">
        <v>96</v>
      </c>
      <c r="B44" s="10">
        <v>45732</v>
      </c>
      <c r="C44" s="11" t="s">
        <v>42</v>
      </c>
      <c r="D44" s="11" t="s">
        <v>23</v>
      </c>
      <c r="E44" s="7" t="s">
        <v>97</v>
      </c>
      <c r="F44" s="9">
        <v>33.1</v>
      </c>
      <c r="G44" s="9">
        <v>65.8</v>
      </c>
      <c r="H44" s="9">
        <v>36.4</v>
      </c>
      <c r="I44" s="9">
        <v>10.8</v>
      </c>
      <c r="J44" s="9">
        <v>0.3</v>
      </c>
      <c r="K44" s="9">
        <v>34.299999999999997</v>
      </c>
      <c r="L44" s="7">
        <v>25.5</v>
      </c>
      <c r="M44" s="7">
        <v>64.2</v>
      </c>
      <c r="N44" s="7">
        <v>2.8</v>
      </c>
      <c r="O44" s="7">
        <v>155</v>
      </c>
      <c r="P44" s="7" t="s">
        <v>33</v>
      </c>
      <c r="Q44" s="7" t="str">
        <f t="shared" si="0"/>
        <v>Moderate</v>
      </c>
      <c r="R44" s="7" t="str">
        <f t="shared" si="1"/>
        <v>Normal</v>
      </c>
      <c r="S44" s="7" t="str">
        <f t="shared" si="2"/>
        <v>High Humidity</v>
      </c>
      <c r="T44" s="7" t="str">
        <f t="shared" si="3"/>
        <v>Moderate Wind</v>
      </c>
    </row>
    <row r="45" spans="1:20" x14ac:dyDescent="0.25">
      <c r="A45" s="7" t="s">
        <v>98</v>
      </c>
      <c r="B45" s="10">
        <v>45929</v>
      </c>
      <c r="C45" s="11" t="s">
        <v>99</v>
      </c>
      <c r="D45" s="11" t="s">
        <v>36</v>
      </c>
      <c r="E45" s="7" t="s">
        <v>19</v>
      </c>
      <c r="F45" s="9">
        <v>80.2</v>
      </c>
      <c r="G45" s="9">
        <v>168.9</v>
      </c>
      <c r="H45" s="9">
        <v>22.8</v>
      </c>
      <c r="I45" s="9">
        <v>10.4</v>
      </c>
      <c r="J45" s="9">
        <v>0.37</v>
      </c>
      <c r="K45" s="9">
        <v>93.9</v>
      </c>
      <c r="L45" s="7">
        <v>33.799999999999997</v>
      </c>
      <c r="M45" s="7">
        <v>57.3</v>
      </c>
      <c r="N45" s="7">
        <v>3.5</v>
      </c>
      <c r="O45" s="7">
        <v>315</v>
      </c>
      <c r="P45" s="7" t="s">
        <v>20</v>
      </c>
      <c r="Q45" s="7" t="str">
        <f t="shared" si="0"/>
        <v>VeryUnhealthy</v>
      </c>
      <c r="R45" s="7" t="str">
        <f t="shared" si="1"/>
        <v>Hot</v>
      </c>
      <c r="S45" s="7" t="str">
        <f t="shared" si="2"/>
        <v>Normal Humidity</v>
      </c>
      <c r="T45" s="7" t="str">
        <f t="shared" si="3"/>
        <v>Moderate Wind</v>
      </c>
    </row>
    <row r="46" spans="1:20" x14ac:dyDescent="0.25">
      <c r="A46" s="7" t="s">
        <v>100</v>
      </c>
      <c r="B46" s="10">
        <v>45933</v>
      </c>
      <c r="C46" s="11" t="s">
        <v>64</v>
      </c>
      <c r="D46" s="11" t="s">
        <v>36</v>
      </c>
      <c r="E46" s="7" t="s">
        <v>74</v>
      </c>
      <c r="F46" s="9">
        <v>47.6</v>
      </c>
      <c r="G46" s="9">
        <v>78</v>
      </c>
      <c r="H46" s="9">
        <v>40.299999999999997</v>
      </c>
      <c r="I46" s="9">
        <v>12.9</v>
      </c>
      <c r="J46" s="9">
        <v>1.29</v>
      </c>
      <c r="K46" s="9">
        <v>110.9</v>
      </c>
      <c r="L46" s="7">
        <v>22.6</v>
      </c>
      <c r="M46" s="7">
        <v>79</v>
      </c>
      <c r="N46" s="7">
        <v>2.8</v>
      </c>
      <c r="O46" s="7">
        <v>250</v>
      </c>
      <c r="P46" s="7" t="s">
        <v>28</v>
      </c>
      <c r="Q46" s="7" t="str">
        <f t="shared" si="0"/>
        <v>Moderate</v>
      </c>
      <c r="R46" s="7" t="str">
        <f t="shared" si="1"/>
        <v>Normal</v>
      </c>
      <c r="S46" s="7" t="str">
        <f t="shared" si="2"/>
        <v>High Humidity</v>
      </c>
      <c r="T46" s="7" t="str">
        <f t="shared" si="3"/>
        <v>Moderate Wind</v>
      </c>
    </row>
    <row r="47" spans="1:20" x14ac:dyDescent="0.25">
      <c r="A47" s="7" t="s">
        <v>101</v>
      </c>
      <c r="B47" s="10">
        <v>45879</v>
      </c>
      <c r="C47" s="11" t="s">
        <v>30</v>
      </c>
      <c r="D47" s="11" t="s">
        <v>31</v>
      </c>
      <c r="E47" s="7" t="s">
        <v>91</v>
      </c>
      <c r="F47" s="9">
        <v>56.9</v>
      </c>
      <c r="G47" s="9">
        <v>154.9</v>
      </c>
      <c r="H47" s="9">
        <v>13.7</v>
      </c>
      <c r="I47" s="9">
        <v>6.1</v>
      </c>
      <c r="J47" s="9">
        <v>0.15</v>
      </c>
      <c r="K47" s="9">
        <v>13.5</v>
      </c>
      <c r="L47" s="7">
        <v>32.200000000000003</v>
      </c>
      <c r="M47" s="7">
        <v>74</v>
      </c>
      <c r="N47" s="7">
        <v>0.8</v>
      </c>
      <c r="O47" s="7">
        <v>217</v>
      </c>
      <c r="P47" s="7" t="s">
        <v>28</v>
      </c>
      <c r="Q47" s="7" t="str">
        <f t="shared" si="0"/>
        <v>VeryUnhealthy</v>
      </c>
      <c r="R47" s="7" t="str">
        <f t="shared" si="1"/>
        <v>Hot</v>
      </c>
      <c r="S47" s="7" t="str">
        <f t="shared" si="2"/>
        <v>High Humidity</v>
      </c>
      <c r="T47" s="7" t="str">
        <f t="shared" si="3"/>
        <v>Low Wind</v>
      </c>
    </row>
    <row r="48" spans="1:20" x14ac:dyDescent="0.25">
      <c r="A48" s="7" t="s">
        <v>102</v>
      </c>
      <c r="B48" s="10">
        <v>45869</v>
      </c>
      <c r="C48" s="11" t="s">
        <v>17</v>
      </c>
      <c r="D48" s="11" t="s">
        <v>18</v>
      </c>
      <c r="E48" s="7" t="s">
        <v>68</v>
      </c>
      <c r="F48" s="9">
        <v>47.7</v>
      </c>
      <c r="G48" s="9">
        <v>50.5</v>
      </c>
      <c r="H48" s="9">
        <v>13.7</v>
      </c>
      <c r="I48" s="9">
        <v>14.1</v>
      </c>
      <c r="J48" s="9">
        <v>0.84</v>
      </c>
      <c r="K48" s="9">
        <v>46.2</v>
      </c>
      <c r="L48" s="7">
        <v>30.4</v>
      </c>
      <c r="M48" s="7">
        <v>52.9</v>
      </c>
      <c r="N48" s="7">
        <v>2.2000000000000002</v>
      </c>
      <c r="O48" s="7">
        <v>172</v>
      </c>
      <c r="P48" s="7" t="s">
        <v>33</v>
      </c>
      <c r="Q48" s="7" t="str">
        <f t="shared" si="0"/>
        <v>Moderate</v>
      </c>
      <c r="R48" s="7" t="str">
        <f t="shared" si="1"/>
        <v>Hot</v>
      </c>
      <c r="S48" s="7" t="str">
        <f t="shared" si="2"/>
        <v>Normal Humidity</v>
      </c>
      <c r="T48" s="7" t="str">
        <f t="shared" si="3"/>
        <v>Moderate Wind</v>
      </c>
    </row>
    <row r="49" spans="1:20" x14ac:dyDescent="0.25">
      <c r="A49" s="7" t="s">
        <v>103</v>
      </c>
      <c r="B49" s="10">
        <v>45835</v>
      </c>
      <c r="C49" s="11" t="s">
        <v>26</v>
      </c>
      <c r="D49" s="11" t="s">
        <v>23</v>
      </c>
      <c r="E49" s="7" t="s">
        <v>27</v>
      </c>
      <c r="F49" s="9">
        <v>90.2</v>
      </c>
      <c r="G49" s="9">
        <v>52.4</v>
      </c>
      <c r="H49" s="9">
        <v>10.199999999999999</v>
      </c>
      <c r="I49" s="9">
        <v>25.9</v>
      </c>
      <c r="J49" s="9">
        <v>0.22</v>
      </c>
      <c r="K49" s="9">
        <v>30.5</v>
      </c>
      <c r="L49" s="7">
        <v>25.3</v>
      </c>
      <c r="M49" s="7">
        <v>55.5</v>
      </c>
      <c r="N49" s="7">
        <v>1.3</v>
      </c>
      <c r="O49" s="7">
        <v>224</v>
      </c>
      <c r="P49" s="7" t="s">
        <v>28</v>
      </c>
      <c r="Q49" s="7" t="str">
        <f t="shared" si="0"/>
        <v>Moderate</v>
      </c>
      <c r="R49" s="7" t="str">
        <f t="shared" si="1"/>
        <v>Normal</v>
      </c>
      <c r="S49" s="7" t="str">
        <f t="shared" si="2"/>
        <v>Normal Humidity</v>
      </c>
      <c r="T49" s="7" t="str">
        <f t="shared" si="3"/>
        <v>Low Wind</v>
      </c>
    </row>
    <row r="50" spans="1:20" x14ac:dyDescent="0.25">
      <c r="A50" s="7" t="s">
        <v>104</v>
      </c>
      <c r="B50" s="10">
        <v>45730</v>
      </c>
      <c r="C50" s="11" t="s">
        <v>38</v>
      </c>
      <c r="D50" s="11" t="s">
        <v>39</v>
      </c>
      <c r="E50" s="7" t="s">
        <v>55</v>
      </c>
      <c r="F50" s="9">
        <v>39</v>
      </c>
      <c r="G50" s="9">
        <v>102.7</v>
      </c>
      <c r="H50" s="9">
        <v>52.3</v>
      </c>
      <c r="I50" s="9">
        <v>15.9</v>
      </c>
      <c r="J50" s="9">
        <v>0.28999999999999998</v>
      </c>
      <c r="K50" s="9">
        <v>120.3</v>
      </c>
      <c r="L50" s="7">
        <v>29.4</v>
      </c>
      <c r="M50" s="7">
        <v>55.3</v>
      </c>
      <c r="N50" s="7">
        <v>2.2000000000000002</v>
      </c>
      <c r="O50" s="7">
        <v>244</v>
      </c>
      <c r="P50" s="7" t="s">
        <v>28</v>
      </c>
      <c r="Q50" s="7" t="str">
        <f t="shared" si="0"/>
        <v>Unhealthy</v>
      </c>
      <c r="R50" s="7" t="str">
        <f t="shared" si="1"/>
        <v>Normal</v>
      </c>
      <c r="S50" s="7" t="str">
        <f t="shared" si="2"/>
        <v>Normal Humidity</v>
      </c>
      <c r="T50" s="7" t="str">
        <f t="shared" si="3"/>
        <v>Moderate Wind</v>
      </c>
    </row>
    <row r="51" spans="1:20" x14ac:dyDescent="0.25">
      <c r="A51" s="7" t="s">
        <v>105</v>
      </c>
      <c r="B51" s="10">
        <v>45757</v>
      </c>
      <c r="C51" s="11" t="s">
        <v>38</v>
      </c>
      <c r="D51" s="11" t="s">
        <v>39</v>
      </c>
      <c r="E51" s="7" t="s">
        <v>55</v>
      </c>
      <c r="F51" s="9">
        <v>40.1</v>
      </c>
      <c r="G51" s="9">
        <v>98.2</v>
      </c>
      <c r="H51" s="9">
        <v>20.2</v>
      </c>
      <c r="I51" s="9">
        <v>5.8</v>
      </c>
      <c r="J51" s="9">
        <v>0.95</v>
      </c>
      <c r="K51" s="9">
        <v>38</v>
      </c>
      <c r="L51" s="7">
        <v>31.2</v>
      </c>
      <c r="M51" s="7">
        <v>59.9</v>
      </c>
      <c r="N51" s="7">
        <v>2.2000000000000002</v>
      </c>
      <c r="O51" s="7">
        <v>189</v>
      </c>
      <c r="P51" s="7" t="s">
        <v>33</v>
      </c>
      <c r="Q51" s="7" t="str">
        <f t="shared" si="0"/>
        <v>Moderate</v>
      </c>
      <c r="R51" s="7" t="str">
        <f t="shared" si="1"/>
        <v>Hot</v>
      </c>
      <c r="S51" s="7" t="str">
        <f t="shared" si="2"/>
        <v>Normal Humidity</v>
      </c>
      <c r="T51" s="7" t="str">
        <f t="shared" si="3"/>
        <v>Moderate Wind</v>
      </c>
    </row>
    <row r="52" spans="1:20" x14ac:dyDescent="0.25">
      <c r="A52" s="7" t="s">
        <v>106</v>
      </c>
      <c r="B52" s="10">
        <v>45822</v>
      </c>
      <c r="C52" s="11" t="s">
        <v>67</v>
      </c>
      <c r="D52" s="11" t="s">
        <v>18</v>
      </c>
      <c r="E52" s="7" t="s">
        <v>68</v>
      </c>
      <c r="F52" s="9">
        <v>92.5</v>
      </c>
      <c r="G52" s="9">
        <v>76.900000000000006</v>
      </c>
      <c r="H52" s="9">
        <v>7.7</v>
      </c>
      <c r="I52" s="9">
        <v>24.4</v>
      </c>
      <c r="J52" s="9">
        <v>0.94</v>
      </c>
      <c r="K52" s="9">
        <v>28.5</v>
      </c>
      <c r="L52" s="7">
        <v>21.5</v>
      </c>
      <c r="M52" s="7">
        <v>57.2</v>
      </c>
      <c r="N52" s="7">
        <v>0.8</v>
      </c>
      <c r="O52" s="7">
        <v>258</v>
      </c>
      <c r="P52" s="7" t="s">
        <v>28</v>
      </c>
      <c r="Q52" s="7" t="str">
        <f t="shared" si="0"/>
        <v>Moderate</v>
      </c>
      <c r="R52" s="7" t="str">
        <f t="shared" si="1"/>
        <v>Normal</v>
      </c>
      <c r="S52" s="7" t="str">
        <f t="shared" si="2"/>
        <v>Normal Humidity</v>
      </c>
      <c r="T52" s="7" t="str">
        <f t="shared" si="3"/>
        <v>Low Wind</v>
      </c>
    </row>
    <row r="53" spans="1:20" x14ac:dyDescent="0.25">
      <c r="A53" s="7" t="s">
        <v>107</v>
      </c>
      <c r="B53" s="10">
        <v>45863</v>
      </c>
      <c r="C53" s="11" t="s">
        <v>35</v>
      </c>
      <c r="D53" s="11" t="s">
        <v>36</v>
      </c>
      <c r="E53" s="7" t="s">
        <v>27</v>
      </c>
      <c r="F53" s="9">
        <v>30.7</v>
      </c>
      <c r="G53" s="9">
        <v>61.6</v>
      </c>
      <c r="H53" s="9">
        <v>4.8</v>
      </c>
      <c r="I53" s="9">
        <v>12</v>
      </c>
      <c r="J53" s="9">
        <v>0.63</v>
      </c>
      <c r="K53" s="9">
        <v>44</v>
      </c>
      <c r="L53" s="7">
        <v>25.3</v>
      </c>
      <c r="M53" s="7">
        <v>65.400000000000006</v>
      </c>
      <c r="N53" s="7">
        <v>2.2999999999999998</v>
      </c>
      <c r="O53" s="7">
        <v>137</v>
      </c>
      <c r="P53" s="7" t="s">
        <v>33</v>
      </c>
      <c r="Q53" s="7" t="str">
        <f t="shared" si="0"/>
        <v>Moderate</v>
      </c>
      <c r="R53" s="7" t="str">
        <f t="shared" si="1"/>
        <v>Normal</v>
      </c>
      <c r="S53" s="7" t="str">
        <f t="shared" si="2"/>
        <v>High Humidity</v>
      </c>
      <c r="T53" s="7" t="str">
        <f t="shared" si="3"/>
        <v>Moderate Wind</v>
      </c>
    </row>
    <row r="54" spans="1:20" x14ac:dyDescent="0.25">
      <c r="A54" s="7" t="s">
        <v>108</v>
      </c>
      <c r="B54" s="10">
        <v>45972</v>
      </c>
      <c r="C54" s="11" t="s">
        <v>22</v>
      </c>
      <c r="D54" s="11" t="s">
        <v>23</v>
      </c>
      <c r="E54" s="7" t="s">
        <v>70</v>
      </c>
      <c r="F54" s="9">
        <v>96</v>
      </c>
      <c r="G54" s="9">
        <v>29.3</v>
      </c>
      <c r="H54" s="9">
        <v>26.8</v>
      </c>
      <c r="I54" s="9">
        <v>11.3</v>
      </c>
      <c r="J54" s="9">
        <v>0.2</v>
      </c>
      <c r="K54" s="9">
        <v>9.9</v>
      </c>
      <c r="L54" s="7">
        <v>27.8</v>
      </c>
      <c r="M54" s="7">
        <v>75.3</v>
      </c>
      <c r="N54" s="7">
        <v>3.1</v>
      </c>
      <c r="O54" s="7">
        <v>211</v>
      </c>
      <c r="P54" s="7" t="s">
        <v>28</v>
      </c>
      <c r="Q54" s="7" t="str">
        <f t="shared" si="0"/>
        <v>Good</v>
      </c>
      <c r="R54" s="7" t="str">
        <f t="shared" si="1"/>
        <v>Normal</v>
      </c>
      <c r="S54" s="7" t="str">
        <f t="shared" si="2"/>
        <v>High Humidity</v>
      </c>
      <c r="T54" s="7" t="str">
        <f t="shared" si="3"/>
        <v>Moderate Wind</v>
      </c>
    </row>
    <row r="55" spans="1:20" x14ac:dyDescent="0.25">
      <c r="A55" s="7" t="s">
        <v>109</v>
      </c>
      <c r="B55" s="10">
        <v>45927</v>
      </c>
      <c r="C55" s="11" t="s">
        <v>93</v>
      </c>
      <c r="D55" s="11" t="s">
        <v>36</v>
      </c>
      <c r="E55" s="7" t="s">
        <v>74</v>
      </c>
      <c r="F55" s="9">
        <v>44.6</v>
      </c>
      <c r="G55" s="9">
        <v>46.3</v>
      </c>
      <c r="H55" s="9">
        <v>7.7</v>
      </c>
      <c r="I55" s="9">
        <v>20.6</v>
      </c>
      <c r="J55" s="9">
        <v>0.18</v>
      </c>
      <c r="K55" s="9">
        <v>28.5</v>
      </c>
      <c r="L55" s="7">
        <v>27</v>
      </c>
      <c r="M55" s="7">
        <v>65</v>
      </c>
      <c r="N55" s="7">
        <v>2.7</v>
      </c>
      <c r="O55" s="7">
        <v>139</v>
      </c>
      <c r="P55" s="7" t="s">
        <v>33</v>
      </c>
      <c r="Q55" s="7" t="str">
        <f t="shared" si="0"/>
        <v>Good</v>
      </c>
      <c r="R55" s="7" t="str">
        <f t="shared" si="1"/>
        <v>Normal</v>
      </c>
      <c r="S55" s="7" t="str">
        <f t="shared" si="2"/>
        <v>High Humidity</v>
      </c>
      <c r="T55" s="7" t="str">
        <f t="shared" si="3"/>
        <v>Moderate Wind</v>
      </c>
    </row>
    <row r="56" spans="1:20" x14ac:dyDescent="0.25">
      <c r="A56" s="7" t="s">
        <v>110</v>
      </c>
      <c r="B56" s="10">
        <v>46017</v>
      </c>
      <c r="C56" s="11" t="s">
        <v>38</v>
      </c>
      <c r="D56" s="11" t="s">
        <v>39</v>
      </c>
      <c r="E56" s="7" t="s">
        <v>45</v>
      </c>
      <c r="F56" s="9">
        <v>55.7</v>
      </c>
      <c r="G56" s="9">
        <v>84.8</v>
      </c>
      <c r="H56" s="9">
        <v>48.4</v>
      </c>
      <c r="I56" s="9">
        <v>4.7</v>
      </c>
      <c r="J56" s="9">
        <v>0.28000000000000003</v>
      </c>
      <c r="K56" s="9">
        <v>81.3</v>
      </c>
      <c r="L56" s="7">
        <v>20.2</v>
      </c>
      <c r="M56" s="7">
        <v>70.2</v>
      </c>
      <c r="N56" s="7">
        <v>1.8</v>
      </c>
      <c r="O56" s="7">
        <v>230</v>
      </c>
      <c r="P56" s="7" t="s">
        <v>28</v>
      </c>
      <c r="Q56" s="7" t="str">
        <f t="shared" si="0"/>
        <v>Moderate</v>
      </c>
      <c r="R56" s="7" t="str">
        <f t="shared" si="1"/>
        <v>Normal</v>
      </c>
      <c r="S56" s="7" t="str">
        <f t="shared" si="2"/>
        <v>High Humidity</v>
      </c>
      <c r="T56" s="7" t="str">
        <f t="shared" si="3"/>
        <v>Low Wind</v>
      </c>
    </row>
    <row r="57" spans="1:20" x14ac:dyDescent="0.25">
      <c r="A57" s="7" t="s">
        <v>111</v>
      </c>
      <c r="B57" s="10">
        <v>45862</v>
      </c>
      <c r="C57" s="11" t="s">
        <v>77</v>
      </c>
      <c r="D57" s="11" t="s">
        <v>39</v>
      </c>
      <c r="E57" s="7" t="s">
        <v>61</v>
      </c>
      <c r="F57" s="9">
        <v>36.200000000000003</v>
      </c>
      <c r="G57" s="9">
        <v>72.5</v>
      </c>
      <c r="H57" s="9">
        <v>28.6</v>
      </c>
      <c r="I57" s="9">
        <v>3.8</v>
      </c>
      <c r="J57" s="9">
        <v>0.97</v>
      </c>
      <c r="K57" s="9">
        <v>76.900000000000006</v>
      </c>
      <c r="L57" s="7">
        <v>23</v>
      </c>
      <c r="M57" s="7">
        <v>76.8</v>
      </c>
      <c r="N57" s="7">
        <v>1.9</v>
      </c>
      <c r="O57" s="7">
        <v>189</v>
      </c>
      <c r="P57" s="7" t="s">
        <v>33</v>
      </c>
      <c r="Q57" s="7" t="str">
        <f t="shared" si="0"/>
        <v>Moderate</v>
      </c>
      <c r="R57" s="7" t="str">
        <f t="shared" si="1"/>
        <v>Normal</v>
      </c>
      <c r="S57" s="7" t="str">
        <f t="shared" si="2"/>
        <v>High Humidity</v>
      </c>
      <c r="T57" s="7" t="str">
        <f t="shared" si="3"/>
        <v>Low Wind</v>
      </c>
    </row>
    <row r="58" spans="1:20" x14ac:dyDescent="0.25">
      <c r="A58" s="7" t="s">
        <v>112</v>
      </c>
      <c r="B58" s="10">
        <v>45821</v>
      </c>
      <c r="C58" s="11" t="s">
        <v>35</v>
      </c>
      <c r="D58" s="11" t="s">
        <v>36</v>
      </c>
      <c r="E58" s="7" t="s">
        <v>91</v>
      </c>
      <c r="F58" s="9">
        <v>71.5</v>
      </c>
      <c r="G58" s="9">
        <v>86</v>
      </c>
      <c r="H58" s="9">
        <v>31.6</v>
      </c>
      <c r="I58" s="9">
        <v>16.8</v>
      </c>
      <c r="J58" s="9">
        <v>1.34</v>
      </c>
      <c r="K58" s="9">
        <v>63.6</v>
      </c>
      <c r="L58" s="7">
        <v>19.399999999999999</v>
      </c>
      <c r="M58" s="7">
        <v>87.3</v>
      </c>
      <c r="N58" s="7">
        <v>1.9</v>
      </c>
      <c r="O58" s="7">
        <v>269</v>
      </c>
      <c r="P58" s="7" t="s">
        <v>28</v>
      </c>
      <c r="Q58" s="7" t="str">
        <f t="shared" si="0"/>
        <v>Moderate</v>
      </c>
      <c r="R58" s="7" t="str">
        <f t="shared" si="1"/>
        <v>Cool</v>
      </c>
      <c r="S58" s="7" t="str">
        <f t="shared" si="2"/>
        <v>High Humidity</v>
      </c>
      <c r="T58" s="7" t="str">
        <f t="shared" si="3"/>
        <v>Low Wind</v>
      </c>
    </row>
    <row r="59" spans="1:20" x14ac:dyDescent="0.25">
      <c r="A59" s="7" t="s">
        <v>113</v>
      </c>
      <c r="B59" s="10">
        <v>45937</v>
      </c>
      <c r="C59" s="11" t="s">
        <v>99</v>
      </c>
      <c r="D59" s="11" t="s">
        <v>36</v>
      </c>
      <c r="E59" s="7" t="s">
        <v>91</v>
      </c>
      <c r="F59" s="9">
        <v>55.3</v>
      </c>
      <c r="G59" s="9">
        <v>32.6</v>
      </c>
      <c r="H59" s="9">
        <v>8.8000000000000007</v>
      </c>
      <c r="I59" s="9">
        <v>6.4</v>
      </c>
      <c r="J59" s="9">
        <v>0.82</v>
      </c>
      <c r="K59" s="9">
        <v>10.199999999999999</v>
      </c>
      <c r="L59" s="7">
        <v>27.2</v>
      </c>
      <c r="M59" s="7">
        <v>94.7</v>
      </c>
      <c r="N59" s="7">
        <v>2.2999999999999998</v>
      </c>
      <c r="O59" s="7">
        <v>146</v>
      </c>
      <c r="P59" s="7" t="s">
        <v>33</v>
      </c>
      <c r="Q59" s="7" t="str">
        <f t="shared" si="0"/>
        <v>Good</v>
      </c>
      <c r="R59" s="7" t="str">
        <f t="shared" si="1"/>
        <v>Normal</v>
      </c>
      <c r="S59" s="7" t="str">
        <f t="shared" si="2"/>
        <v>High Humidity</v>
      </c>
      <c r="T59" s="7" t="str">
        <f t="shared" si="3"/>
        <v>Moderate Wind</v>
      </c>
    </row>
    <row r="60" spans="1:20" x14ac:dyDescent="0.25">
      <c r="A60" s="7" t="s">
        <v>114</v>
      </c>
      <c r="B60" s="10">
        <v>45834</v>
      </c>
      <c r="C60" s="11" t="s">
        <v>30</v>
      </c>
      <c r="D60" s="11" t="s">
        <v>31</v>
      </c>
      <c r="E60" s="7" t="s">
        <v>24</v>
      </c>
      <c r="F60" s="9">
        <v>45</v>
      </c>
      <c r="G60" s="9">
        <v>38.700000000000003</v>
      </c>
      <c r="H60" s="9">
        <v>22</v>
      </c>
      <c r="I60" s="9">
        <v>12.6</v>
      </c>
      <c r="J60" s="9">
        <v>1.2</v>
      </c>
      <c r="K60" s="9">
        <v>9.5</v>
      </c>
      <c r="L60" s="7">
        <v>26.6</v>
      </c>
      <c r="M60" s="7">
        <v>45.1</v>
      </c>
      <c r="N60" s="7">
        <v>1.9</v>
      </c>
      <c r="O60" s="7">
        <v>158</v>
      </c>
      <c r="P60" s="7" t="s">
        <v>33</v>
      </c>
      <c r="Q60" s="7" t="str">
        <f t="shared" si="0"/>
        <v>Good</v>
      </c>
      <c r="R60" s="7" t="str">
        <f t="shared" si="1"/>
        <v>Normal</v>
      </c>
      <c r="S60" s="7" t="str">
        <f t="shared" si="2"/>
        <v>Normal Humidity</v>
      </c>
      <c r="T60" s="7" t="str">
        <f t="shared" si="3"/>
        <v>Low Wind</v>
      </c>
    </row>
    <row r="61" spans="1:20" x14ac:dyDescent="0.25">
      <c r="A61" s="7" t="s">
        <v>115</v>
      </c>
      <c r="B61" s="10">
        <v>46010</v>
      </c>
      <c r="C61" s="11" t="s">
        <v>64</v>
      </c>
      <c r="D61" s="11" t="s">
        <v>36</v>
      </c>
      <c r="E61" s="7" t="s">
        <v>91</v>
      </c>
      <c r="F61" s="9">
        <v>18.2</v>
      </c>
      <c r="G61" s="9">
        <v>45.9</v>
      </c>
      <c r="H61" s="9">
        <v>17.8</v>
      </c>
      <c r="I61" s="9">
        <v>25.6</v>
      </c>
      <c r="J61" s="9">
        <v>0.28999999999999998</v>
      </c>
      <c r="K61" s="9">
        <v>41.1</v>
      </c>
      <c r="L61" s="7">
        <v>27.3</v>
      </c>
      <c r="M61" s="7">
        <v>55</v>
      </c>
      <c r="N61" s="7">
        <v>2.2000000000000002</v>
      </c>
      <c r="O61" s="7">
        <v>117</v>
      </c>
      <c r="P61" s="7" t="s">
        <v>33</v>
      </c>
      <c r="Q61" s="7" t="str">
        <f t="shared" si="0"/>
        <v>Good</v>
      </c>
      <c r="R61" s="7" t="str">
        <f t="shared" si="1"/>
        <v>Normal</v>
      </c>
      <c r="S61" s="7" t="str">
        <f t="shared" si="2"/>
        <v>Normal Humidity</v>
      </c>
      <c r="T61" s="7" t="str">
        <f t="shared" si="3"/>
        <v>Moderate Wind</v>
      </c>
    </row>
    <row r="62" spans="1:20" x14ac:dyDescent="0.25">
      <c r="A62" s="7" t="s">
        <v>116</v>
      </c>
      <c r="B62" s="10">
        <v>45856</v>
      </c>
      <c r="C62" s="11" t="s">
        <v>67</v>
      </c>
      <c r="D62" s="11" t="s">
        <v>18</v>
      </c>
      <c r="E62" s="7" t="s">
        <v>97</v>
      </c>
      <c r="F62" s="9">
        <v>30.8</v>
      </c>
      <c r="G62" s="9">
        <v>129.6</v>
      </c>
      <c r="H62" s="9">
        <v>30.5</v>
      </c>
      <c r="I62" s="9">
        <v>28.7</v>
      </c>
      <c r="J62" s="9">
        <v>1.26</v>
      </c>
      <c r="K62" s="9">
        <v>53.5</v>
      </c>
      <c r="L62" s="7">
        <v>25</v>
      </c>
      <c r="M62" s="7">
        <v>72</v>
      </c>
      <c r="N62" s="7">
        <v>1</v>
      </c>
      <c r="O62" s="7">
        <v>234</v>
      </c>
      <c r="P62" s="7" t="s">
        <v>28</v>
      </c>
      <c r="Q62" s="7" t="str">
        <f t="shared" si="0"/>
        <v>Unhealthy</v>
      </c>
      <c r="R62" s="7" t="str">
        <f t="shared" si="1"/>
        <v>Normal</v>
      </c>
      <c r="S62" s="7" t="str">
        <f t="shared" si="2"/>
        <v>High Humidity</v>
      </c>
      <c r="T62" s="7" t="str">
        <f t="shared" si="3"/>
        <v>Low Wind</v>
      </c>
    </row>
    <row r="63" spans="1:20" x14ac:dyDescent="0.25">
      <c r="A63" s="7" t="s">
        <v>117</v>
      </c>
      <c r="B63" s="10">
        <v>45891</v>
      </c>
      <c r="C63" s="11" t="s">
        <v>93</v>
      </c>
      <c r="D63" s="11" t="s">
        <v>36</v>
      </c>
      <c r="E63" s="7" t="s">
        <v>40</v>
      </c>
      <c r="F63" s="9">
        <v>47.2</v>
      </c>
      <c r="G63" s="9">
        <v>42.1</v>
      </c>
      <c r="H63" s="9">
        <v>14.9</v>
      </c>
      <c r="I63" s="9">
        <v>19.100000000000001</v>
      </c>
      <c r="J63" s="9">
        <v>1.08</v>
      </c>
      <c r="K63" s="9">
        <v>23.6</v>
      </c>
      <c r="L63" s="7">
        <v>23.9</v>
      </c>
      <c r="M63" s="7">
        <v>69</v>
      </c>
      <c r="N63" s="7">
        <v>0.1</v>
      </c>
      <c r="O63" s="7">
        <v>166</v>
      </c>
      <c r="P63" s="7" t="s">
        <v>33</v>
      </c>
      <c r="Q63" s="7" t="str">
        <f t="shared" si="0"/>
        <v>Good</v>
      </c>
      <c r="R63" s="7" t="str">
        <f t="shared" si="1"/>
        <v>Normal</v>
      </c>
      <c r="S63" s="7" t="str">
        <f t="shared" si="2"/>
        <v>High Humidity</v>
      </c>
      <c r="T63" s="7" t="str">
        <f t="shared" si="3"/>
        <v>Low Wind</v>
      </c>
    </row>
    <row r="64" spans="1:20" x14ac:dyDescent="0.25">
      <c r="A64" s="7" t="s">
        <v>118</v>
      </c>
      <c r="B64" s="10">
        <v>45999</v>
      </c>
      <c r="C64" s="11" t="s">
        <v>54</v>
      </c>
      <c r="D64" s="11" t="s">
        <v>18</v>
      </c>
      <c r="E64" s="7" t="s">
        <v>19</v>
      </c>
      <c r="F64" s="9">
        <v>87.8</v>
      </c>
      <c r="G64" s="9">
        <v>127.8</v>
      </c>
      <c r="H64" s="9">
        <v>23.2</v>
      </c>
      <c r="I64" s="9">
        <v>10.7</v>
      </c>
      <c r="J64" s="9">
        <v>0.55000000000000004</v>
      </c>
      <c r="K64" s="9">
        <v>7.9</v>
      </c>
      <c r="L64" s="7">
        <v>13.8</v>
      </c>
      <c r="M64" s="7">
        <v>74.5</v>
      </c>
      <c r="N64" s="7">
        <v>1.6</v>
      </c>
      <c r="O64" s="7">
        <v>267</v>
      </c>
      <c r="P64" s="7" t="s">
        <v>28</v>
      </c>
      <c r="Q64" s="7" t="str">
        <f t="shared" si="0"/>
        <v>Unhealthy</v>
      </c>
      <c r="R64" s="7" t="str">
        <f t="shared" si="1"/>
        <v>Cool</v>
      </c>
      <c r="S64" s="7" t="str">
        <f t="shared" si="2"/>
        <v>High Humidity</v>
      </c>
      <c r="T64" s="7" t="str">
        <f t="shared" si="3"/>
        <v>Low Wind</v>
      </c>
    </row>
    <row r="65" spans="1:20" x14ac:dyDescent="0.25">
      <c r="A65" s="7" t="s">
        <v>119</v>
      </c>
      <c r="B65" s="10">
        <v>45916</v>
      </c>
      <c r="C65" s="11" t="s">
        <v>17</v>
      </c>
      <c r="D65" s="11" t="s">
        <v>18</v>
      </c>
      <c r="E65" s="7" t="s">
        <v>91</v>
      </c>
      <c r="F65" s="9">
        <v>31</v>
      </c>
      <c r="G65" s="9">
        <v>75.400000000000006</v>
      </c>
      <c r="H65" s="9">
        <v>30.3</v>
      </c>
      <c r="I65" s="9">
        <v>8.1999999999999993</v>
      </c>
      <c r="J65" s="9">
        <v>0.74</v>
      </c>
      <c r="K65" s="9">
        <v>53.8</v>
      </c>
      <c r="L65" s="7">
        <v>36.299999999999997</v>
      </c>
      <c r="M65" s="7">
        <v>42.3</v>
      </c>
      <c r="N65" s="7">
        <v>0.3</v>
      </c>
      <c r="O65" s="7">
        <v>171</v>
      </c>
      <c r="P65" s="7" t="s">
        <v>33</v>
      </c>
      <c r="Q65" s="7" t="str">
        <f t="shared" si="0"/>
        <v>Moderate</v>
      </c>
      <c r="R65" s="7" t="str">
        <f t="shared" si="1"/>
        <v>Hot</v>
      </c>
      <c r="S65" s="7" t="str">
        <f t="shared" si="2"/>
        <v>Normal Humidity</v>
      </c>
      <c r="T65" s="7" t="str">
        <f t="shared" si="3"/>
        <v>Low Wind</v>
      </c>
    </row>
    <row r="66" spans="1:20" x14ac:dyDescent="0.25">
      <c r="A66" s="7" t="s">
        <v>120</v>
      </c>
      <c r="B66" s="10">
        <v>45793</v>
      </c>
      <c r="C66" s="11" t="s">
        <v>67</v>
      </c>
      <c r="D66" s="11" t="s">
        <v>18</v>
      </c>
      <c r="E66" s="7" t="s">
        <v>19</v>
      </c>
      <c r="F66" s="9">
        <v>64.5</v>
      </c>
      <c r="G66" s="9">
        <v>148.4</v>
      </c>
      <c r="H66" s="9">
        <v>11.7</v>
      </c>
      <c r="I66" s="9">
        <v>17.3</v>
      </c>
      <c r="J66" s="9">
        <v>1.83</v>
      </c>
      <c r="K66" s="9">
        <v>13.8</v>
      </c>
      <c r="L66" s="7">
        <v>21.4</v>
      </c>
      <c r="M66" s="7">
        <v>55.8</v>
      </c>
      <c r="N66" s="7">
        <v>3</v>
      </c>
      <c r="O66" s="7">
        <v>273</v>
      </c>
      <c r="P66" s="7" t="s">
        <v>28</v>
      </c>
      <c r="Q66" s="7" t="str">
        <f t="shared" si="0"/>
        <v>Unhealthy</v>
      </c>
      <c r="R66" s="7" t="str">
        <f t="shared" si="1"/>
        <v>Normal</v>
      </c>
      <c r="S66" s="7" t="str">
        <f t="shared" si="2"/>
        <v>Normal Humidity</v>
      </c>
      <c r="T66" s="7" t="str">
        <f t="shared" si="3"/>
        <v>Moderate Wind</v>
      </c>
    </row>
    <row r="67" spans="1:20" x14ac:dyDescent="0.25">
      <c r="A67" s="7" t="s">
        <v>121</v>
      </c>
      <c r="B67" s="10">
        <v>45967</v>
      </c>
      <c r="C67" s="11" t="s">
        <v>50</v>
      </c>
      <c r="D67" s="11" t="s">
        <v>31</v>
      </c>
      <c r="E67" s="7" t="s">
        <v>55</v>
      </c>
      <c r="F67" s="9">
        <v>17.399999999999999</v>
      </c>
      <c r="G67" s="9">
        <v>95.3</v>
      </c>
      <c r="H67" s="9">
        <v>33.9</v>
      </c>
      <c r="I67" s="9">
        <v>6.2</v>
      </c>
      <c r="J67" s="9">
        <v>0.95</v>
      </c>
      <c r="K67" s="9">
        <v>37.1</v>
      </c>
      <c r="L67" s="7">
        <v>21.5</v>
      </c>
      <c r="M67" s="7">
        <v>43.3</v>
      </c>
      <c r="N67" s="7">
        <v>1.3</v>
      </c>
      <c r="O67" s="7">
        <v>162</v>
      </c>
      <c r="P67" s="7" t="s">
        <v>33</v>
      </c>
      <c r="Q67" s="7" t="str">
        <f t="shared" ref="Q67:Q130" si="4">IF(G67&lt;50,"Good",IF(G67&lt;=100,"Moderate",IF(G67&lt;=150,"Unhealthy","VeryUnhealthy")))</f>
        <v>Moderate</v>
      </c>
      <c r="R67" s="7" t="str">
        <f t="shared" ref="R67:R130" si="5">IF(L67&lt;20,"Cool",IF(L67&lt;=30,"Normal","Hot"))</f>
        <v>Normal</v>
      </c>
      <c r="S67" s="7" t="str">
        <f t="shared" ref="S67:S130" si="6">IF(M67&lt;30,"Low Humidity",IF(M67&lt;=60,"Normal Humidity","High Humidity"))</f>
        <v>Normal Humidity</v>
      </c>
      <c r="T67" s="7" t="str">
        <f t="shared" ref="T67:T130" si="7">IF(N67&lt;2,"Low Wind",IF(N67&lt;=5,"Moderate Wind","High Wind"))</f>
        <v>Low Wind</v>
      </c>
    </row>
    <row r="68" spans="1:20" x14ac:dyDescent="0.25">
      <c r="A68" s="7" t="s">
        <v>122</v>
      </c>
      <c r="B68" s="10">
        <v>45996</v>
      </c>
      <c r="C68" s="11" t="s">
        <v>81</v>
      </c>
      <c r="D68" s="11" t="s">
        <v>39</v>
      </c>
      <c r="E68" s="7" t="s">
        <v>70</v>
      </c>
      <c r="F68" s="9">
        <v>66.599999999999994</v>
      </c>
      <c r="G68" s="9">
        <v>83.1</v>
      </c>
      <c r="H68" s="9">
        <v>43.9</v>
      </c>
      <c r="I68" s="9">
        <v>24.9</v>
      </c>
      <c r="J68" s="9">
        <v>0.4</v>
      </c>
      <c r="K68" s="9">
        <v>71.099999999999994</v>
      </c>
      <c r="L68" s="7">
        <v>20.5</v>
      </c>
      <c r="M68" s="7">
        <v>53.5</v>
      </c>
      <c r="N68" s="7">
        <v>1.4</v>
      </c>
      <c r="O68" s="7">
        <v>255</v>
      </c>
      <c r="P68" s="7" t="s">
        <v>28</v>
      </c>
      <c r="Q68" s="7" t="str">
        <f t="shared" si="4"/>
        <v>Moderate</v>
      </c>
      <c r="R68" s="7" t="str">
        <f t="shared" si="5"/>
        <v>Normal</v>
      </c>
      <c r="S68" s="7" t="str">
        <f t="shared" si="6"/>
        <v>Normal Humidity</v>
      </c>
      <c r="T68" s="7" t="str">
        <f t="shared" si="7"/>
        <v>Low Wind</v>
      </c>
    </row>
    <row r="69" spans="1:20" x14ac:dyDescent="0.25">
      <c r="A69" s="7" t="s">
        <v>123</v>
      </c>
      <c r="B69" s="10">
        <v>45859</v>
      </c>
      <c r="C69" s="11" t="s">
        <v>77</v>
      </c>
      <c r="D69" s="11" t="s">
        <v>39</v>
      </c>
      <c r="E69" s="7" t="s">
        <v>24</v>
      </c>
      <c r="F69" s="9">
        <v>20.2</v>
      </c>
      <c r="G69" s="9">
        <v>56.2</v>
      </c>
      <c r="H69" s="9">
        <v>34.5</v>
      </c>
      <c r="I69" s="9">
        <v>11.7</v>
      </c>
      <c r="J69" s="9">
        <v>0.27</v>
      </c>
      <c r="K69" s="9">
        <v>31.5</v>
      </c>
      <c r="L69" s="7">
        <v>24.8</v>
      </c>
      <c r="M69" s="7">
        <v>65.099999999999994</v>
      </c>
      <c r="N69" s="7">
        <v>1.7</v>
      </c>
      <c r="O69" s="7">
        <v>126</v>
      </c>
      <c r="P69" s="7" t="s">
        <v>33</v>
      </c>
      <c r="Q69" s="7" t="str">
        <f t="shared" si="4"/>
        <v>Moderate</v>
      </c>
      <c r="R69" s="7" t="str">
        <f t="shared" si="5"/>
        <v>Normal</v>
      </c>
      <c r="S69" s="7" t="str">
        <f t="shared" si="6"/>
        <v>High Humidity</v>
      </c>
      <c r="T69" s="7" t="str">
        <f t="shared" si="7"/>
        <v>Low Wind</v>
      </c>
    </row>
    <row r="70" spans="1:20" x14ac:dyDescent="0.25">
      <c r="A70" s="7" t="s">
        <v>124</v>
      </c>
      <c r="B70" s="10">
        <v>45965</v>
      </c>
      <c r="C70" s="11" t="s">
        <v>93</v>
      </c>
      <c r="D70" s="11" t="s">
        <v>36</v>
      </c>
      <c r="E70" s="7" t="s">
        <v>19</v>
      </c>
      <c r="F70" s="9">
        <v>70</v>
      </c>
      <c r="G70" s="9">
        <v>86.1</v>
      </c>
      <c r="H70" s="9">
        <v>10.199999999999999</v>
      </c>
      <c r="I70" s="9">
        <v>14.5</v>
      </c>
      <c r="J70" s="9">
        <v>0.45</v>
      </c>
      <c r="K70" s="9">
        <v>29.1</v>
      </c>
      <c r="L70" s="7">
        <v>23.1</v>
      </c>
      <c r="M70" s="7">
        <v>39</v>
      </c>
      <c r="N70" s="7">
        <v>1</v>
      </c>
      <c r="O70" s="7">
        <v>211</v>
      </c>
      <c r="P70" s="7" t="s">
        <v>28</v>
      </c>
      <c r="Q70" s="7" t="str">
        <f t="shared" si="4"/>
        <v>Moderate</v>
      </c>
      <c r="R70" s="7" t="str">
        <f t="shared" si="5"/>
        <v>Normal</v>
      </c>
      <c r="S70" s="7" t="str">
        <f t="shared" si="6"/>
        <v>Normal Humidity</v>
      </c>
      <c r="T70" s="7" t="str">
        <f t="shared" si="7"/>
        <v>Low Wind</v>
      </c>
    </row>
    <row r="71" spans="1:20" x14ac:dyDescent="0.25">
      <c r="A71" s="7" t="s">
        <v>125</v>
      </c>
      <c r="B71" s="10">
        <v>45763</v>
      </c>
      <c r="C71" s="11" t="s">
        <v>35</v>
      </c>
      <c r="D71" s="11" t="s">
        <v>36</v>
      </c>
      <c r="E71" s="7" t="s">
        <v>32</v>
      </c>
      <c r="F71" s="9">
        <v>30.5</v>
      </c>
      <c r="G71" s="9">
        <v>48.1</v>
      </c>
      <c r="H71" s="9">
        <v>26</v>
      </c>
      <c r="I71" s="9">
        <v>20.8</v>
      </c>
      <c r="J71" s="9">
        <v>0.79</v>
      </c>
      <c r="K71" s="9">
        <v>70.5</v>
      </c>
      <c r="L71" s="7">
        <v>30</v>
      </c>
      <c r="M71" s="7">
        <v>72.099999999999994</v>
      </c>
      <c r="N71" s="7">
        <v>2.8</v>
      </c>
      <c r="O71" s="7">
        <v>167</v>
      </c>
      <c r="P71" s="7" t="s">
        <v>33</v>
      </c>
      <c r="Q71" s="7" t="str">
        <f t="shared" si="4"/>
        <v>Good</v>
      </c>
      <c r="R71" s="7" t="str">
        <f t="shared" si="5"/>
        <v>Normal</v>
      </c>
      <c r="S71" s="7" t="str">
        <f t="shared" si="6"/>
        <v>High Humidity</v>
      </c>
      <c r="T71" s="7" t="str">
        <f t="shared" si="7"/>
        <v>Moderate Wind</v>
      </c>
    </row>
    <row r="72" spans="1:20" x14ac:dyDescent="0.25">
      <c r="A72" s="7" t="s">
        <v>126</v>
      </c>
      <c r="B72" s="10">
        <v>45835</v>
      </c>
      <c r="C72" s="11" t="s">
        <v>38</v>
      </c>
      <c r="D72" s="11" t="s">
        <v>39</v>
      </c>
      <c r="E72" s="7" t="s">
        <v>91</v>
      </c>
      <c r="F72" s="9">
        <v>50.7</v>
      </c>
      <c r="G72" s="9">
        <v>64.5</v>
      </c>
      <c r="H72" s="9">
        <v>18.8</v>
      </c>
      <c r="I72" s="9">
        <v>3.9</v>
      </c>
      <c r="J72" s="9">
        <v>1.77</v>
      </c>
      <c r="K72" s="9">
        <v>27.3</v>
      </c>
      <c r="L72" s="7">
        <v>32.5</v>
      </c>
      <c r="M72" s="7">
        <v>96.2</v>
      </c>
      <c r="N72" s="7">
        <v>1.4</v>
      </c>
      <c r="O72" s="7">
        <v>197</v>
      </c>
      <c r="P72" s="7" t="s">
        <v>33</v>
      </c>
      <c r="Q72" s="7" t="str">
        <f t="shared" si="4"/>
        <v>Moderate</v>
      </c>
      <c r="R72" s="7" t="str">
        <f t="shared" si="5"/>
        <v>Hot</v>
      </c>
      <c r="S72" s="7" t="str">
        <f t="shared" si="6"/>
        <v>High Humidity</v>
      </c>
      <c r="T72" s="7" t="str">
        <f t="shared" si="7"/>
        <v>Low Wind</v>
      </c>
    </row>
    <row r="73" spans="1:20" x14ac:dyDescent="0.25">
      <c r="A73" s="7" t="s">
        <v>127</v>
      </c>
      <c r="B73" s="10">
        <v>45947</v>
      </c>
      <c r="C73" s="11" t="s">
        <v>67</v>
      </c>
      <c r="D73" s="11" t="s">
        <v>18</v>
      </c>
      <c r="E73" s="7" t="s">
        <v>74</v>
      </c>
      <c r="F73" s="9">
        <v>48.1</v>
      </c>
      <c r="G73" s="9">
        <v>79.3</v>
      </c>
      <c r="H73" s="9">
        <v>18.3</v>
      </c>
      <c r="I73" s="9">
        <v>4.8</v>
      </c>
      <c r="J73" s="9">
        <v>0.27</v>
      </c>
      <c r="K73" s="9">
        <v>52.5</v>
      </c>
      <c r="L73" s="7">
        <v>25.9</v>
      </c>
      <c r="M73" s="7">
        <v>86</v>
      </c>
      <c r="N73" s="7">
        <v>4.2</v>
      </c>
      <c r="O73" s="7">
        <v>177</v>
      </c>
      <c r="P73" s="7" t="s">
        <v>33</v>
      </c>
      <c r="Q73" s="7" t="str">
        <f t="shared" si="4"/>
        <v>Moderate</v>
      </c>
      <c r="R73" s="7" t="str">
        <f t="shared" si="5"/>
        <v>Normal</v>
      </c>
      <c r="S73" s="7" t="str">
        <f t="shared" si="6"/>
        <v>High Humidity</v>
      </c>
      <c r="T73" s="7" t="str">
        <f t="shared" si="7"/>
        <v>Moderate Wind</v>
      </c>
    </row>
    <row r="74" spans="1:20" x14ac:dyDescent="0.25">
      <c r="A74" s="7" t="s">
        <v>128</v>
      </c>
      <c r="B74" s="10">
        <v>45727</v>
      </c>
      <c r="C74" s="11" t="s">
        <v>50</v>
      </c>
      <c r="D74" s="11" t="s">
        <v>31</v>
      </c>
      <c r="E74" s="7" t="s">
        <v>27</v>
      </c>
      <c r="F74" s="9">
        <v>21.4</v>
      </c>
      <c r="G74" s="9">
        <v>76.400000000000006</v>
      </c>
      <c r="H74" s="9">
        <v>21.7</v>
      </c>
      <c r="I74" s="9">
        <v>34.799999999999997</v>
      </c>
      <c r="J74" s="9">
        <v>0.75</v>
      </c>
      <c r="K74" s="9">
        <v>31</v>
      </c>
      <c r="L74" s="7">
        <v>27.6</v>
      </c>
      <c r="M74" s="7">
        <v>76.3</v>
      </c>
      <c r="N74" s="7">
        <v>1.9</v>
      </c>
      <c r="O74" s="7">
        <v>158</v>
      </c>
      <c r="P74" s="7" t="s">
        <v>33</v>
      </c>
      <c r="Q74" s="7" t="str">
        <f t="shared" si="4"/>
        <v>Moderate</v>
      </c>
      <c r="R74" s="7" t="str">
        <f t="shared" si="5"/>
        <v>Normal</v>
      </c>
      <c r="S74" s="7" t="str">
        <f t="shared" si="6"/>
        <v>High Humidity</v>
      </c>
      <c r="T74" s="7" t="str">
        <f t="shared" si="7"/>
        <v>Low Wind</v>
      </c>
    </row>
    <row r="75" spans="1:20" x14ac:dyDescent="0.25">
      <c r="A75" s="7" t="s">
        <v>129</v>
      </c>
      <c r="B75" s="10">
        <v>45959</v>
      </c>
      <c r="C75" s="11" t="s">
        <v>77</v>
      </c>
      <c r="D75" s="11" t="s">
        <v>39</v>
      </c>
      <c r="E75" s="7" t="s">
        <v>24</v>
      </c>
      <c r="F75" s="9">
        <v>81.7</v>
      </c>
      <c r="G75" s="9">
        <v>141.6</v>
      </c>
      <c r="H75" s="9">
        <v>27.3</v>
      </c>
      <c r="I75" s="9">
        <v>16.8</v>
      </c>
      <c r="J75" s="9">
        <v>1.29</v>
      </c>
      <c r="K75" s="9">
        <v>27.9</v>
      </c>
      <c r="L75" s="7">
        <v>26.5</v>
      </c>
      <c r="M75" s="7">
        <v>58.5</v>
      </c>
      <c r="N75" s="7">
        <v>2.4</v>
      </c>
      <c r="O75" s="7">
        <v>301</v>
      </c>
      <c r="P75" s="7" t="s">
        <v>20</v>
      </c>
      <c r="Q75" s="7" t="str">
        <f t="shared" si="4"/>
        <v>Unhealthy</v>
      </c>
      <c r="R75" s="7" t="str">
        <f t="shared" si="5"/>
        <v>Normal</v>
      </c>
      <c r="S75" s="7" t="str">
        <f t="shared" si="6"/>
        <v>Normal Humidity</v>
      </c>
      <c r="T75" s="7" t="str">
        <f t="shared" si="7"/>
        <v>Moderate Wind</v>
      </c>
    </row>
    <row r="76" spans="1:20" x14ac:dyDescent="0.25">
      <c r="A76" s="7" t="s">
        <v>130</v>
      </c>
      <c r="B76" s="10">
        <v>45993</v>
      </c>
      <c r="C76" s="11" t="s">
        <v>77</v>
      </c>
      <c r="D76" s="11" t="s">
        <v>39</v>
      </c>
      <c r="E76" s="7" t="s">
        <v>43</v>
      </c>
      <c r="F76" s="9">
        <v>73.7</v>
      </c>
      <c r="G76" s="9">
        <v>68.2</v>
      </c>
      <c r="H76" s="9">
        <v>32</v>
      </c>
      <c r="I76" s="9">
        <v>4.4000000000000004</v>
      </c>
      <c r="J76" s="9">
        <v>0.28999999999999998</v>
      </c>
      <c r="K76" s="9">
        <v>39.6</v>
      </c>
      <c r="L76" s="7">
        <v>27.5</v>
      </c>
      <c r="M76" s="7">
        <v>47.2</v>
      </c>
      <c r="N76" s="7">
        <v>1.6</v>
      </c>
      <c r="O76" s="7">
        <v>216</v>
      </c>
      <c r="P76" s="7" t="s">
        <v>28</v>
      </c>
      <c r="Q76" s="7" t="str">
        <f t="shared" si="4"/>
        <v>Moderate</v>
      </c>
      <c r="R76" s="7" t="str">
        <f t="shared" si="5"/>
        <v>Normal</v>
      </c>
      <c r="S76" s="7" t="str">
        <f t="shared" si="6"/>
        <v>Normal Humidity</v>
      </c>
      <c r="T76" s="7" t="str">
        <f t="shared" si="7"/>
        <v>Low Wind</v>
      </c>
    </row>
    <row r="77" spans="1:20" x14ac:dyDescent="0.25">
      <c r="A77" s="7" t="s">
        <v>131</v>
      </c>
      <c r="B77" s="10">
        <v>46015</v>
      </c>
      <c r="C77" s="11" t="s">
        <v>99</v>
      </c>
      <c r="D77" s="11" t="s">
        <v>36</v>
      </c>
      <c r="E77" s="7" t="s">
        <v>97</v>
      </c>
      <c r="F77" s="9">
        <v>29.1</v>
      </c>
      <c r="G77" s="9">
        <v>135.6</v>
      </c>
      <c r="H77" s="9">
        <v>19.399999999999999</v>
      </c>
      <c r="I77" s="9">
        <v>26.5</v>
      </c>
      <c r="J77" s="9">
        <v>0.12</v>
      </c>
      <c r="K77" s="9">
        <v>12.1</v>
      </c>
      <c r="L77" s="7">
        <v>30.7</v>
      </c>
      <c r="M77" s="7">
        <v>95.8</v>
      </c>
      <c r="N77" s="7">
        <v>0.6</v>
      </c>
      <c r="O77" s="7">
        <v>177</v>
      </c>
      <c r="P77" s="7" t="s">
        <v>33</v>
      </c>
      <c r="Q77" s="7" t="str">
        <f t="shared" si="4"/>
        <v>Unhealthy</v>
      </c>
      <c r="R77" s="7" t="str">
        <f t="shared" si="5"/>
        <v>Hot</v>
      </c>
      <c r="S77" s="7" t="str">
        <f t="shared" si="6"/>
        <v>High Humidity</v>
      </c>
      <c r="T77" s="7" t="str">
        <f t="shared" si="7"/>
        <v>Low Wind</v>
      </c>
    </row>
    <row r="78" spans="1:20" x14ac:dyDescent="0.25">
      <c r="A78" s="7" t="s">
        <v>132</v>
      </c>
      <c r="B78" s="10">
        <v>45712</v>
      </c>
      <c r="C78" s="11" t="s">
        <v>99</v>
      </c>
      <c r="D78" s="11" t="s">
        <v>36</v>
      </c>
      <c r="E78" s="7" t="s">
        <v>97</v>
      </c>
      <c r="F78" s="9">
        <v>79.3</v>
      </c>
      <c r="G78" s="9">
        <v>90.7</v>
      </c>
      <c r="H78" s="9">
        <v>26.2</v>
      </c>
      <c r="I78" s="9">
        <v>17.3</v>
      </c>
      <c r="J78" s="9">
        <v>0.02</v>
      </c>
      <c r="K78" s="9">
        <v>99</v>
      </c>
      <c r="L78" s="7">
        <v>28.4</v>
      </c>
      <c r="M78" s="7">
        <v>40.6</v>
      </c>
      <c r="N78" s="7">
        <v>0.1</v>
      </c>
      <c r="O78" s="7">
        <v>264</v>
      </c>
      <c r="P78" s="7" t="s">
        <v>28</v>
      </c>
      <c r="Q78" s="7" t="str">
        <f t="shared" si="4"/>
        <v>Moderate</v>
      </c>
      <c r="R78" s="7" t="str">
        <f t="shared" si="5"/>
        <v>Normal</v>
      </c>
      <c r="S78" s="7" t="str">
        <f t="shared" si="6"/>
        <v>Normal Humidity</v>
      </c>
      <c r="T78" s="7" t="str">
        <f t="shared" si="7"/>
        <v>Low Wind</v>
      </c>
    </row>
    <row r="79" spans="1:20" x14ac:dyDescent="0.25">
      <c r="A79" s="7" t="s">
        <v>133</v>
      </c>
      <c r="B79" s="10">
        <v>45665</v>
      </c>
      <c r="C79" s="11" t="s">
        <v>54</v>
      </c>
      <c r="D79" s="11" t="s">
        <v>18</v>
      </c>
      <c r="E79" s="7" t="s">
        <v>61</v>
      </c>
      <c r="F79" s="9">
        <v>44.7</v>
      </c>
      <c r="G79" s="9">
        <v>87.9</v>
      </c>
      <c r="H79" s="9">
        <v>26.2</v>
      </c>
      <c r="I79" s="9">
        <v>3.9</v>
      </c>
      <c r="J79" s="9">
        <v>0.77</v>
      </c>
      <c r="K79" s="9">
        <v>45.3</v>
      </c>
      <c r="L79" s="7">
        <v>27.3</v>
      </c>
      <c r="M79" s="7">
        <v>89.3</v>
      </c>
      <c r="N79" s="7">
        <v>3.3</v>
      </c>
      <c r="O79" s="7">
        <v>192</v>
      </c>
      <c r="P79" s="7" t="s">
        <v>33</v>
      </c>
      <c r="Q79" s="7" t="str">
        <f t="shared" si="4"/>
        <v>Moderate</v>
      </c>
      <c r="R79" s="7" t="str">
        <f t="shared" si="5"/>
        <v>Normal</v>
      </c>
      <c r="S79" s="7" t="str">
        <f t="shared" si="6"/>
        <v>High Humidity</v>
      </c>
      <c r="T79" s="7" t="str">
        <f t="shared" si="7"/>
        <v>Moderate Wind</v>
      </c>
    </row>
    <row r="80" spans="1:20" x14ac:dyDescent="0.25">
      <c r="A80" s="7" t="s">
        <v>134</v>
      </c>
      <c r="B80" s="10">
        <v>45790</v>
      </c>
      <c r="C80" s="11" t="s">
        <v>26</v>
      </c>
      <c r="D80" s="11" t="s">
        <v>23</v>
      </c>
      <c r="E80" s="7" t="s">
        <v>68</v>
      </c>
      <c r="F80" s="9">
        <v>16.399999999999999</v>
      </c>
      <c r="G80" s="9">
        <v>42.8</v>
      </c>
      <c r="H80" s="9">
        <v>35.6</v>
      </c>
      <c r="I80" s="9">
        <v>62</v>
      </c>
      <c r="J80" s="9">
        <v>0.22</v>
      </c>
      <c r="K80" s="9">
        <v>28.8</v>
      </c>
      <c r="L80" s="7">
        <v>27.7</v>
      </c>
      <c r="M80" s="7">
        <v>63.8</v>
      </c>
      <c r="N80" s="7">
        <v>3.8</v>
      </c>
      <c r="O80" s="7">
        <v>144</v>
      </c>
      <c r="P80" s="7" t="s">
        <v>33</v>
      </c>
      <c r="Q80" s="7" t="str">
        <f t="shared" si="4"/>
        <v>Good</v>
      </c>
      <c r="R80" s="7" t="str">
        <f t="shared" si="5"/>
        <v>Normal</v>
      </c>
      <c r="S80" s="7" t="str">
        <f t="shared" si="6"/>
        <v>High Humidity</v>
      </c>
      <c r="T80" s="7" t="str">
        <f t="shared" si="7"/>
        <v>Moderate Wind</v>
      </c>
    </row>
    <row r="81" spans="1:20" x14ac:dyDescent="0.25">
      <c r="A81" s="7" t="s">
        <v>135</v>
      </c>
      <c r="B81" s="10">
        <v>45843</v>
      </c>
      <c r="C81" s="11" t="s">
        <v>35</v>
      </c>
      <c r="D81" s="11" t="s">
        <v>36</v>
      </c>
      <c r="E81" s="7" t="s">
        <v>19</v>
      </c>
      <c r="F81" s="9">
        <v>96.5</v>
      </c>
      <c r="G81" s="9">
        <v>80.599999999999994</v>
      </c>
      <c r="H81" s="9">
        <v>11.2</v>
      </c>
      <c r="I81" s="9">
        <v>5.6</v>
      </c>
      <c r="J81" s="9">
        <v>2.46</v>
      </c>
      <c r="K81" s="9">
        <v>14.1</v>
      </c>
      <c r="L81" s="7">
        <v>32</v>
      </c>
      <c r="M81" s="7">
        <v>39.6</v>
      </c>
      <c r="N81" s="7">
        <v>2.2999999999999998</v>
      </c>
      <c r="O81" s="7">
        <v>288</v>
      </c>
      <c r="P81" s="7" t="s">
        <v>28</v>
      </c>
      <c r="Q81" s="7" t="str">
        <f t="shared" si="4"/>
        <v>Moderate</v>
      </c>
      <c r="R81" s="7" t="str">
        <f t="shared" si="5"/>
        <v>Hot</v>
      </c>
      <c r="S81" s="7" t="str">
        <f t="shared" si="6"/>
        <v>Normal Humidity</v>
      </c>
      <c r="T81" s="7" t="str">
        <f t="shared" si="7"/>
        <v>Moderate Wind</v>
      </c>
    </row>
    <row r="82" spans="1:20" x14ac:dyDescent="0.25">
      <c r="A82" s="7" t="s">
        <v>136</v>
      </c>
      <c r="B82" s="10">
        <v>45847</v>
      </c>
      <c r="C82" s="11" t="s">
        <v>99</v>
      </c>
      <c r="D82" s="11" t="s">
        <v>36</v>
      </c>
      <c r="E82" s="7" t="s">
        <v>74</v>
      </c>
      <c r="F82" s="9">
        <v>58.4</v>
      </c>
      <c r="G82" s="9">
        <v>97.1</v>
      </c>
      <c r="H82" s="9">
        <v>38.799999999999997</v>
      </c>
      <c r="I82" s="9">
        <v>9.9</v>
      </c>
      <c r="J82" s="9">
        <v>0.28000000000000003</v>
      </c>
      <c r="K82" s="9">
        <v>41.4</v>
      </c>
      <c r="L82" s="7">
        <v>32.1</v>
      </c>
      <c r="M82" s="7">
        <v>68.8</v>
      </c>
      <c r="N82" s="7">
        <v>3.6</v>
      </c>
      <c r="O82" s="7">
        <v>220</v>
      </c>
      <c r="P82" s="7" t="s">
        <v>28</v>
      </c>
      <c r="Q82" s="7" t="str">
        <f t="shared" si="4"/>
        <v>Moderate</v>
      </c>
      <c r="R82" s="7" t="str">
        <f t="shared" si="5"/>
        <v>Hot</v>
      </c>
      <c r="S82" s="7" t="str">
        <f t="shared" si="6"/>
        <v>High Humidity</v>
      </c>
      <c r="T82" s="7" t="str">
        <f t="shared" si="7"/>
        <v>Moderate Wind</v>
      </c>
    </row>
    <row r="83" spans="1:20" x14ac:dyDescent="0.25">
      <c r="A83" s="7" t="s">
        <v>137</v>
      </c>
      <c r="B83" s="10">
        <v>45680</v>
      </c>
      <c r="C83" s="11" t="s">
        <v>52</v>
      </c>
      <c r="D83" s="11" t="s">
        <v>31</v>
      </c>
      <c r="E83" s="7" t="s">
        <v>74</v>
      </c>
      <c r="F83" s="9">
        <v>70.7</v>
      </c>
      <c r="G83" s="9">
        <v>89.4</v>
      </c>
      <c r="H83" s="9">
        <v>34.6</v>
      </c>
      <c r="I83" s="9">
        <v>13.9</v>
      </c>
      <c r="J83" s="9">
        <v>0.92</v>
      </c>
      <c r="K83" s="9">
        <v>51.3</v>
      </c>
      <c r="L83" s="7">
        <v>37.4</v>
      </c>
      <c r="M83" s="7">
        <v>98</v>
      </c>
      <c r="N83" s="7">
        <v>2.7</v>
      </c>
      <c r="O83" s="7">
        <v>255</v>
      </c>
      <c r="P83" s="7" t="s">
        <v>28</v>
      </c>
      <c r="Q83" s="7" t="str">
        <f t="shared" si="4"/>
        <v>Moderate</v>
      </c>
      <c r="R83" s="7" t="str">
        <f t="shared" si="5"/>
        <v>Hot</v>
      </c>
      <c r="S83" s="7" t="str">
        <f t="shared" si="6"/>
        <v>High Humidity</v>
      </c>
      <c r="T83" s="7" t="str">
        <f t="shared" si="7"/>
        <v>Moderate Wind</v>
      </c>
    </row>
    <row r="84" spans="1:20" x14ac:dyDescent="0.25">
      <c r="A84" s="7" t="s">
        <v>138</v>
      </c>
      <c r="B84" s="10">
        <v>45900</v>
      </c>
      <c r="C84" s="11" t="s">
        <v>99</v>
      </c>
      <c r="D84" s="11" t="s">
        <v>36</v>
      </c>
      <c r="E84" s="7" t="s">
        <v>55</v>
      </c>
      <c r="F84" s="9">
        <v>31.6</v>
      </c>
      <c r="G84" s="9">
        <v>96</v>
      </c>
      <c r="H84" s="9">
        <v>40.700000000000003</v>
      </c>
      <c r="I84" s="9">
        <v>10.9</v>
      </c>
      <c r="J84" s="9">
        <v>1.32</v>
      </c>
      <c r="K84" s="9">
        <v>39.6</v>
      </c>
      <c r="L84" s="7">
        <v>24.7</v>
      </c>
      <c r="M84" s="7">
        <v>77.099999999999994</v>
      </c>
      <c r="N84" s="7">
        <v>1.6</v>
      </c>
      <c r="O84" s="7">
        <v>204</v>
      </c>
      <c r="P84" s="7" t="s">
        <v>28</v>
      </c>
      <c r="Q84" s="7" t="str">
        <f t="shared" si="4"/>
        <v>Moderate</v>
      </c>
      <c r="R84" s="7" t="str">
        <f t="shared" si="5"/>
        <v>Normal</v>
      </c>
      <c r="S84" s="7" t="str">
        <f t="shared" si="6"/>
        <v>High Humidity</v>
      </c>
      <c r="T84" s="7" t="str">
        <f t="shared" si="7"/>
        <v>Low Wind</v>
      </c>
    </row>
    <row r="85" spans="1:20" x14ac:dyDescent="0.25">
      <c r="A85" s="7" t="s">
        <v>139</v>
      </c>
      <c r="B85" s="10">
        <v>45839</v>
      </c>
      <c r="C85" s="11" t="s">
        <v>35</v>
      </c>
      <c r="D85" s="11" t="s">
        <v>36</v>
      </c>
      <c r="E85" s="7" t="s">
        <v>43</v>
      </c>
      <c r="F85" s="9">
        <v>20.6</v>
      </c>
      <c r="G85" s="9">
        <v>62.8</v>
      </c>
      <c r="H85" s="9">
        <v>11.6</v>
      </c>
      <c r="I85" s="9">
        <v>39.200000000000003</v>
      </c>
      <c r="J85" s="9">
        <v>1.2</v>
      </c>
      <c r="K85" s="9">
        <v>59.3</v>
      </c>
      <c r="L85" s="7">
        <v>22.4</v>
      </c>
      <c r="M85" s="7">
        <v>62.7</v>
      </c>
      <c r="N85" s="7">
        <v>4</v>
      </c>
      <c r="O85" s="7">
        <v>167</v>
      </c>
      <c r="P85" s="7" t="s">
        <v>33</v>
      </c>
      <c r="Q85" s="7" t="str">
        <f t="shared" si="4"/>
        <v>Moderate</v>
      </c>
      <c r="R85" s="7" t="str">
        <f t="shared" si="5"/>
        <v>Normal</v>
      </c>
      <c r="S85" s="7" t="str">
        <f t="shared" si="6"/>
        <v>High Humidity</v>
      </c>
      <c r="T85" s="7" t="str">
        <f t="shared" si="7"/>
        <v>Moderate Wind</v>
      </c>
    </row>
    <row r="86" spans="1:20" x14ac:dyDescent="0.25">
      <c r="A86" s="7" t="s">
        <v>140</v>
      </c>
      <c r="B86" s="10">
        <v>45783</v>
      </c>
      <c r="C86" s="11" t="s">
        <v>42</v>
      </c>
      <c r="D86" s="11" t="s">
        <v>23</v>
      </c>
      <c r="E86" s="7" t="s">
        <v>55</v>
      </c>
      <c r="F86" s="9">
        <v>67</v>
      </c>
      <c r="G86" s="9">
        <v>78.2</v>
      </c>
      <c r="H86" s="9">
        <v>24.7</v>
      </c>
      <c r="I86" s="9">
        <v>4.7</v>
      </c>
      <c r="J86" s="9">
        <v>2.0099999999999998</v>
      </c>
      <c r="K86" s="9">
        <v>24.2</v>
      </c>
      <c r="L86" s="7">
        <v>33.1</v>
      </c>
      <c r="M86" s="7">
        <v>44.7</v>
      </c>
      <c r="N86" s="7">
        <v>1.1000000000000001</v>
      </c>
      <c r="O86" s="7">
        <v>242</v>
      </c>
      <c r="P86" s="7" t="s">
        <v>28</v>
      </c>
      <c r="Q86" s="7" t="str">
        <f t="shared" si="4"/>
        <v>Moderate</v>
      </c>
      <c r="R86" s="7" t="str">
        <f t="shared" si="5"/>
        <v>Hot</v>
      </c>
      <c r="S86" s="7" t="str">
        <f t="shared" si="6"/>
        <v>Normal Humidity</v>
      </c>
      <c r="T86" s="7" t="str">
        <f t="shared" si="7"/>
        <v>Low Wind</v>
      </c>
    </row>
    <row r="87" spans="1:20" x14ac:dyDescent="0.25">
      <c r="A87" s="7" t="s">
        <v>141</v>
      </c>
      <c r="B87" s="10">
        <v>45832</v>
      </c>
      <c r="C87" s="11" t="s">
        <v>64</v>
      </c>
      <c r="D87" s="11" t="s">
        <v>36</v>
      </c>
      <c r="E87" s="7" t="s">
        <v>24</v>
      </c>
      <c r="F87" s="9">
        <v>83.1</v>
      </c>
      <c r="G87" s="9">
        <v>135.30000000000001</v>
      </c>
      <c r="H87" s="9">
        <v>76.7</v>
      </c>
      <c r="I87" s="9">
        <v>7.5</v>
      </c>
      <c r="J87" s="9">
        <v>0.87</v>
      </c>
      <c r="K87" s="9">
        <v>32.6</v>
      </c>
      <c r="L87" s="7">
        <v>22</v>
      </c>
      <c r="M87" s="7">
        <v>81.7</v>
      </c>
      <c r="N87" s="7">
        <v>1.8</v>
      </c>
      <c r="O87" s="7">
        <v>324</v>
      </c>
      <c r="P87" s="7" t="s">
        <v>20</v>
      </c>
      <c r="Q87" s="7" t="str">
        <f t="shared" si="4"/>
        <v>Unhealthy</v>
      </c>
      <c r="R87" s="7" t="str">
        <f t="shared" si="5"/>
        <v>Normal</v>
      </c>
      <c r="S87" s="7" t="str">
        <f t="shared" si="6"/>
        <v>High Humidity</v>
      </c>
      <c r="T87" s="7" t="str">
        <f t="shared" si="7"/>
        <v>Low Wind</v>
      </c>
    </row>
    <row r="88" spans="1:20" x14ac:dyDescent="0.25">
      <c r="A88" s="7" t="s">
        <v>142</v>
      </c>
      <c r="B88" s="10">
        <v>45863</v>
      </c>
      <c r="C88" s="11" t="s">
        <v>42</v>
      </c>
      <c r="D88" s="11" t="s">
        <v>23</v>
      </c>
      <c r="E88" s="7" t="s">
        <v>19</v>
      </c>
      <c r="F88" s="9">
        <v>12.3</v>
      </c>
      <c r="G88" s="9">
        <v>103.7</v>
      </c>
      <c r="H88" s="9">
        <v>94.2</v>
      </c>
      <c r="I88" s="9">
        <v>16.8</v>
      </c>
      <c r="J88" s="9">
        <v>0.48</v>
      </c>
      <c r="K88" s="9">
        <v>21.2</v>
      </c>
      <c r="L88" s="7">
        <v>28.8</v>
      </c>
      <c r="M88" s="7">
        <v>67.099999999999994</v>
      </c>
      <c r="N88" s="7">
        <v>2.4</v>
      </c>
      <c r="O88" s="7">
        <v>196</v>
      </c>
      <c r="P88" s="7" t="s">
        <v>33</v>
      </c>
      <c r="Q88" s="7" t="str">
        <f t="shared" si="4"/>
        <v>Unhealthy</v>
      </c>
      <c r="R88" s="7" t="str">
        <f t="shared" si="5"/>
        <v>Normal</v>
      </c>
      <c r="S88" s="7" t="str">
        <f t="shared" si="6"/>
        <v>High Humidity</v>
      </c>
      <c r="T88" s="7" t="str">
        <f t="shared" si="7"/>
        <v>Moderate Wind</v>
      </c>
    </row>
    <row r="89" spans="1:20" x14ac:dyDescent="0.25">
      <c r="A89" s="7" t="s">
        <v>143</v>
      </c>
      <c r="B89" s="10">
        <v>45738</v>
      </c>
      <c r="C89" s="11" t="s">
        <v>52</v>
      </c>
      <c r="D89" s="11" t="s">
        <v>31</v>
      </c>
      <c r="E89" s="7" t="s">
        <v>27</v>
      </c>
      <c r="F89" s="9">
        <v>111.3</v>
      </c>
      <c r="G89" s="9">
        <v>114.3</v>
      </c>
      <c r="H89" s="9">
        <v>25.2</v>
      </c>
      <c r="I89" s="9">
        <v>17</v>
      </c>
      <c r="J89" s="9">
        <v>0.8</v>
      </c>
      <c r="K89" s="9">
        <v>10.6</v>
      </c>
      <c r="L89" s="7">
        <v>26.2</v>
      </c>
      <c r="M89" s="7">
        <v>89.7</v>
      </c>
      <c r="N89" s="7">
        <v>1.7</v>
      </c>
      <c r="O89" s="7">
        <v>309</v>
      </c>
      <c r="P89" s="7" t="s">
        <v>20</v>
      </c>
      <c r="Q89" s="7" t="str">
        <f t="shared" si="4"/>
        <v>Unhealthy</v>
      </c>
      <c r="R89" s="7" t="str">
        <f t="shared" si="5"/>
        <v>Normal</v>
      </c>
      <c r="S89" s="7" t="str">
        <f t="shared" si="6"/>
        <v>High Humidity</v>
      </c>
      <c r="T89" s="7" t="str">
        <f t="shared" si="7"/>
        <v>Low Wind</v>
      </c>
    </row>
    <row r="90" spans="1:20" x14ac:dyDescent="0.25">
      <c r="A90" s="7" t="s">
        <v>144</v>
      </c>
      <c r="B90" s="10">
        <v>45933</v>
      </c>
      <c r="C90" s="11" t="s">
        <v>99</v>
      </c>
      <c r="D90" s="11" t="s">
        <v>36</v>
      </c>
      <c r="E90" s="7" t="s">
        <v>97</v>
      </c>
      <c r="F90" s="9">
        <v>31.9</v>
      </c>
      <c r="G90" s="9">
        <v>83.9</v>
      </c>
      <c r="H90" s="9">
        <v>70.2</v>
      </c>
      <c r="I90" s="9">
        <v>7.5</v>
      </c>
      <c r="J90" s="9">
        <v>2.2799999999999998</v>
      </c>
      <c r="K90" s="9">
        <v>42.8</v>
      </c>
      <c r="L90" s="7">
        <v>29</v>
      </c>
      <c r="M90" s="7">
        <v>66.3</v>
      </c>
      <c r="N90" s="7">
        <v>2.2999999999999998</v>
      </c>
      <c r="O90" s="7">
        <v>243</v>
      </c>
      <c r="P90" s="7" t="s">
        <v>28</v>
      </c>
      <c r="Q90" s="7" t="str">
        <f t="shared" si="4"/>
        <v>Moderate</v>
      </c>
      <c r="R90" s="7" t="str">
        <f t="shared" si="5"/>
        <v>Normal</v>
      </c>
      <c r="S90" s="7" t="str">
        <f t="shared" si="6"/>
        <v>High Humidity</v>
      </c>
      <c r="T90" s="7" t="str">
        <f t="shared" si="7"/>
        <v>Moderate Wind</v>
      </c>
    </row>
    <row r="91" spans="1:20" x14ac:dyDescent="0.25">
      <c r="A91" s="7" t="s">
        <v>145</v>
      </c>
      <c r="B91" s="10">
        <v>46022</v>
      </c>
      <c r="C91" s="11" t="s">
        <v>93</v>
      </c>
      <c r="D91" s="11" t="s">
        <v>36</v>
      </c>
      <c r="E91" s="7" t="s">
        <v>24</v>
      </c>
      <c r="F91" s="9">
        <v>94.1</v>
      </c>
      <c r="G91" s="9">
        <v>118.6</v>
      </c>
      <c r="H91" s="9">
        <v>28.9</v>
      </c>
      <c r="I91" s="9">
        <v>4.9000000000000004</v>
      </c>
      <c r="J91" s="9">
        <v>0.89</v>
      </c>
      <c r="K91" s="9">
        <v>67.2</v>
      </c>
      <c r="L91" s="7">
        <v>32.299999999999997</v>
      </c>
      <c r="M91" s="7">
        <v>83.4</v>
      </c>
      <c r="N91" s="7">
        <v>2.6</v>
      </c>
      <c r="O91" s="7">
        <v>307</v>
      </c>
      <c r="P91" s="7" t="s">
        <v>20</v>
      </c>
      <c r="Q91" s="7" t="str">
        <f t="shared" si="4"/>
        <v>Unhealthy</v>
      </c>
      <c r="R91" s="7" t="str">
        <f t="shared" si="5"/>
        <v>Hot</v>
      </c>
      <c r="S91" s="7" t="str">
        <f t="shared" si="6"/>
        <v>High Humidity</v>
      </c>
      <c r="T91" s="7" t="str">
        <f t="shared" si="7"/>
        <v>Moderate Wind</v>
      </c>
    </row>
    <row r="92" spans="1:20" x14ac:dyDescent="0.25">
      <c r="A92" s="7" t="s">
        <v>146</v>
      </c>
      <c r="B92" s="10">
        <v>45788</v>
      </c>
      <c r="C92" s="11" t="s">
        <v>81</v>
      </c>
      <c r="D92" s="11" t="s">
        <v>39</v>
      </c>
      <c r="E92" s="7" t="s">
        <v>61</v>
      </c>
      <c r="F92" s="9">
        <v>36.5</v>
      </c>
      <c r="G92" s="9">
        <v>110.4</v>
      </c>
      <c r="H92" s="9">
        <v>13.8</v>
      </c>
      <c r="I92" s="9">
        <v>14.8</v>
      </c>
      <c r="J92" s="9">
        <v>1.57</v>
      </c>
      <c r="K92" s="9">
        <v>58.5</v>
      </c>
      <c r="L92" s="7">
        <v>27.2</v>
      </c>
      <c r="M92" s="7">
        <v>30.6</v>
      </c>
      <c r="N92" s="7">
        <v>0.6</v>
      </c>
      <c r="O92" s="7">
        <v>217</v>
      </c>
      <c r="P92" s="7" t="s">
        <v>28</v>
      </c>
      <c r="Q92" s="7" t="str">
        <f t="shared" si="4"/>
        <v>Unhealthy</v>
      </c>
      <c r="R92" s="7" t="str">
        <f t="shared" si="5"/>
        <v>Normal</v>
      </c>
      <c r="S92" s="7" t="str">
        <f t="shared" si="6"/>
        <v>Normal Humidity</v>
      </c>
      <c r="T92" s="7" t="str">
        <f t="shared" si="7"/>
        <v>Low Wind</v>
      </c>
    </row>
    <row r="93" spans="1:20" x14ac:dyDescent="0.25">
      <c r="A93" s="7" t="s">
        <v>147</v>
      </c>
      <c r="B93" s="10">
        <v>45929</v>
      </c>
      <c r="C93" s="11" t="s">
        <v>38</v>
      </c>
      <c r="D93" s="11" t="s">
        <v>39</v>
      </c>
      <c r="E93" s="7" t="s">
        <v>32</v>
      </c>
      <c r="F93" s="9">
        <v>52</v>
      </c>
      <c r="G93" s="9">
        <v>121.2</v>
      </c>
      <c r="H93" s="9">
        <v>8.9</v>
      </c>
      <c r="I93" s="9">
        <v>11.4</v>
      </c>
      <c r="J93" s="9">
        <v>0.42</v>
      </c>
      <c r="K93" s="9">
        <v>44.5</v>
      </c>
      <c r="L93" s="7">
        <v>21.6</v>
      </c>
      <c r="M93" s="7">
        <v>29.7</v>
      </c>
      <c r="N93" s="7">
        <v>1.7</v>
      </c>
      <c r="O93" s="7">
        <v>208</v>
      </c>
      <c r="P93" s="7" t="s">
        <v>28</v>
      </c>
      <c r="Q93" s="7" t="str">
        <f t="shared" si="4"/>
        <v>Unhealthy</v>
      </c>
      <c r="R93" s="7" t="str">
        <f t="shared" si="5"/>
        <v>Normal</v>
      </c>
      <c r="S93" s="7" t="str">
        <f t="shared" si="6"/>
        <v>Low Humidity</v>
      </c>
      <c r="T93" s="7" t="str">
        <f t="shared" si="7"/>
        <v>Low Wind</v>
      </c>
    </row>
    <row r="94" spans="1:20" x14ac:dyDescent="0.25">
      <c r="A94" s="7" t="s">
        <v>148</v>
      </c>
      <c r="B94" s="10">
        <v>45680</v>
      </c>
      <c r="C94" s="11" t="s">
        <v>38</v>
      </c>
      <c r="D94" s="11" t="s">
        <v>39</v>
      </c>
      <c r="E94" s="7" t="s">
        <v>40</v>
      </c>
      <c r="F94" s="9">
        <v>37.6</v>
      </c>
      <c r="G94" s="9">
        <v>248.9</v>
      </c>
      <c r="H94" s="9">
        <v>11.5</v>
      </c>
      <c r="I94" s="9">
        <v>16.5</v>
      </c>
      <c r="J94" s="9">
        <v>0.86</v>
      </c>
      <c r="K94" s="9">
        <v>53.5</v>
      </c>
      <c r="L94" s="7">
        <v>23.9</v>
      </c>
      <c r="M94" s="7">
        <v>38.4</v>
      </c>
      <c r="N94" s="7">
        <v>0.7</v>
      </c>
      <c r="O94" s="7">
        <v>288</v>
      </c>
      <c r="P94" s="7" t="s">
        <v>28</v>
      </c>
      <c r="Q94" s="7" t="str">
        <f t="shared" si="4"/>
        <v>VeryUnhealthy</v>
      </c>
      <c r="R94" s="7" t="str">
        <f t="shared" si="5"/>
        <v>Normal</v>
      </c>
      <c r="S94" s="7" t="str">
        <f t="shared" si="6"/>
        <v>Normal Humidity</v>
      </c>
      <c r="T94" s="7" t="str">
        <f t="shared" si="7"/>
        <v>Low Wind</v>
      </c>
    </row>
    <row r="95" spans="1:20" x14ac:dyDescent="0.25">
      <c r="A95" s="7" t="s">
        <v>149</v>
      </c>
      <c r="B95" s="10">
        <v>45798</v>
      </c>
      <c r="C95" s="11" t="s">
        <v>77</v>
      </c>
      <c r="D95" s="11" t="s">
        <v>39</v>
      </c>
      <c r="E95" s="7" t="s">
        <v>45</v>
      </c>
      <c r="F95" s="9">
        <v>16.2</v>
      </c>
      <c r="G95" s="9">
        <v>74.5</v>
      </c>
      <c r="H95" s="9">
        <v>7</v>
      </c>
      <c r="I95" s="9">
        <v>21.7</v>
      </c>
      <c r="J95" s="9">
        <v>0.65</v>
      </c>
      <c r="K95" s="9">
        <v>6.7</v>
      </c>
      <c r="L95" s="7">
        <v>31.4</v>
      </c>
      <c r="M95" s="7">
        <v>73.5</v>
      </c>
      <c r="N95" s="7">
        <v>3</v>
      </c>
      <c r="O95" s="7">
        <v>114</v>
      </c>
      <c r="P95" s="7" t="s">
        <v>33</v>
      </c>
      <c r="Q95" s="7" t="str">
        <f t="shared" si="4"/>
        <v>Moderate</v>
      </c>
      <c r="R95" s="7" t="str">
        <f t="shared" si="5"/>
        <v>Hot</v>
      </c>
      <c r="S95" s="7" t="str">
        <f t="shared" si="6"/>
        <v>High Humidity</v>
      </c>
      <c r="T95" s="7" t="str">
        <f t="shared" si="7"/>
        <v>Moderate Wind</v>
      </c>
    </row>
    <row r="96" spans="1:20" x14ac:dyDescent="0.25">
      <c r="A96" s="7" t="s">
        <v>150</v>
      </c>
      <c r="B96" s="10">
        <v>45861</v>
      </c>
      <c r="C96" s="11" t="s">
        <v>30</v>
      </c>
      <c r="D96" s="11" t="s">
        <v>31</v>
      </c>
      <c r="E96" s="7" t="s">
        <v>91</v>
      </c>
      <c r="F96" s="9">
        <v>18.600000000000001</v>
      </c>
      <c r="G96" s="9">
        <v>111.8</v>
      </c>
      <c r="H96" s="9">
        <v>6.2</v>
      </c>
      <c r="I96" s="9">
        <v>5.0999999999999996</v>
      </c>
      <c r="J96" s="9">
        <v>1.33</v>
      </c>
      <c r="K96" s="9">
        <v>7.6</v>
      </c>
      <c r="L96" s="7">
        <v>27.1</v>
      </c>
      <c r="M96" s="7">
        <v>92.8</v>
      </c>
      <c r="N96" s="7">
        <v>1.4</v>
      </c>
      <c r="O96" s="7">
        <v>148</v>
      </c>
      <c r="P96" s="7" t="s">
        <v>33</v>
      </c>
      <c r="Q96" s="7" t="str">
        <f t="shared" si="4"/>
        <v>Unhealthy</v>
      </c>
      <c r="R96" s="7" t="str">
        <f t="shared" si="5"/>
        <v>Normal</v>
      </c>
      <c r="S96" s="7" t="str">
        <f t="shared" si="6"/>
        <v>High Humidity</v>
      </c>
      <c r="T96" s="7" t="str">
        <f t="shared" si="7"/>
        <v>Low Wind</v>
      </c>
    </row>
    <row r="97" spans="1:20" x14ac:dyDescent="0.25">
      <c r="A97" s="7" t="s">
        <v>151</v>
      </c>
      <c r="B97" s="10">
        <v>45948</v>
      </c>
      <c r="C97" s="11" t="s">
        <v>93</v>
      </c>
      <c r="D97" s="11" t="s">
        <v>36</v>
      </c>
      <c r="E97" s="7" t="s">
        <v>91</v>
      </c>
      <c r="F97" s="9">
        <v>24.4</v>
      </c>
      <c r="G97" s="9">
        <v>105.3</v>
      </c>
      <c r="H97" s="9">
        <v>14.3</v>
      </c>
      <c r="I97" s="9">
        <v>20.7</v>
      </c>
      <c r="J97" s="9">
        <v>0.48</v>
      </c>
      <c r="K97" s="9">
        <v>17.399999999999999</v>
      </c>
      <c r="L97" s="7">
        <v>25.8</v>
      </c>
      <c r="M97" s="7">
        <v>20</v>
      </c>
      <c r="N97" s="7">
        <v>2.1</v>
      </c>
      <c r="O97" s="7">
        <v>153</v>
      </c>
      <c r="P97" s="7" t="s">
        <v>33</v>
      </c>
      <c r="Q97" s="7" t="str">
        <f t="shared" si="4"/>
        <v>Unhealthy</v>
      </c>
      <c r="R97" s="7" t="str">
        <f t="shared" si="5"/>
        <v>Normal</v>
      </c>
      <c r="S97" s="7" t="str">
        <f t="shared" si="6"/>
        <v>Low Humidity</v>
      </c>
      <c r="T97" s="7" t="str">
        <f t="shared" si="7"/>
        <v>Moderate Wind</v>
      </c>
    </row>
    <row r="98" spans="1:20" x14ac:dyDescent="0.25">
      <c r="A98" s="7" t="s">
        <v>152</v>
      </c>
      <c r="B98" s="10">
        <v>45771</v>
      </c>
      <c r="C98" s="11" t="s">
        <v>22</v>
      </c>
      <c r="D98" s="11" t="s">
        <v>23</v>
      </c>
      <c r="E98" s="7" t="s">
        <v>74</v>
      </c>
      <c r="F98" s="9">
        <v>36.1</v>
      </c>
      <c r="G98" s="9">
        <v>107.8</v>
      </c>
      <c r="H98" s="9">
        <v>53.9</v>
      </c>
      <c r="I98" s="9">
        <v>5.2</v>
      </c>
      <c r="J98" s="9">
        <v>1.0900000000000001</v>
      </c>
      <c r="K98" s="9">
        <v>35.5</v>
      </c>
      <c r="L98" s="7">
        <v>26.2</v>
      </c>
      <c r="M98" s="7">
        <v>92.2</v>
      </c>
      <c r="N98" s="7">
        <v>1.6</v>
      </c>
      <c r="O98" s="7">
        <v>218</v>
      </c>
      <c r="P98" s="7" t="s">
        <v>28</v>
      </c>
      <c r="Q98" s="7" t="str">
        <f t="shared" si="4"/>
        <v>Unhealthy</v>
      </c>
      <c r="R98" s="7" t="str">
        <f t="shared" si="5"/>
        <v>Normal</v>
      </c>
      <c r="S98" s="7" t="str">
        <f t="shared" si="6"/>
        <v>High Humidity</v>
      </c>
      <c r="T98" s="7" t="str">
        <f t="shared" si="7"/>
        <v>Low Wind</v>
      </c>
    </row>
    <row r="99" spans="1:20" x14ac:dyDescent="0.25">
      <c r="A99" s="7" t="s">
        <v>153</v>
      </c>
      <c r="B99" s="10">
        <v>45748</v>
      </c>
      <c r="C99" s="11" t="s">
        <v>52</v>
      </c>
      <c r="D99" s="11" t="s">
        <v>31</v>
      </c>
      <c r="E99" s="7" t="s">
        <v>58</v>
      </c>
      <c r="F99" s="9">
        <v>15</v>
      </c>
      <c r="G99" s="9">
        <v>65</v>
      </c>
      <c r="H99" s="9">
        <v>6.2</v>
      </c>
      <c r="I99" s="9">
        <v>7.2</v>
      </c>
      <c r="J99" s="9">
        <v>0.39</v>
      </c>
      <c r="K99" s="9">
        <v>51.6</v>
      </c>
      <c r="L99" s="7">
        <v>22.8</v>
      </c>
      <c r="M99" s="7">
        <v>80.900000000000006</v>
      </c>
      <c r="N99" s="7">
        <v>2.4</v>
      </c>
      <c r="O99" s="7">
        <v>109</v>
      </c>
      <c r="P99" s="7" t="s">
        <v>33</v>
      </c>
      <c r="Q99" s="7" t="str">
        <f t="shared" si="4"/>
        <v>Moderate</v>
      </c>
      <c r="R99" s="7" t="str">
        <f t="shared" si="5"/>
        <v>Normal</v>
      </c>
      <c r="S99" s="7" t="str">
        <f t="shared" si="6"/>
        <v>High Humidity</v>
      </c>
      <c r="T99" s="7" t="str">
        <f t="shared" si="7"/>
        <v>Moderate Wind</v>
      </c>
    </row>
    <row r="100" spans="1:20" x14ac:dyDescent="0.25">
      <c r="A100" s="7" t="s">
        <v>154</v>
      </c>
      <c r="B100" s="10">
        <v>45974</v>
      </c>
      <c r="C100" s="11" t="s">
        <v>67</v>
      </c>
      <c r="D100" s="11" t="s">
        <v>18</v>
      </c>
      <c r="E100" s="7" t="s">
        <v>40</v>
      </c>
      <c r="F100" s="9">
        <v>34</v>
      </c>
      <c r="G100" s="9">
        <v>105</v>
      </c>
      <c r="H100" s="9">
        <v>37.9</v>
      </c>
      <c r="I100" s="9">
        <v>26.2</v>
      </c>
      <c r="J100" s="9">
        <v>2.06</v>
      </c>
      <c r="K100" s="9">
        <v>25</v>
      </c>
      <c r="L100" s="7">
        <v>19.7</v>
      </c>
      <c r="M100" s="7">
        <v>52.9</v>
      </c>
      <c r="N100" s="7">
        <v>3.5</v>
      </c>
      <c r="O100" s="7">
        <v>234</v>
      </c>
      <c r="P100" s="7" t="s">
        <v>28</v>
      </c>
      <c r="Q100" s="7" t="str">
        <f t="shared" si="4"/>
        <v>Unhealthy</v>
      </c>
      <c r="R100" s="7" t="str">
        <f t="shared" si="5"/>
        <v>Cool</v>
      </c>
      <c r="S100" s="7" t="str">
        <f t="shared" si="6"/>
        <v>Normal Humidity</v>
      </c>
      <c r="T100" s="7" t="str">
        <f t="shared" si="7"/>
        <v>Moderate Wind</v>
      </c>
    </row>
    <row r="101" spans="1:20" x14ac:dyDescent="0.25">
      <c r="A101" s="7" t="s">
        <v>155</v>
      </c>
      <c r="B101" s="10">
        <v>45761</v>
      </c>
      <c r="C101" s="11" t="s">
        <v>81</v>
      </c>
      <c r="D101" s="11" t="s">
        <v>39</v>
      </c>
      <c r="E101" s="7" t="s">
        <v>24</v>
      </c>
      <c r="F101" s="9">
        <v>56.6</v>
      </c>
      <c r="G101" s="9">
        <v>142</v>
      </c>
      <c r="H101" s="9">
        <v>35.4</v>
      </c>
      <c r="I101" s="9">
        <v>12.6</v>
      </c>
      <c r="J101" s="9">
        <v>0.25</v>
      </c>
      <c r="K101" s="9">
        <v>55.9</v>
      </c>
      <c r="L101" s="7">
        <v>29</v>
      </c>
      <c r="M101" s="7">
        <v>69</v>
      </c>
      <c r="N101" s="7">
        <v>1.5</v>
      </c>
      <c r="O101" s="7">
        <v>251</v>
      </c>
      <c r="P101" s="7" t="s">
        <v>28</v>
      </c>
      <c r="Q101" s="7" t="str">
        <f t="shared" si="4"/>
        <v>Unhealthy</v>
      </c>
      <c r="R101" s="7" t="str">
        <f t="shared" si="5"/>
        <v>Normal</v>
      </c>
      <c r="S101" s="7" t="str">
        <f t="shared" si="6"/>
        <v>High Humidity</v>
      </c>
      <c r="T101" s="7" t="str">
        <f t="shared" si="7"/>
        <v>Low Wind</v>
      </c>
    </row>
    <row r="102" spans="1:20" x14ac:dyDescent="0.25">
      <c r="A102" s="7" t="s">
        <v>156</v>
      </c>
      <c r="B102" s="10">
        <v>45734</v>
      </c>
      <c r="C102" s="11" t="s">
        <v>38</v>
      </c>
      <c r="D102" s="11" t="s">
        <v>39</v>
      </c>
      <c r="E102" s="7" t="s">
        <v>97</v>
      </c>
      <c r="F102" s="9">
        <v>105.4</v>
      </c>
      <c r="G102" s="9">
        <v>130</v>
      </c>
      <c r="H102" s="9">
        <v>51</v>
      </c>
      <c r="I102" s="9">
        <v>7.9</v>
      </c>
      <c r="J102" s="9">
        <v>2.02</v>
      </c>
      <c r="K102" s="9">
        <v>52</v>
      </c>
      <c r="L102" s="7">
        <v>32.5</v>
      </c>
      <c r="M102" s="7">
        <v>96.4</v>
      </c>
      <c r="N102" s="7">
        <v>4</v>
      </c>
      <c r="O102" s="7">
        <v>373</v>
      </c>
      <c r="P102" s="7" t="s">
        <v>20</v>
      </c>
      <c r="Q102" s="7" t="str">
        <f t="shared" si="4"/>
        <v>Unhealthy</v>
      </c>
      <c r="R102" s="7" t="str">
        <f t="shared" si="5"/>
        <v>Hot</v>
      </c>
      <c r="S102" s="7" t="str">
        <f t="shared" si="6"/>
        <v>High Humidity</v>
      </c>
      <c r="T102" s="7" t="str">
        <f t="shared" si="7"/>
        <v>Moderate Wind</v>
      </c>
    </row>
    <row r="103" spans="1:20" x14ac:dyDescent="0.25">
      <c r="A103" s="7" t="s">
        <v>157</v>
      </c>
      <c r="B103" s="10">
        <v>45941</v>
      </c>
      <c r="C103" s="11" t="s">
        <v>77</v>
      </c>
      <c r="D103" s="11" t="s">
        <v>39</v>
      </c>
      <c r="E103" s="7" t="s">
        <v>74</v>
      </c>
      <c r="F103" s="9">
        <v>50.9</v>
      </c>
      <c r="G103" s="9">
        <v>58.7</v>
      </c>
      <c r="H103" s="9">
        <v>35.200000000000003</v>
      </c>
      <c r="I103" s="9">
        <v>21.4</v>
      </c>
      <c r="J103" s="9">
        <v>1.1100000000000001</v>
      </c>
      <c r="K103" s="9">
        <v>27.9</v>
      </c>
      <c r="L103" s="7">
        <v>28.6</v>
      </c>
      <c r="M103" s="7">
        <v>43.5</v>
      </c>
      <c r="N103" s="7">
        <v>4.2</v>
      </c>
      <c r="O103" s="7">
        <v>203</v>
      </c>
      <c r="P103" s="7" t="s">
        <v>28</v>
      </c>
      <c r="Q103" s="7" t="str">
        <f t="shared" si="4"/>
        <v>Moderate</v>
      </c>
      <c r="R103" s="7" t="str">
        <f t="shared" si="5"/>
        <v>Normal</v>
      </c>
      <c r="S103" s="7" t="str">
        <f t="shared" si="6"/>
        <v>Normal Humidity</v>
      </c>
      <c r="T103" s="7" t="str">
        <f t="shared" si="7"/>
        <v>Moderate Wind</v>
      </c>
    </row>
    <row r="104" spans="1:20" x14ac:dyDescent="0.25">
      <c r="A104" s="7" t="s">
        <v>158</v>
      </c>
      <c r="B104" s="10">
        <v>45690</v>
      </c>
      <c r="C104" s="11" t="s">
        <v>26</v>
      </c>
      <c r="D104" s="11" t="s">
        <v>23</v>
      </c>
      <c r="E104" s="7" t="s">
        <v>70</v>
      </c>
      <c r="F104" s="9">
        <v>28.9</v>
      </c>
      <c r="G104" s="9">
        <v>145.6</v>
      </c>
      <c r="H104" s="9">
        <v>11.5</v>
      </c>
      <c r="I104" s="9">
        <v>16.2</v>
      </c>
      <c r="J104" s="9">
        <v>0.72</v>
      </c>
      <c r="K104" s="9">
        <v>4.4000000000000004</v>
      </c>
      <c r="L104" s="7">
        <v>27.6</v>
      </c>
      <c r="M104" s="7">
        <v>35.9</v>
      </c>
      <c r="N104" s="7">
        <v>1.5</v>
      </c>
      <c r="O104" s="7">
        <v>181</v>
      </c>
      <c r="P104" s="7" t="s">
        <v>33</v>
      </c>
      <c r="Q104" s="7" t="str">
        <f t="shared" si="4"/>
        <v>Unhealthy</v>
      </c>
      <c r="R104" s="7" t="str">
        <f t="shared" si="5"/>
        <v>Normal</v>
      </c>
      <c r="S104" s="7" t="str">
        <f t="shared" si="6"/>
        <v>Normal Humidity</v>
      </c>
      <c r="T104" s="7" t="str">
        <f t="shared" si="7"/>
        <v>Low Wind</v>
      </c>
    </row>
    <row r="105" spans="1:20" x14ac:dyDescent="0.25">
      <c r="A105" s="7" t="s">
        <v>159</v>
      </c>
      <c r="B105" s="10">
        <v>45911</v>
      </c>
      <c r="C105" s="11" t="s">
        <v>35</v>
      </c>
      <c r="D105" s="11" t="s">
        <v>36</v>
      </c>
      <c r="E105" s="7" t="s">
        <v>43</v>
      </c>
      <c r="F105" s="9">
        <v>33.799999999999997</v>
      </c>
      <c r="G105" s="9">
        <v>115.3</v>
      </c>
      <c r="H105" s="9">
        <v>38</v>
      </c>
      <c r="I105" s="9">
        <v>28.3</v>
      </c>
      <c r="J105" s="9">
        <v>0.7</v>
      </c>
      <c r="K105" s="9">
        <v>33.799999999999997</v>
      </c>
      <c r="L105" s="7">
        <v>28.9</v>
      </c>
      <c r="M105" s="7">
        <v>66.099999999999994</v>
      </c>
      <c r="N105" s="7">
        <v>2.4</v>
      </c>
      <c r="O105" s="7">
        <v>212</v>
      </c>
      <c r="P105" s="7" t="s">
        <v>28</v>
      </c>
      <c r="Q105" s="7" t="str">
        <f t="shared" si="4"/>
        <v>Unhealthy</v>
      </c>
      <c r="R105" s="7" t="str">
        <f t="shared" si="5"/>
        <v>Normal</v>
      </c>
      <c r="S105" s="7" t="str">
        <f t="shared" si="6"/>
        <v>High Humidity</v>
      </c>
      <c r="T105" s="7" t="str">
        <f t="shared" si="7"/>
        <v>Moderate Wind</v>
      </c>
    </row>
    <row r="106" spans="1:20" x14ac:dyDescent="0.25">
      <c r="A106" s="7" t="s">
        <v>160</v>
      </c>
      <c r="B106" s="10">
        <v>45828</v>
      </c>
      <c r="C106" s="11" t="s">
        <v>35</v>
      </c>
      <c r="D106" s="11" t="s">
        <v>36</v>
      </c>
      <c r="E106" s="7" t="s">
        <v>97</v>
      </c>
      <c r="F106" s="9">
        <v>19.3</v>
      </c>
      <c r="G106" s="9">
        <v>42.3</v>
      </c>
      <c r="H106" s="9">
        <v>74.7</v>
      </c>
      <c r="I106" s="9">
        <v>15.2</v>
      </c>
      <c r="J106" s="9">
        <v>0.28999999999999998</v>
      </c>
      <c r="K106" s="9">
        <v>85.1</v>
      </c>
      <c r="L106" s="7">
        <v>37.9</v>
      </c>
      <c r="M106" s="7">
        <v>65</v>
      </c>
      <c r="N106" s="7">
        <v>1.5</v>
      </c>
      <c r="O106" s="7">
        <v>174</v>
      </c>
      <c r="P106" s="7" t="s">
        <v>33</v>
      </c>
      <c r="Q106" s="7" t="str">
        <f t="shared" si="4"/>
        <v>Good</v>
      </c>
      <c r="R106" s="7" t="str">
        <f t="shared" si="5"/>
        <v>Hot</v>
      </c>
      <c r="S106" s="7" t="str">
        <f t="shared" si="6"/>
        <v>High Humidity</v>
      </c>
      <c r="T106" s="7" t="str">
        <f t="shared" si="7"/>
        <v>Low Wind</v>
      </c>
    </row>
    <row r="107" spans="1:20" x14ac:dyDescent="0.25">
      <c r="A107" s="7" t="s">
        <v>161</v>
      </c>
      <c r="B107" s="10">
        <v>45944</v>
      </c>
      <c r="C107" s="11" t="s">
        <v>99</v>
      </c>
      <c r="D107" s="11" t="s">
        <v>36</v>
      </c>
      <c r="E107" s="7" t="s">
        <v>74</v>
      </c>
      <c r="F107" s="9">
        <v>40.200000000000003</v>
      </c>
      <c r="G107" s="9">
        <v>26.7</v>
      </c>
      <c r="H107" s="9">
        <v>5.4</v>
      </c>
      <c r="I107" s="9">
        <v>25.7</v>
      </c>
      <c r="J107" s="9">
        <v>0.81</v>
      </c>
      <c r="K107" s="9">
        <v>17.899999999999999</v>
      </c>
      <c r="L107" s="7">
        <v>18.7</v>
      </c>
      <c r="M107" s="7">
        <v>49.2</v>
      </c>
      <c r="N107" s="7">
        <v>1.8</v>
      </c>
      <c r="O107" s="7">
        <v>132</v>
      </c>
      <c r="P107" s="7" t="s">
        <v>33</v>
      </c>
      <c r="Q107" s="7" t="str">
        <f t="shared" si="4"/>
        <v>Good</v>
      </c>
      <c r="R107" s="7" t="str">
        <f t="shared" si="5"/>
        <v>Cool</v>
      </c>
      <c r="S107" s="7" t="str">
        <f t="shared" si="6"/>
        <v>Normal Humidity</v>
      </c>
      <c r="T107" s="7" t="str">
        <f t="shared" si="7"/>
        <v>Low Wind</v>
      </c>
    </row>
    <row r="108" spans="1:20" x14ac:dyDescent="0.25">
      <c r="A108" s="7" t="s">
        <v>162</v>
      </c>
      <c r="B108" s="10">
        <v>45969</v>
      </c>
      <c r="C108" s="11" t="s">
        <v>52</v>
      </c>
      <c r="D108" s="11" t="s">
        <v>31</v>
      </c>
      <c r="E108" s="7" t="s">
        <v>24</v>
      </c>
      <c r="F108" s="9">
        <v>37.5</v>
      </c>
      <c r="G108" s="9">
        <v>79.5</v>
      </c>
      <c r="H108" s="9">
        <v>19.399999999999999</v>
      </c>
      <c r="I108" s="9">
        <v>13.4</v>
      </c>
      <c r="J108" s="9">
        <v>0.22</v>
      </c>
      <c r="K108" s="9">
        <v>36.299999999999997</v>
      </c>
      <c r="L108" s="7">
        <v>34.5</v>
      </c>
      <c r="M108" s="7">
        <v>85.2</v>
      </c>
      <c r="N108" s="7">
        <v>1</v>
      </c>
      <c r="O108" s="7">
        <v>158</v>
      </c>
      <c r="P108" s="7" t="s">
        <v>33</v>
      </c>
      <c r="Q108" s="7" t="str">
        <f t="shared" si="4"/>
        <v>Moderate</v>
      </c>
      <c r="R108" s="7" t="str">
        <f t="shared" si="5"/>
        <v>Hot</v>
      </c>
      <c r="S108" s="7" t="str">
        <f t="shared" si="6"/>
        <v>High Humidity</v>
      </c>
      <c r="T108" s="7" t="str">
        <f t="shared" si="7"/>
        <v>Low Wind</v>
      </c>
    </row>
    <row r="109" spans="1:20" x14ac:dyDescent="0.25">
      <c r="A109" s="7" t="s">
        <v>163</v>
      </c>
      <c r="B109" s="10">
        <v>45800</v>
      </c>
      <c r="C109" s="11" t="s">
        <v>38</v>
      </c>
      <c r="D109" s="11" t="s">
        <v>39</v>
      </c>
      <c r="E109" s="7" t="s">
        <v>27</v>
      </c>
      <c r="F109" s="9">
        <v>50</v>
      </c>
      <c r="G109" s="9">
        <v>158.30000000000001</v>
      </c>
      <c r="H109" s="9">
        <v>49.5</v>
      </c>
      <c r="I109" s="9">
        <v>14.6</v>
      </c>
      <c r="J109" s="9">
        <v>1.37</v>
      </c>
      <c r="K109" s="9">
        <v>27.4</v>
      </c>
      <c r="L109" s="7">
        <v>32.5</v>
      </c>
      <c r="M109" s="7">
        <v>28.5</v>
      </c>
      <c r="N109" s="7">
        <v>2.5</v>
      </c>
      <c r="O109" s="7">
        <v>279</v>
      </c>
      <c r="P109" s="7" t="s">
        <v>28</v>
      </c>
      <c r="Q109" s="7" t="str">
        <f t="shared" si="4"/>
        <v>VeryUnhealthy</v>
      </c>
      <c r="R109" s="7" t="str">
        <f t="shared" si="5"/>
        <v>Hot</v>
      </c>
      <c r="S109" s="7" t="str">
        <f t="shared" si="6"/>
        <v>Low Humidity</v>
      </c>
      <c r="T109" s="7" t="str">
        <f t="shared" si="7"/>
        <v>Moderate Wind</v>
      </c>
    </row>
    <row r="110" spans="1:20" x14ac:dyDescent="0.25">
      <c r="A110" s="7" t="s">
        <v>164</v>
      </c>
      <c r="B110" s="10">
        <v>45748</v>
      </c>
      <c r="C110" s="11" t="s">
        <v>17</v>
      </c>
      <c r="D110" s="11" t="s">
        <v>18</v>
      </c>
      <c r="E110" s="7" t="s">
        <v>43</v>
      </c>
      <c r="F110" s="9">
        <v>79.2</v>
      </c>
      <c r="G110" s="9">
        <v>39.6</v>
      </c>
      <c r="H110" s="9">
        <v>30.2</v>
      </c>
      <c r="I110" s="9">
        <v>30.7</v>
      </c>
      <c r="J110" s="9">
        <v>0.77</v>
      </c>
      <c r="K110" s="9">
        <v>88.4</v>
      </c>
      <c r="L110" s="7">
        <v>29.2</v>
      </c>
      <c r="M110" s="7">
        <v>57.7</v>
      </c>
      <c r="N110" s="7">
        <v>4.4000000000000004</v>
      </c>
      <c r="O110" s="7">
        <v>257</v>
      </c>
      <c r="P110" s="7" t="s">
        <v>28</v>
      </c>
      <c r="Q110" s="7" t="str">
        <f t="shared" si="4"/>
        <v>Good</v>
      </c>
      <c r="R110" s="7" t="str">
        <f t="shared" si="5"/>
        <v>Normal</v>
      </c>
      <c r="S110" s="7" t="str">
        <f t="shared" si="6"/>
        <v>Normal Humidity</v>
      </c>
      <c r="T110" s="7" t="str">
        <f t="shared" si="7"/>
        <v>Moderate Wind</v>
      </c>
    </row>
    <row r="111" spans="1:20" x14ac:dyDescent="0.25">
      <c r="A111" s="7" t="s">
        <v>165</v>
      </c>
      <c r="B111" s="10">
        <v>45725</v>
      </c>
      <c r="C111" s="11" t="s">
        <v>38</v>
      </c>
      <c r="D111" s="11" t="s">
        <v>39</v>
      </c>
      <c r="E111" s="7" t="s">
        <v>97</v>
      </c>
      <c r="F111" s="9">
        <v>68.5</v>
      </c>
      <c r="G111" s="9">
        <v>103.3</v>
      </c>
      <c r="H111" s="9">
        <v>49.2</v>
      </c>
      <c r="I111" s="9">
        <v>6</v>
      </c>
      <c r="J111" s="9">
        <v>0.44</v>
      </c>
      <c r="K111" s="9">
        <v>29.5</v>
      </c>
      <c r="L111" s="7">
        <v>22.3</v>
      </c>
      <c r="M111" s="7">
        <v>77</v>
      </c>
      <c r="N111" s="7">
        <v>3</v>
      </c>
      <c r="O111" s="7">
        <v>245</v>
      </c>
      <c r="P111" s="7" t="s">
        <v>28</v>
      </c>
      <c r="Q111" s="7" t="str">
        <f t="shared" si="4"/>
        <v>Unhealthy</v>
      </c>
      <c r="R111" s="7" t="str">
        <f t="shared" si="5"/>
        <v>Normal</v>
      </c>
      <c r="S111" s="7" t="str">
        <f t="shared" si="6"/>
        <v>High Humidity</v>
      </c>
      <c r="T111" s="7" t="str">
        <f t="shared" si="7"/>
        <v>Moderate Wind</v>
      </c>
    </row>
    <row r="112" spans="1:20" x14ac:dyDescent="0.25">
      <c r="A112" s="7" t="s">
        <v>166</v>
      </c>
      <c r="B112" s="10">
        <v>45921</v>
      </c>
      <c r="C112" s="11" t="s">
        <v>26</v>
      </c>
      <c r="D112" s="11" t="s">
        <v>23</v>
      </c>
      <c r="E112" s="7" t="s">
        <v>91</v>
      </c>
      <c r="F112" s="9">
        <v>23.8</v>
      </c>
      <c r="G112" s="9">
        <v>103.3</v>
      </c>
      <c r="H112" s="9">
        <v>28.4</v>
      </c>
      <c r="I112" s="9">
        <v>30.6</v>
      </c>
      <c r="J112" s="9">
        <v>0.17</v>
      </c>
      <c r="K112" s="9">
        <v>41.1</v>
      </c>
      <c r="L112" s="7">
        <v>27.1</v>
      </c>
      <c r="M112" s="7">
        <v>56</v>
      </c>
      <c r="N112" s="7">
        <v>1.3</v>
      </c>
      <c r="O112" s="7">
        <v>172</v>
      </c>
      <c r="P112" s="7" t="s">
        <v>33</v>
      </c>
      <c r="Q112" s="7" t="str">
        <f t="shared" si="4"/>
        <v>Unhealthy</v>
      </c>
      <c r="R112" s="7" t="str">
        <f t="shared" si="5"/>
        <v>Normal</v>
      </c>
      <c r="S112" s="7" t="str">
        <f t="shared" si="6"/>
        <v>Normal Humidity</v>
      </c>
      <c r="T112" s="7" t="str">
        <f t="shared" si="7"/>
        <v>Low Wind</v>
      </c>
    </row>
    <row r="113" spans="1:20" x14ac:dyDescent="0.25">
      <c r="A113" s="7" t="s">
        <v>167</v>
      </c>
      <c r="B113" s="10">
        <v>45816</v>
      </c>
      <c r="C113" s="11" t="s">
        <v>30</v>
      </c>
      <c r="D113" s="11" t="s">
        <v>31</v>
      </c>
      <c r="E113" s="7" t="s">
        <v>19</v>
      </c>
      <c r="F113" s="9">
        <v>13.5</v>
      </c>
      <c r="G113" s="9">
        <v>48.5</v>
      </c>
      <c r="H113" s="9">
        <v>27.1</v>
      </c>
      <c r="I113" s="9">
        <v>8.1</v>
      </c>
      <c r="J113" s="9">
        <v>1.73</v>
      </c>
      <c r="K113" s="9">
        <v>21.1</v>
      </c>
      <c r="L113" s="7">
        <v>34.299999999999997</v>
      </c>
      <c r="M113" s="7">
        <v>76.7</v>
      </c>
      <c r="N113" s="7">
        <v>2.7</v>
      </c>
      <c r="O113" s="7">
        <v>133</v>
      </c>
      <c r="P113" s="7" t="s">
        <v>33</v>
      </c>
      <c r="Q113" s="7" t="str">
        <f t="shared" si="4"/>
        <v>Good</v>
      </c>
      <c r="R113" s="7" t="str">
        <f t="shared" si="5"/>
        <v>Hot</v>
      </c>
      <c r="S113" s="7" t="str">
        <f t="shared" si="6"/>
        <v>High Humidity</v>
      </c>
      <c r="T113" s="7" t="str">
        <f t="shared" si="7"/>
        <v>Moderate Wind</v>
      </c>
    </row>
    <row r="114" spans="1:20" x14ac:dyDescent="0.25">
      <c r="A114" s="7" t="s">
        <v>168</v>
      </c>
      <c r="B114" s="10">
        <v>45951</v>
      </c>
      <c r="C114" s="11" t="s">
        <v>50</v>
      </c>
      <c r="D114" s="11" t="s">
        <v>31</v>
      </c>
      <c r="E114" s="7" t="s">
        <v>58</v>
      </c>
      <c r="F114" s="9">
        <v>16.3</v>
      </c>
      <c r="G114" s="9">
        <v>65.400000000000006</v>
      </c>
      <c r="H114" s="9">
        <v>18.899999999999999</v>
      </c>
      <c r="I114" s="9">
        <v>1.1000000000000001</v>
      </c>
      <c r="J114" s="9">
        <v>1.1200000000000001</v>
      </c>
      <c r="K114" s="9">
        <v>34.6</v>
      </c>
      <c r="L114" s="7">
        <v>29.4</v>
      </c>
      <c r="M114" s="7">
        <v>63</v>
      </c>
      <c r="N114" s="7">
        <v>1.3</v>
      </c>
      <c r="O114" s="7">
        <v>128</v>
      </c>
      <c r="P114" s="7" t="s">
        <v>33</v>
      </c>
      <c r="Q114" s="7" t="str">
        <f t="shared" si="4"/>
        <v>Moderate</v>
      </c>
      <c r="R114" s="7" t="str">
        <f t="shared" si="5"/>
        <v>Normal</v>
      </c>
      <c r="S114" s="7" t="str">
        <f t="shared" si="6"/>
        <v>High Humidity</v>
      </c>
      <c r="T114" s="7" t="str">
        <f t="shared" si="7"/>
        <v>Low Wind</v>
      </c>
    </row>
    <row r="115" spans="1:20" x14ac:dyDescent="0.25">
      <c r="A115" s="7" t="s">
        <v>169</v>
      </c>
      <c r="B115" s="10">
        <v>45928</v>
      </c>
      <c r="C115" s="11" t="s">
        <v>77</v>
      </c>
      <c r="D115" s="11" t="s">
        <v>39</v>
      </c>
      <c r="E115" s="7" t="s">
        <v>24</v>
      </c>
      <c r="F115" s="9">
        <v>28.2</v>
      </c>
      <c r="G115" s="9">
        <v>141.4</v>
      </c>
      <c r="H115" s="9">
        <v>9.5</v>
      </c>
      <c r="I115" s="9">
        <v>19.5</v>
      </c>
      <c r="J115" s="9">
        <v>0.55000000000000004</v>
      </c>
      <c r="K115" s="9">
        <v>48</v>
      </c>
      <c r="L115" s="7">
        <v>28.7</v>
      </c>
      <c r="M115" s="7">
        <v>64.8</v>
      </c>
      <c r="N115" s="7">
        <v>1.2</v>
      </c>
      <c r="O115" s="7">
        <v>194</v>
      </c>
      <c r="P115" s="7" t="s">
        <v>33</v>
      </c>
      <c r="Q115" s="7" t="str">
        <f t="shared" si="4"/>
        <v>Unhealthy</v>
      </c>
      <c r="R115" s="7" t="str">
        <f t="shared" si="5"/>
        <v>Normal</v>
      </c>
      <c r="S115" s="7" t="str">
        <f t="shared" si="6"/>
        <v>High Humidity</v>
      </c>
      <c r="T115" s="7" t="str">
        <f t="shared" si="7"/>
        <v>Low Wind</v>
      </c>
    </row>
    <row r="116" spans="1:20" x14ac:dyDescent="0.25">
      <c r="A116" s="7" t="s">
        <v>170</v>
      </c>
      <c r="B116" s="10">
        <v>46022</v>
      </c>
      <c r="C116" s="11" t="s">
        <v>67</v>
      </c>
      <c r="D116" s="11" t="s">
        <v>18</v>
      </c>
      <c r="E116" s="7" t="s">
        <v>58</v>
      </c>
      <c r="F116" s="9">
        <v>61.3</v>
      </c>
      <c r="G116" s="9">
        <v>157.6</v>
      </c>
      <c r="H116" s="9">
        <v>9.6</v>
      </c>
      <c r="I116" s="9">
        <v>3.1</v>
      </c>
      <c r="J116" s="9">
        <v>0.75</v>
      </c>
      <c r="K116" s="9">
        <v>28.1</v>
      </c>
      <c r="L116" s="7">
        <v>23.9</v>
      </c>
      <c r="M116" s="7">
        <v>81.8</v>
      </c>
      <c r="N116" s="7">
        <v>2.5</v>
      </c>
      <c r="O116" s="7">
        <v>242</v>
      </c>
      <c r="P116" s="7" t="s">
        <v>28</v>
      </c>
      <c r="Q116" s="7" t="str">
        <f t="shared" si="4"/>
        <v>VeryUnhealthy</v>
      </c>
      <c r="R116" s="7" t="str">
        <f t="shared" si="5"/>
        <v>Normal</v>
      </c>
      <c r="S116" s="7" t="str">
        <f t="shared" si="6"/>
        <v>High Humidity</v>
      </c>
      <c r="T116" s="7" t="str">
        <f t="shared" si="7"/>
        <v>Moderate Wind</v>
      </c>
    </row>
    <row r="117" spans="1:20" x14ac:dyDescent="0.25">
      <c r="A117" s="7" t="s">
        <v>171</v>
      </c>
      <c r="B117" s="10">
        <v>45966</v>
      </c>
      <c r="C117" s="11" t="s">
        <v>99</v>
      </c>
      <c r="D117" s="11" t="s">
        <v>36</v>
      </c>
      <c r="E117" s="7" t="s">
        <v>24</v>
      </c>
      <c r="F117" s="9">
        <v>27.5</v>
      </c>
      <c r="G117" s="9">
        <v>97.2</v>
      </c>
      <c r="H117" s="9">
        <v>34.9</v>
      </c>
      <c r="I117" s="9">
        <v>11.3</v>
      </c>
      <c r="J117" s="9">
        <v>0.37</v>
      </c>
      <c r="K117" s="9">
        <v>61.9</v>
      </c>
      <c r="L117" s="7">
        <v>27.2</v>
      </c>
      <c r="M117" s="7">
        <v>50.8</v>
      </c>
      <c r="N117" s="7">
        <v>2.2000000000000002</v>
      </c>
      <c r="O117" s="7">
        <v>180</v>
      </c>
      <c r="P117" s="7" t="s">
        <v>33</v>
      </c>
      <c r="Q117" s="7" t="str">
        <f t="shared" si="4"/>
        <v>Moderate</v>
      </c>
      <c r="R117" s="7" t="str">
        <f t="shared" si="5"/>
        <v>Normal</v>
      </c>
      <c r="S117" s="7" t="str">
        <f t="shared" si="6"/>
        <v>Normal Humidity</v>
      </c>
      <c r="T117" s="7" t="str">
        <f t="shared" si="7"/>
        <v>Moderate Wind</v>
      </c>
    </row>
    <row r="118" spans="1:20" x14ac:dyDescent="0.25">
      <c r="A118" s="7" t="s">
        <v>172</v>
      </c>
      <c r="B118" s="10">
        <v>45992</v>
      </c>
      <c r="C118" s="11" t="s">
        <v>50</v>
      </c>
      <c r="D118" s="11" t="s">
        <v>31</v>
      </c>
      <c r="E118" s="7" t="s">
        <v>19</v>
      </c>
      <c r="F118" s="9">
        <v>60.1</v>
      </c>
      <c r="G118" s="9">
        <v>67.8</v>
      </c>
      <c r="H118" s="9">
        <v>4.5999999999999996</v>
      </c>
      <c r="I118" s="9">
        <v>26</v>
      </c>
      <c r="J118" s="9">
        <v>0.92</v>
      </c>
      <c r="K118" s="9">
        <v>46.2</v>
      </c>
      <c r="L118" s="7">
        <v>29</v>
      </c>
      <c r="M118" s="7">
        <v>78.400000000000006</v>
      </c>
      <c r="N118" s="7">
        <v>2.1</v>
      </c>
      <c r="O118" s="7">
        <v>206</v>
      </c>
      <c r="P118" s="7" t="s">
        <v>28</v>
      </c>
      <c r="Q118" s="7" t="str">
        <f t="shared" si="4"/>
        <v>Moderate</v>
      </c>
      <c r="R118" s="7" t="str">
        <f t="shared" si="5"/>
        <v>Normal</v>
      </c>
      <c r="S118" s="7" t="str">
        <f t="shared" si="6"/>
        <v>High Humidity</v>
      </c>
      <c r="T118" s="7" t="str">
        <f t="shared" si="7"/>
        <v>Moderate Wind</v>
      </c>
    </row>
    <row r="119" spans="1:20" x14ac:dyDescent="0.25">
      <c r="A119" s="7" t="s">
        <v>173</v>
      </c>
      <c r="B119" s="10">
        <v>45987</v>
      </c>
      <c r="C119" s="11" t="s">
        <v>26</v>
      </c>
      <c r="D119" s="11" t="s">
        <v>23</v>
      </c>
      <c r="E119" s="7" t="s">
        <v>55</v>
      </c>
      <c r="F119" s="9">
        <v>37.200000000000003</v>
      </c>
      <c r="G119" s="9">
        <v>101</v>
      </c>
      <c r="H119" s="9">
        <v>29</v>
      </c>
      <c r="I119" s="9">
        <v>9.4</v>
      </c>
      <c r="J119" s="9">
        <v>0.61</v>
      </c>
      <c r="K119" s="9">
        <v>28.4</v>
      </c>
      <c r="L119" s="7">
        <v>32.9</v>
      </c>
      <c r="M119" s="7">
        <v>60.2</v>
      </c>
      <c r="N119" s="7">
        <v>2.2000000000000002</v>
      </c>
      <c r="O119" s="7">
        <v>183</v>
      </c>
      <c r="P119" s="7" t="s">
        <v>33</v>
      </c>
      <c r="Q119" s="7" t="str">
        <f t="shared" si="4"/>
        <v>Unhealthy</v>
      </c>
      <c r="R119" s="7" t="str">
        <f t="shared" si="5"/>
        <v>Hot</v>
      </c>
      <c r="S119" s="7" t="str">
        <f t="shared" si="6"/>
        <v>High Humidity</v>
      </c>
      <c r="T119" s="7" t="str">
        <f t="shared" si="7"/>
        <v>Moderate Wind</v>
      </c>
    </row>
    <row r="120" spans="1:20" x14ac:dyDescent="0.25">
      <c r="A120" s="7" t="s">
        <v>174</v>
      </c>
      <c r="B120" s="10">
        <v>45990</v>
      </c>
      <c r="C120" s="11" t="s">
        <v>26</v>
      </c>
      <c r="D120" s="11" t="s">
        <v>23</v>
      </c>
      <c r="E120" s="7" t="s">
        <v>61</v>
      </c>
      <c r="F120" s="9">
        <v>113.2</v>
      </c>
      <c r="G120" s="9">
        <v>40.799999999999997</v>
      </c>
      <c r="H120" s="9">
        <v>36.700000000000003</v>
      </c>
      <c r="I120" s="9">
        <v>15.8</v>
      </c>
      <c r="J120" s="9">
        <v>1.73</v>
      </c>
      <c r="K120" s="9">
        <v>76.2</v>
      </c>
      <c r="L120" s="7">
        <v>34.5</v>
      </c>
      <c r="M120" s="7">
        <v>63</v>
      </c>
      <c r="N120" s="7">
        <v>2.9</v>
      </c>
      <c r="O120" s="7">
        <v>326</v>
      </c>
      <c r="P120" s="7" t="s">
        <v>20</v>
      </c>
      <c r="Q120" s="7" t="str">
        <f t="shared" si="4"/>
        <v>Good</v>
      </c>
      <c r="R120" s="7" t="str">
        <f t="shared" si="5"/>
        <v>Hot</v>
      </c>
      <c r="S120" s="7" t="str">
        <f t="shared" si="6"/>
        <v>High Humidity</v>
      </c>
      <c r="T120" s="7" t="str">
        <f t="shared" si="7"/>
        <v>Moderate Wind</v>
      </c>
    </row>
    <row r="121" spans="1:20" x14ac:dyDescent="0.25">
      <c r="A121" s="7" t="s">
        <v>175</v>
      </c>
      <c r="B121" s="10">
        <v>46020</v>
      </c>
      <c r="C121" s="11" t="s">
        <v>50</v>
      </c>
      <c r="D121" s="11" t="s">
        <v>31</v>
      </c>
      <c r="E121" s="7" t="s">
        <v>68</v>
      </c>
      <c r="F121" s="9">
        <v>71.900000000000006</v>
      </c>
      <c r="G121" s="9">
        <v>51.5</v>
      </c>
      <c r="H121" s="9">
        <v>5.0999999999999996</v>
      </c>
      <c r="I121" s="9">
        <v>21</v>
      </c>
      <c r="J121" s="9">
        <v>0.76</v>
      </c>
      <c r="K121" s="9">
        <v>34.5</v>
      </c>
      <c r="L121" s="7">
        <v>22.9</v>
      </c>
      <c r="M121" s="7">
        <v>73.7</v>
      </c>
      <c r="N121" s="7">
        <v>2.2999999999999998</v>
      </c>
      <c r="O121" s="7">
        <v>202</v>
      </c>
      <c r="P121" s="7" t="s">
        <v>28</v>
      </c>
      <c r="Q121" s="7" t="str">
        <f t="shared" si="4"/>
        <v>Moderate</v>
      </c>
      <c r="R121" s="7" t="str">
        <f t="shared" si="5"/>
        <v>Normal</v>
      </c>
      <c r="S121" s="7" t="str">
        <f t="shared" si="6"/>
        <v>High Humidity</v>
      </c>
      <c r="T121" s="7" t="str">
        <f t="shared" si="7"/>
        <v>Moderate Wind</v>
      </c>
    </row>
    <row r="122" spans="1:20" x14ac:dyDescent="0.25">
      <c r="A122" s="7" t="s">
        <v>176</v>
      </c>
      <c r="B122" s="10">
        <v>45796</v>
      </c>
      <c r="C122" s="11" t="s">
        <v>17</v>
      </c>
      <c r="D122" s="11" t="s">
        <v>18</v>
      </c>
      <c r="E122" s="7" t="s">
        <v>55</v>
      </c>
      <c r="F122" s="9">
        <v>16</v>
      </c>
      <c r="G122" s="9">
        <v>83.8</v>
      </c>
      <c r="H122" s="9">
        <v>29.5</v>
      </c>
      <c r="I122" s="9">
        <v>18.2</v>
      </c>
      <c r="J122" s="9">
        <v>1.36</v>
      </c>
      <c r="K122" s="9">
        <v>22.4</v>
      </c>
      <c r="L122" s="7">
        <v>24.4</v>
      </c>
      <c r="M122" s="7">
        <v>68.900000000000006</v>
      </c>
      <c r="N122" s="7">
        <v>2.1</v>
      </c>
      <c r="O122" s="7">
        <v>160</v>
      </c>
      <c r="P122" s="7" t="s">
        <v>33</v>
      </c>
      <c r="Q122" s="7" t="str">
        <f t="shared" si="4"/>
        <v>Moderate</v>
      </c>
      <c r="R122" s="7" t="str">
        <f t="shared" si="5"/>
        <v>Normal</v>
      </c>
      <c r="S122" s="7" t="str">
        <f t="shared" si="6"/>
        <v>High Humidity</v>
      </c>
      <c r="T122" s="7" t="str">
        <f t="shared" si="7"/>
        <v>Moderate Wind</v>
      </c>
    </row>
    <row r="123" spans="1:20" x14ac:dyDescent="0.25">
      <c r="A123" s="7" t="s">
        <v>177</v>
      </c>
      <c r="B123" s="10">
        <v>45772</v>
      </c>
      <c r="C123" s="11" t="s">
        <v>81</v>
      </c>
      <c r="D123" s="11" t="s">
        <v>39</v>
      </c>
      <c r="E123" s="7" t="s">
        <v>68</v>
      </c>
      <c r="F123" s="9">
        <v>62.3</v>
      </c>
      <c r="G123" s="9">
        <v>182.8</v>
      </c>
      <c r="H123" s="9">
        <v>7.4</v>
      </c>
      <c r="I123" s="9">
        <v>10.6</v>
      </c>
      <c r="J123" s="9">
        <v>0.47</v>
      </c>
      <c r="K123" s="9">
        <v>6.5</v>
      </c>
      <c r="L123" s="7">
        <v>20</v>
      </c>
      <c r="M123" s="7">
        <v>47.9</v>
      </c>
      <c r="N123" s="7">
        <v>0.7</v>
      </c>
      <c r="O123" s="7">
        <v>247</v>
      </c>
      <c r="P123" s="7" t="s">
        <v>28</v>
      </c>
      <c r="Q123" s="7" t="str">
        <f t="shared" si="4"/>
        <v>VeryUnhealthy</v>
      </c>
      <c r="R123" s="7" t="str">
        <f t="shared" si="5"/>
        <v>Normal</v>
      </c>
      <c r="S123" s="7" t="str">
        <f t="shared" si="6"/>
        <v>Normal Humidity</v>
      </c>
      <c r="T123" s="7" t="str">
        <f t="shared" si="7"/>
        <v>Low Wind</v>
      </c>
    </row>
    <row r="124" spans="1:20" x14ac:dyDescent="0.25">
      <c r="A124" s="7" t="s">
        <v>178</v>
      </c>
      <c r="B124" s="10">
        <v>45875</v>
      </c>
      <c r="C124" s="11" t="s">
        <v>50</v>
      </c>
      <c r="D124" s="11" t="s">
        <v>31</v>
      </c>
      <c r="E124" s="7" t="s">
        <v>58</v>
      </c>
      <c r="F124" s="9">
        <v>25.6</v>
      </c>
      <c r="G124" s="9">
        <v>74</v>
      </c>
      <c r="H124" s="9">
        <v>21.1</v>
      </c>
      <c r="I124" s="9">
        <v>5.6</v>
      </c>
      <c r="J124" s="9">
        <v>1.1100000000000001</v>
      </c>
      <c r="K124" s="9">
        <v>37.4</v>
      </c>
      <c r="L124" s="7">
        <v>29.3</v>
      </c>
      <c r="M124" s="7">
        <v>53.3</v>
      </c>
      <c r="N124" s="7">
        <v>2.4</v>
      </c>
      <c r="O124" s="7">
        <v>154</v>
      </c>
      <c r="P124" s="7" t="s">
        <v>33</v>
      </c>
      <c r="Q124" s="7" t="str">
        <f t="shared" si="4"/>
        <v>Moderate</v>
      </c>
      <c r="R124" s="7" t="str">
        <f t="shared" si="5"/>
        <v>Normal</v>
      </c>
      <c r="S124" s="7" t="str">
        <f t="shared" si="6"/>
        <v>Normal Humidity</v>
      </c>
      <c r="T124" s="7" t="str">
        <f t="shared" si="7"/>
        <v>Moderate Wind</v>
      </c>
    </row>
    <row r="125" spans="1:20" x14ac:dyDescent="0.25">
      <c r="A125" s="7" t="s">
        <v>179</v>
      </c>
      <c r="B125" s="10">
        <v>45963</v>
      </c>
      <c r="C125" s="11" t="s">
        <v>35</v>
      </c>
      <c r="D125" s="11" t="s">
        <v>36</v>
      </c>
      <c r="E125" s="7" t="s">
        <v>61</v>
      </c>
      <c r="F125" s="9">
        <v>8.6999999999999993</v>
      </c>
      <c r="G125" s="9">
        <v>161.1</v>
      </c>
      <c r="H125" s="9">
        <v>12.9</v>
      </c>
      <c r="I125" s="9">
        <v>23.7</v>
      </c>
      <c r="J125" s="9">
        <v>0.54</v>
      </c>
      <c r="K125" s="9">
        <v>15.7</v>
      </c>
      <c r="L125" s="7">
        <v>22</v>
      </c>
      <c r="M125" s="7">
        <v>75.599999999999994</v>
      </c>
      <c r="N125" s="7">
        <v>2.2000000000000002</v>
      </c>
      <c r="O125" s="7">
        <v>166</v>
      </c>
      <c r="P125" s="7" t="s">
        <v>33</v>
      </c>
      <c r="Q125" s="7" t="str">
        <f t="shared" si="4"/>
        <v>VeryUnhealthy</v>
      </c>
      <c r="R125" s="7" t="str">
        <f t="shared" si="5"/>
        <v>Normal</v>
      </c>
      <c r="S125" s="7" t="str">
        <f t="shared" si="6"/>
        <v>High Humidity</v>
      </c>
      <c r="T125" s="7" t="str">
        <f t="shared" si="7"/>
        <v>Moderate Wind</v>
      </c>
    </row>
    <row r="126" spans="1:20" x14ac:dyDescent="0.25">
      <c r="A126" s="7" t="s">
        <v>180</v>
      </c>
      <c r="B126" s="10">
        <v>45723</v>
      </c>
      <c r="C126" s="11" t="s">
        <v>52</v>
      </c>
      <c r="D126" s="11" t="s">
        <v>31</v>
      </c>
      <c r="E126" s="7" t="s">
        <v>45</v>
      </c>
      <c r="F126" s="9">
        <v>71.599999999999994</v>
      </c>
      <c r="G126" s="9">
        <v>34.4</v>
      </c>
      <c r="H126" s="9">
        <v>41.1</v>
      </c>
      <c r="I126" s="9">
        <v>5.3</v>
      </c>
      <c r="J126" s="9">
        <v>0.18</v>
      </c>
      <c r="K126" s="9">
        <v>38.6</v>
      </c>
      <c r="L126" s="7">
        <v>22.2</v>
      </c>
      <c r="M126" s="7">
        <v>69.400000000000006</v>
      </c>
      <c r="N126" s="7">
        <v>0.4</v>
      </c>
      <c r="O126" s="7">
        <v>195</v>
      </c>
      <c r="P126" s="7" t="s">
        <v>33</v>
      </c>
      <c r="Q126" s="7" t="str">
        <f t="shared" si="4"/>
        <v>Good</v>
      </c>
      <c r="R126" s="7" t="str">
        <f t="shared" si="5"/>
        <v>Normal</v>
      </c>
      <c r="S126" s="7" t="str">
        <f t="shared" si="6"/>
        <v>High Humidity</v>
      </c>
      <c r="T126" s="7" t="str">
        <f t="shared" si="7"/>
        <v>Low Wind</v>
      </c>
    </row>
    <row r="127" spans="1:20" x14ac:dyDescent="0.25">
      <c r="A127" s="7" t="s">
        <v>181</v>
      </c>
      <c r="B127" s="10">
        <v>46022</v>
      </c>
      <c r="C127" s="11" t="s">
        <v>38</v>
      </c>
      <c r="D127" s="11" t="s">
        <v>39</v>
      </c>
      <c r="E127" s="7" t="s">
        <v>68</v>
      </c>
      <c r="F127" s="9">
        <v>34.9</v>
      </c>
      <c r="G127" s="9">
        <v>104.2</v>
      </c>
      <c r="H127" s="9">
        <v>25.9</v>
      </c>
      <c r="I127" s="9">
        <v>5.5</v>
      </c>
      <c r="J127" s="9">
        <v>0.84</v>
      </c>
      <c r="K127" s="9">
        <v>34</v>
      </c>
      <c r="L127" s="7">
        <v>37.6</v>
      </c>
      <c r="M127" s="7">
        <v>86.6</v>
      </c>
      <c r="N127" s="7">
        <v>0.9</v>
      </c>
      <c r="O127" s="7">
        <v>184</v>
      </c>
      <c r="P127" s="7" t="s">
        <v>33</v>
      </c>
      <c r="Q127" s="7" t="str">
        <f t="shared" si="4"/>
        <v>Unhealthy</v>
      </c>
      <c r="R127" s="7" t="str">
        <f t="shared" si="5"/>
        <v>Hot</v>
      </c>
      <c r="S127" s="7" t="str">
        <f t="shared" si="6"/>
        <v>High Humidity</v>
      </c>
      <c r="T127" s="7" t="str">
        <f t="shared" si="7"/>
        <v>Low Wind</v>
      </c>
    </row>
    <row r="128" spans="1:20" x14ac:dyDescent="0.25">
      <c r="A128" s="7" t="s">
        <v>182</v>
      </c>
      <c r="B128" s="10">
        <v>45768</v>
      </c>
      <c r="C128" s="11" t="s">
        <v>64</v>
      </c>
      <c r="D128" s="11" t="s">
        <v>36</v>
      </c>
      <c r="E128" s="7" t="s">
        <v>19</v>
      </c>
      <c r="F128" s="9">
        <v>103.8</v>
      </c>
      <c r="G128" s="9">
        <v>131.9</v>
      </c>
      <c r="H128" s="9">
        <v>84.8</v>
      </c>
      <c r="I128" s="9">
        <v>30.8</v>
      </c>
      <c r="J128" s="9">
        <v>1.23</v>
      </c>
      <c r="K128" s="9">
        <v>25.1</v>
      </c>
      <c r="L128" s="7">
        <v>36.4</v>
      </c>
      <c r="M128" s="7">
        <v>75.599999999999994</v>
      </c>
      <c r="N128" s="7">
        <v>3.4</v>
      </c>
      <c r="O128" s="7">
        <v>383</v>
      </c>
      <c r="P128" s="7" t="s">
        <v>20</v>
      </c>
      <c r="Q128" s="7" t="str">
        <f t="shared" si="4"/>
        <v>Unhealthy</v>
      </c>
      <c r="R128" s="7" t="str">
        <f t="shared" si="5"/>
        <v>Hot</v>
      </c>
      <c r="S128" s="7" t="str">
        <f t="shared" si="6"/>
        <v>High Humidity</v>
      </c>
      <c r="T128" s="7" t="str">
        <f t="shared" si="7"/>
        <v>Moderate Wind</v>
      </c>
    </row>
    <row r="129" spans="1:20" x14ac:dyDescent="0.25">
      <c r="A129" s="7" t="s">
        <v>183</v>
      </c>
      <c r="B129" s="10">
        <v>45760</v>
      </c>
      <c r="C129" s="11" t="s">
        <v>42</v>
      </c>
      <c r="D129" s="11" t="s">
        <v>23</v>
      </c>
      <c r="E129" s="7" t="s">
        <v>27</v>
      </c>
      <c r="F129" s="9">
        <v>84.2</v>
      </c>
      <c r="G129" s="9">
        <v>28.1</v>
      </c>
      <c r="H129" s="9">
        <v>11.7</v>
      </c>
      <c r="I129" s="9">
        <v>11.1</v>
      </c>
      <c r="J129" s="9">
        <v>0.72</v>
      </c>
      <c r="K129" s="9">
        <v>48.6</v>
      </c>
      <c r="L129" s="7">
        <v>27.2</v>
      </c>
      <c r="M129" s="7">
        <v>69.2</v>
      </c>
      <c r="N129" s="7">
        <v>3</v>
      </c>
      <c r="O129" s="7">
        <v>210</v>
      </c>
      <c r="P129" s="7" t="s">
        <v>28</v>
      </c>
      <c r="Q129" s="7" t="str">
        <f t="shared" si="4"/>
        <v>Good</v>
      </c>
      <c r="R129" s="7" t="str">
        <f t="shared" si="5"/>
        <v>Normal</v>
      </c>
      <c r="S129" s="7" t="str">
        <f t="shared" si="6"/>
        <v>High Humidity</v>
      </c>
      <c r="T129" s="7" t="str">
        <f t="shared" si="7"/>
        <v>Moderate Wind</v>
      </c>
    </row>
    <row r="130" spans="1:20" x14ac:dyDescent="0.25">
      <c r="A130" s="7" t="s">
        <v>184</v>
      </c>
      <c r="B130" s="10">
        <v>45802</v>
      </c>
      <c r="C130" s="11" t="s">
        <v>22</v>
      </c>
      <c r="D130" s="11" t="s">
        <v>23</v>
      </c>
      <c r="E130" s="7" t="s">
        <v>45</v>
      </c>
      <c r="F130" s="9">
        <v>34.799999999999997</v>
      </c>
      <c r="G130" s="9">
        <v>46.5</v>
      </c>
      <c r="H130" s="9">
        <v>109.2</v>
      </c>
      <c r="I130" s="9">
        <v>16.5</v>
      </c>
      <c r="J130" s="9">
        <v>1.02</v>
      </c>
      <c r="K130" s="9">
        <v>16.7</v>
      </c>
      <c r="L130" s="7">
        <v>21.7</v>
      </c>
      <c r="M130" s="7">
        <v>58.8</v>
      </c>
      <c r="N130" s="7">
        <v>1</v>
      </c>
      <c r="O130" s="7">
        <v>218</v>
      </c>
      <c r="P130" s="7" t="s">
        <v>28</v>
      </c>
      <c r="Q130" s="7" t="str">
        <f t="shared" si="4"/>
        <v>Good</v>
      </c>
      <c r="R130" s="7" t="str">
        <f t="shared" si="5"/>
        <v>Normal</v>
      </c>
      <c r="S130" s="7" t="str">
        <f t="shared" si="6"/>
        <v>Normal Humidity</v>
      </c>
      <c r="T130" s="7" t="str">
        <f t="shared" si="7"/>
        <v>Low Wind</v>
      </c>
    </row>
    <row r="131" spans="1:20" x14ac:dyDescent="0.25">
      <c r="A131" s="7" t="s">
        <v>185</v>
      </c>
      <c r="B131" s="10">
        <v>45659</v>
      </c>
      <c r="C131" s="11" t="s">
        <v>54</v>
      </c>
      <c r="D131" s="11" t="s">
        <v>18</v>
      </c>
      <c r="E131" s="7" t="s">
        <v>58</v>
      </c>
      <c r="F131" s="9">
        <v>14</v>
      </c>
      <c r="G131" s="9">
        <v>95.5</v>
      </c>
      <c r="H131" s="9">
        <v>13.9</v>
      </c>
      <c r="I131" s="9">
        <v>8.1999999999999993</v>
      </c>
      <c r="J131" s="9">
        <v>0.21</v>
      </c>
      <c r="K131" s="9">
        <v>17.8</v>
      </c>
      <c r="L131" s="7">
        <v>26</v>
      </c>
      <c r="M131" s="7">
        <v>31.2</v>
      </c>
      <c r="N131" s="7">
        <v>1.2</v>
      </c>
      <c r="O131" s="7">
        <v>115</v>
      </c>
      <c r="P131" s="7" t="s">
        <v>33</v>
      </c>
      <c r="Q131" s="7" t="str">
        <f t="shared" ref="Q131:Q194" si="8">IF(G131&lt;50,"Good",IF(G131&lt;=100,"Moderate",IF(G131&lt;=150,"Unhealthy","VeryUnhealthy")))</f>
        <v>Moderate</v>
      </c>
      <c r="R131" s="7" t="str">
        <f t="shared" ref="R131:R194" si="9">IF(L131&lt;20,"Cool",IF(L131&lt;=30,"Normal","Hot"))</f>
        <v>Normal</v>
      </c>
      <c r="S131" s="7" t="str">
        <f t="shared" ref="S131:S194" si="10">IF(M131&lt;30,"Low Humidity",IF(M131&lt;=60,"Normal Humidity","High Humidity"))</f>
        <v>Normal Humidity</v>
      </c>
      <c r="T131" s="7" t="str">
        <f t="shared" ref="T131:T194" si="11">IF(N131&lt;2,"Low Wind",IF(N131&lt;=5,"Moderate Wind","High Wind"))</f>
        <v>Low Wind</v>
      </c>
    </row>
    <row r="132" spans="1:20" x14ac:dyDescent="0.25">
      <c r="A132" s="7" t="s">
        <v>186</v>
      </c>
      <c r="B132" s="10">
        <v>45802</v>
      </c>
      <c r="C132" s="11" t="s">
        <v>38</v>
      </c>
      <c r="D132" s="11" t="s">
        <v>39</v>
      </c>
      <c r="E132" s="7" t="s">
        <v>61</v>
      </c>
      <c r="F132" s="9">
        <v>18.899999999999999</v>
      </c>
      <c r="G132" s="9">
        <v>76.7</v>
      </c>
      <c r="H132" s="9">
        <v>10.3</v>
      </c>
      <c r="I132" s="9">
        <v>28.1</v>
      </c>
      <c r="J132" s="9">
        <v>0.34</v>
      </c>
      <c r="K132" s="9">
        <v>39.200000000000003</v>
      </c>
      <c r="L132" s="7">
        <v>25.7</v>
      </c>
      <c r="M132" s="7">
        <v>77.8</v>
      </c>
      <c r="N132" s="7">
        <v>2.9</v>
      </c>
      <c r="O132" s="7">
        <v>134</v>
      </c>
      <c r="P132" s="7" t="s">
        <v>33</v>
      </c>
      <c r="Q132" s="7" t="str">
        <f t="shared" si="8"/>
        <v>Moderate</v>
      </c>
      <c r="R132" s="7" t="str">
        <f t="shared" si="9"/>
        <v>Normal</v>
      </c>
      <c r="S132" s="7" t="str">
        <f t="shared" si="10"/>
        <v>High Humidity</v>
      </c>
      <c r="T132" s="7" t="str">
        <f t="shared" si="11"/>
        <v>Moderate Wind</v>
      </c>
    </row>
    <row r="133" spans="1:20" x14ac:dyDescent="0.25">
      <c r="A133" s="7" t="s">
        <v>187</v>
      </c>
      <c r="B133" s="10">
        <v>45710</v>
      </c>
      <c r="C133" s="11" t="s">
        <v>67</v>
      </c>
      <c r="D133" s="11" t="s">
        <v>18</v>
      </c>
      <c r="E133" s="7" t="s">
        <v>61</v>
      </c>
      <c r="F133" s="9">
        <v>61</v>
      </c>
      <c r="G133" s="9">
        <v>56.8</v>
      </c>
      <c r="H133" s="9">
        <v>12.4</v>
      </c>
      <c r="I133" s="9">
        <v>12.1</v>
      </c>
      <c r="J133" s="9">
        <v>0.32</v>
      </c>
      <c r="K133" s="9">
        <v>33.299999999999997</v>
      </c>
      <c r="L133" s="7">
        <v>25.9</v>
      </c>
      <c r="M133" s="7">
        <v>63.5</v>
      </c>
      <c r="N133" s="7">
        <v>1.7</v>
      </c>
      <c r="O133" s="7">
        <v>176</v>
      </c>
      <c r="P133" s="7" t="s">
        <v>33</v>
      </c>
      <c r="Q133" s="7" t="str">
        <f t="shared" si="8"/>
        <v>Moderate</v>
      </c>
      <c r="R133" s="7" t="str">
        <f t="shared" si="9"/>
        <v>Normal</v>
      </c>
      <c r="S133" s="7" t="str">
        <f t="shared" si="10"/>
        <v>High Humidity</v>
      </c>
      <c r="T133" s="7" t="str">
        <f t="shared" si="11"/>
        <v>Low Wind</v>
      </c>
    </row>
    <row r="134" spans="1:20" x14ac:dyDescent="0.25">
      <c r="A134" s="7" t="s">
        <v>188</v>
      </c>
      <c r="B134" s="10">
        <v>45950</v>
      </c>
      <c r="C134" s="11" t="s">
        <v>35</v>
      </c>
      <c r="D134" s="11" t="s">
        <v>36</v>
      </c>
      <c r="E134" s="7" t="s">
        <v>19</v>
      </c>
      <c r="F134" s="9">
        <v>52</v>
      </c>
      <c r="G134" s="9">
        <v>40.9</v>
      </c>
      <c r="H134" s="9">
        <v>22</v>
      </c>
      <c r="I134" s="9">
        <v>12.8</v>
      </c>
      <c r="J134" s="9">
        <v>0.41</v>
      </c>
      <c r="K134" s="9">
        <v>26.9</v>
      </c>
      <c r="L134" s="7">
        <v>13.9</v>
      </c>
      <c r="M134" s="7">
        <v>84.3</v>
      </c>
      <c r="N134" s="7">
        <v>2.1</v>
      </c>
      <c r="O134" s="7">
        <v>159</v>
      </c>
      <c r="P134" s="7" t="s">
        <v>33</v>
      </c>
      <c r="Q134" s="7" t="str">
        <f t="shared" si="8"/>
        <v>Good</v>
      </c>
      <c r="R134" s="7" t="str">
        <f t="shared" si="9"/>
        <v>Cool</v>
      </c>
      <c r="S134" s="7" t="str">
        <f t="shared" si="10"/>
        <v>High Humidity</v>
      </c>
      <c r="T134" s="7" t="str">
        <f t="shared" si="11"/>
        <v>Moderate Wind</v>
      </c>
    </row>
    <row r="135" spans="1:20" x14ac:dyDescent="0.25">
      <c r="A135" s="7" t="s">
        <v>189</v>
      </c>
      <c r="B135" s="10">
        <v>45941</v>
      </c>
      <c r="C135" s="11" t="s">
        <v>26</v>
      </c>
      <c r="D135" s="11" t="s">
        <v>23</v>
      </c>
      <c r="E135" s="7" t="s">
        <v>43</v>
      </c>
      <c r="F135" s="9">
        <v>22.9</v>
      </c>
      <c r="G135" s="9">
        <v>113.7</v>
      </c>
      <c r="H135" s="9">
        <v>55.4</v>
      </c>
      <c r="I135" s="9">
        <v>17.600000000000001</v>
      </c>
      <c r="J135" s="9">
        <v>0.35</v>
      </c>
      <c r="K135" s="9">
        <v>135.69999999999999</v>
      </c>
      <c r="L135" s="7">
        <v>25.6</v>
      </c>
      <c r="M135" s="7">
        <v>80.7</v>
      </c>
      <c r="N135" s="7">
        <v>0.4</v>
      </c>
      <c r="O135" s="7">
        <v>237</v>
      </c>
      <c r="P135" s="7" t="s">
        <v>28</v>
      </c>
      <c r="Q135" s="7" t="str">
        <f t="shared" si="8"/>
        <v>Unhealthy</v>
      </c>
      <c r="R135" s="7" t="str">
        <f t="shared" si="9"/>
        <v>Normal</v>
      </c>
      <c r="S135" s="7" t="str">
        <f t="shared" si="10"/>
        <v>High Humidity</v>
      </c>
      <c r="T135" s="7" t="str">
        <f t="shared" si="11"/>
        <v>Low Wind</v>
      </c>
    </row>
    <row r="136" spans="1:20" x14ac:dyDescent="0.25">
      <c r="A136" s="7" t="s">
        <v>190</v>
      </c>
      <c r="B136" s="10">
        <v>45888</v>
      </c>
      <c r="C136" s="11" t="s">
        <v>64</v>
      </c>
      <c r="D136" s="11" t="s">
        <v>36</v>
      </c>
      <c r="E136" s="7" t="s">
        <v>19</v>
      </c>
      <c r="F136" s="9">
        <v>28.1</v>
      </c>
      <c r="G136" s="9">
        <v>59.1</v>
      </c>
      <c r="H136" s="9">
        <v>14.3</v>
      </c>
      <c r="I136" s="9">
        <v>13.1</v>
      </c>
      <c r="J136" s="9">
        <v>1.24</v>
      </c>
      <c r="K136" s="9">
        <v>50.3</v>
      </c>
      <c r="L136" s="7">
        <v>28.6</v>
      </c>
      <c r="M136" s="7">
        <v>74.599999999999994</v>
      </c>
      <c r="N136" s="7">
        <v>2.2000000000000002</v>
      </c>
      <c r="O136" s="7">
        <v>158</v>
      </c>
      <c r="P136" s="7" t="s">
        <v>33</v>
      </c>
      <c r="Q136" s="7" t="str">
        <f t="shared" si="8"/>
        <v>Moderate</v>
      </c>
      <c r="R136" s="7" t="str">
        <f t="shared" si="9"/>
        <v>Normal</v>
      </c>
      <c r="S136" s="7" t="str">
        <f t="shared" si="10"/>
        <v>High Humidity</v>
      </c>
      <c r="T136" s="7" t="str">
        <f t="shared" si="11"/>
        <v>Moderate Wind</v>
      </c>
    </row>
    <row r="137" spans="1:20" x14ac:dyDescent="0.25">
      <c r="A137" s="7" t="s">
        <v>191</v>
      </c>
      <c r="B137" s="10">
        <v>45951</v>
      </c>
      <c r="C137" s="11" t="s">
        <v>35</v>
      </c>
      <c r="D137" s="11" t="s">
        <v>36</v>
      </c>
      <c r="E137" s="7" t="s">
        <v>68</v>
      </c>
      <c r="F137" s="9">
        <v>128.6</v>
      </c>
      <c r="G137" s="9">
        <v>14.3</v>
      </c>
      <c r="H137" s="9">
        <v>18.399999999999999</v>
      </c>
      <c r="I137" s="9">
        <v>6.5</v>
      </c>
      <c r="J137" s="9">
        <v>0.97</v>
      </c>
      <c r="K137" s="9">
        <v>39.9</v>
      </c>
      <c r="L137" s="7">
        <v>28.5</v>
      </c>
      <c r="M137" s="7">
        <v>66.400000000000006</v>
      </c>
      <c r="N137" s="7">
        <v>2.8</v>
      </c>
      <c r="O137" s="7">
        <v>277</v>
      </c>
      <c r="P137" s="7" t="s">
        <v>28</v>
      </c>
      <c r="Q137" s="7" t="str">
        <f t="shared" si="8"/>
        <v>Good</v>
      </c>
      <c r="R137" s="7" t="str">
        <f t="shared" si="9"/>
        <v>Normal</v>
      </c>
      <c r="S137" s="7" t="str">
        <f t="shared" si="10"/>
        <v>High Humidity</v>
      </c>
      <c r="T137" s="7" t="str">
        <f t="shared" si="11"/>
        <v>Moderate Wind</v>
      </c>
    </row>
    <row r="138" spans="1:20" x14ac:dyDescent="0.25">
      <c r="A138" s="7" t="s">
        <v>192</v>
      </c>
      <c r="B138" s="10">
        <v>45718</v>
      </c>
      <c r="C138" s="11" t="s">
        <v>52</v>
      </c>
      <c r="D138" s="11" t="s">
        <v>31</v>
      </c>
      <c r="E138" s="7" t="s">
        <v>24</v>
      </c>
      <c r="F138" s="9">
        <v>45.6</v>
      </c>
      <c r="G138" s="9">
        <v>67.3</v>
      </c>
      <c r="H138" s="9">
        <v>19.5</v>
      </c>
      <c r="I138" s="9">
        <v>10.8</v>
      </c>
      <c r="J138" s="9">
        <v>0.28000000000000003</v>
      </c>
      <c r="K138" s="9">
        <v>46.5</v>
      </c>
      <c r="L138" s="7">
        <v>19.2</v>
      </c>
      <c r="M138" s="7">
        <v>72.5</v>
      </c>
      <c r="N138" s="7">
        <v>1.6</v>
      </c>
      <c r="O138" s="7">
        <v>168</v>
      </c>
      <c r="P138" s="7" t="s">
        <v>33</v>
      </c>
      <c r="Q138" s="7" t="str">
        <f t="shared" si="8"/>
        <v>Moderate</v>
      </c>
      <c r="R138" s="7" t="str">
        <f t="shared" si="9"/>
        <v>Cool</v>
      </c>
      <c r="S138" s="7" t="str">
        <f t="shared" si="10"/>
        <v>High Humidity</v>
      </c>
      <c r="T138" s="7" t="str">
        <f t="shared" si="11"/>
        <v>Low Wind</v>
      </c>
    </row>
    <row r="139" spans="1:20" x14ac:dyDescent="0.25">
      <c r="A139" s="7" t="s">
        <v>193</v>
      </c>
      <c r="B139" s="10">
        <v>45752</v>
      </c>
      <c r="C139" s="11" t="s">
        <v>52</v>
      </c>
      <c r="D139" s="11" t="s">
        <v>31</v>
      </c>
      <c r="E139" s="7" t="s">
        <v>27</v>
      </c>
      <c r="F139" s="9">
        <v>37.6</v>
      </c>
      <c r="G139" s="9">
        <v>126.8</v>
      </c>
      <c r="H139" s="9">
        <v>17.399999999999999</v>
      </c>
      <c r="I139" s="9">
        <v>8.5</v>
      </c>
      <c r="J139" s="9">
        <v>1.34</v>
      </c>
      <c r="K139" s="9">
        <v>51.9</v>
      </c>
      <c r="L139" s="7">
        <v>24.2</v>
      </c>
      <c r="M139" s="7">
        <v>78.2</v>
      </c>
      <c r="N139" s="7">
        <v>2.4</v>
      </c>
      <c r="O139" s="7">
        <v>219</v>
      </c>
      <c r="P139" s="7" t="s">
        <v>28</v>
      </c>
      <c r="Q139" s="7" t="str">
        <f t="shared" si="8"/>
        <v>Unhealthy</v>
      </c>
      <c r="R139" s="7" t="str">
        <f t="shared" si="9"/>
        <v>Normal</v>
      </c>
      <c r="S139" s="7" t="str">
        <f t="shared" si="10"/>
        <v>High Humidity</v>
      </c>
      <c r="T139" s="7" t="str">
        <f t="shared" si="11"/>
        <v>Moderate Wind</v>
      </c>
    </row>
    <row r="140" spans="1:20" x14ac:dyDescent="0.25">
      <c r="A140" s="7" t="s">
        <v>194</v>
      </c>
      <c r="B140" s="10">
        <v>45979</v>
      </c>
      <c r="C140" s="11" t="s">
        <v>52</v>
      </c>
      <c r="D140" s="11" t="s">
        <v>31</v>
      </c>
      <c r="E140" s="7" t="s">
        <v>32</v>
      </c>
      <c r="F140" s="9">
        <v>11.4</v>
      </c>
      <c r="G140" s="9">
        <v>83.7</v>
      </c>
      <c r="H140" s="9">
        <v>79.900000000000006</v>
      </c>
      <c r="I140" s="9">
        <v>5.4</v>
      </c>
      <c r="J140" s="9">
        <v>0.56999999999999995</v>
      </c>
      <c r="K140" s="9">
        <v>70.599999999999994</v>
      </c>
      <c r="L140" s="7">
        <v>29.7</v>
      </c>
      <c r="M140" s="7">
        <v>20</v>
      </c>
      <c r="N140" s="7">
        <v>1.2</v>
      </c>
      <c r="O140" s="7">
        <v>186</v>
      </c>
      <c r="P140" s="7" t="s">
        <v>33</v>
      </c>
      <c r="Q140" s="7" t="str">
        <f t="shared" si="8"/>
        <v>Moderate</v>
      </c>
      <c r="R140" s="7" t="str">
        <f t="shared" si="9"/>
        <v>Normal</v>
      </c>
      <c r="S140" s="7" t="str">
        <f t="shared" si="10"/>
        <v>Low Humidity</v>
      </c>
      <c r="T140" s="7" t="str">
        <f t="shared" si="11"/>
        <v>Low Wind</v>
      </c>
    </row>
    <row r="141" spans="1:20" x14ac:dyDescent="0.25">
      <c r="A141" s="7" t="s">
        <v>195</v>
      </c>
      <c r="B141" s="10">
        <v>46001</v>
      </c>
      <c r="C141" s="11" t="s">
        <v>35</v>
      </c>
      <c r="D141" s="11" t="s">
        <v>36</v>
      </c>
      <c r="E141" s="7" t="s">
        <v>19</v>
      </c>
      <c r="F141" s="9">
        <v>15.4</v>
      </c>
      <c r="G141" s="9">
        <v>74</v>
      </c>
      <c r="H141" s="9">
        <v>22.3</v>
      </c>
      <c r="I141" s="9">
        <v>59.8</v>
      </c>
      <c r="J141" s="9">
        <v>1.0900000000000001</v>
      </c>
      <c r="K141" s="9">
        <v>57.2</v>
      </c>
      <c r="L141" s="7">
        <v>21.5</v>
      </c>
      <c r="M141" s="7">
        <v>61.8</v>
      </c>
      <c r="N141" s="7">
        <v>0.8</v>
      </c>
      <c r="O141" s="7">
        <v>185</v>
      </c>
      <c r="P141" s="7" t="s">
        <v>33</v>
      </c>
      <c r="Q141" s="7" t="str">
        <f t="shared" si="8"/>
        <v>Moderate</v>
      </c>
      <c r="R141" s="7" t="str">
        <f t="shared" si="9"/>
        <v>Normal</v>
      </c>
      <c r="S141" s="7" t="str">
        <f t="shared" si="10"/>
        <v>High Humidity</v>
      </c>
      <c r="T141" s="7" t="str">
        <f t="shared" si="11"/>
        <v>Low Wind</v>
      </c>
    </row>
    <row r="142" spans="1:20" x14ac:dyDescent="0.25">
      <c r="A142" s="7" t="s">
        <v>196</v>
      </c>
      <c r="B142" s="10">
        <v>45756</v>
      </c>
      <c r="C142" s="11" t="s">
        <v>99</v>
      </c>
      <c r="D142" s="11" t="s">
        <v>36</v>
      </c>
      <c r="E142" s="7" t="s">
        <v>70</v>
      </c>
      <c r="F142" s="9">
        <v>76.3</v>
      </c>
      <c r="G142" s="9">
        <v>47.2</v>
      </c>
      <c r="H142" s="9">
        <v>6.6</v>
      </c>
      <c r="I142" s="9">
        <v>18.600000000000001</v>
      </c>
      <c r="J142" s="9">
        <v>0.33</v>
      </c>
      <c r="K142" s="9">
        <v>32.700000000000003</v>
      </c>
      <c r="L142" s="7">
        <v>26</v>
      </c>
      <c r="M142" s="7">
        <v>68.2</v>
      </c>
      <c r="N142" s="7">
        <v>3.1</v>
      </c>
      <c r="O142" s="7">
        <v>194</v>
      </c>
      <c r="P142" s="7" t="s">
        <v>33</v>
      </c>
      <c r="Q142" s="7" t="str">
        <f t="shared" si="8"/>
        <v>Good</v>
      </c>
      <c r="R142" s="7" t="str">
        <f t="shared" si="9"/>
        <v>Normal</v>
      </c>
      <c r="S142" s="7" t="str">
        <f t="shared" si="10"/>
        <v>High Humidity</v>
      </c>
      <c r="T142" s="7" t="str">
        <f t="shared" si="11"/>
        <v>Moderate Wind</v>
      </c>
    </row>
    <row r="143" spans="1:20" x14ac:dyDescent="0.25">
      <c r="A143" s="7" t="s">
        <v>197</v>
      </c>
      <c r="B143" s="10">
        <v>45744</v>
      </c>
      <c r="C143" s="11" t="s">
        <v>77</v>
      </c>
      <c r="D143" s="11" t="s">
        <v>39</v>
      </c>
      <c r="E143" s="7" t="s">
        <v>55</v>
      </c>
      <c r="F143" s="9">
        <v>102.2</v>
      </c>
      <c r="G143" s="9">
        <v>83</v>
      </c>
      <c r="H143" s="9">
        <v>47.4</v>
      </c>
      <c r="I143" s="9">
        <v>4.2</v>
      </c>
      <c r="J143" s="9">
        <v>1.21</v>
      </c>
      <c r="K143" s="9">
        <v>58.9</v>
      </c>
      <c r="L143" s="7">
        <v>27.7</v>
      </c>
      <c r="M143" s="7">
        <v>61.2</v>
      </c>
      <c r="N143" s="7">
        <v>1.7</v>
      </c>
      <c r="O143" s="7">
        <v>315</v>
      </c>
      <c r="P143" s="7" t="s">
        <v>20</v>
      </c>
      <c r="Q143" s="7" t="str">
        <f t="shared" si="8"/>
        <v>Moderate</v>
      </c>
      <c r="R143" s="7" t="str">
        <f t="shared" si="9"/>
        <v>Normal</v>
      </c>
      <c r="S143" s="7" t="str">
        <f t="shared" si="10"/>
        <v>High Humidity</v>
      </c>
      <c r="T143" s="7" t="str">
        <f t="shared" si="11"/>
        <v>Low Wind</v>
      </c>
    </row>
    <row r="144" spans="1:20" x14ac:dyDescent="0.25">
      <c r="A144" s="7" t="s">
        <v>198</v>
      </c>
      <c r="B144" s="10">
        <v>45700</v>
      </c>
      <c r="C144" s="11" t="s">
        <v>77</v>
      </c>
      <c r="D144" s="11" t="s">
        <v>39</v>
      </c>
      <c r="E144" s="7" t="s">
        <v>19</v>
      </c>
      <c r="F144" s="9">
        <v>43.8</v>
      </c>
      <c r="G144" s="9">
        <v>42.1</v>
      </c>
      <c r="H144" s="9">
        <v>9.4</v>
      </c>
      <c r="I144" s="9">
        <v>70.599999999999994</v>
      </c>
      <c r="J144" s="9">
        <v>0.32</v>
      </c>
      <c r="K144" s="9">
        <v>28.7</v>
      </c>
      <c r="L144" s="7">
        <v>18.899999999999999</v>
      </c>
      <c r="M144" s="7">
        <v>83.8</v>
      </c>
      <c r="N144" s="7">
        <v>3.2</v>
      </c>
      <c r="O144" s="7">
        <v>175</v>
      </c>
      <c r="P144" s="7" t="s">
        <v>33</v>
      </c>
      <c r="Q144" s="7" t="str">
        <f t="shared" si="8"/>
        <v>Good</v>
      </c>
      <c r="R144" s="7" t="str">
        <f t="shared" si="9"/>
        <v>Cool</v>
      </c>
      <c r="S144" s="7" t="str">
        <f t="shared" si="10"/>
        <v>High Humidity</v>
      </c>
      <c r="T144" s="7" t="str">
        <f t="shared" si="11"/>
        <v>Moderate Wind</v>
      </c>
    </row>
    <row r="145" spans="1:20" x14ac:dyDescent="0.25">
      <c r="A145" s="7" t="s">
        <v>199</v>
      </c>
      <c r="B145" s="10">
        <v>45923</v>
      </c>
      <c r="C145" s="11" t="s">
        <v>99</v>
      </c>
      <c r="D145" s="11" t="s">
        <v>36</v>
      </c>
      <c r="E145" s="7" t="s">
        <v>91</v>
      </c>
      <c r="F145" s="9">
        <v>28</v>
      </c>
      <c r="G145" s="9">
        <v>119</v>
      </c>
      <c r="H145" s="9">
        <v>23.4</v>
      </c>
      <c r="I145" s="9">
        <v>1.4</v>
      </c>
      <c r="J145" s="9">
        <v>0.53</v>
      </c>
      <c r="K145" s="9">
        <v>10</v>
      </c>
      <c r="L145" s="7">
        <v>32</v>
      </c>
      <c r="M145" s="7">
        <v>54.2</v>
      </c>
      <c r="N145" s="7">
        <v>1.3</v>
      </c>
      <c r="O145" s="7">
        <v>160</v>
      </c>
      <c r="P145" s="7" t="s">
        <v>33</v>
      </c>
      <c r="Q145" s="7" t="str">
        <f t="shared" si="8"/>
        <v>Unhealthy</v>
      </c>
      <c r="R145" s="7" t="str">
        <f t="shared" si="9"/>
        <v>Hot</v>
      </c>
      <c r="S145" s="7" t="str">
        <f t="shared" si="10"/>
        <v>Normal Humidity</v>
      </c>
      <c r="T145" s="7" t="str">
        <f t="shared" si="11"/>
        <v>Low Wind</v>
      </c>
    </row>
    <row r="146" spans="1:20" x14ac:dyDescent="0.25">
      <c r="A146" s="7" t="s">
        <v>200</v>
      </c>
      <c r="B146" s="10">
        <v>45899</v>
      </c>
      <c r="C146" s="11" t="s">
        <v>93</v>
      </c>
      <c r="D146" s="11" t="s">
        <v>36</v>
      </c>
      <c r="E146" s="7" t="s">
        <v>70</v>
      </c>
      <c r="F146" s="9">
        <v>32.6</v>
      </c>
      <c r="G146" s="9">
        <v>78.8</v>
      </c>
      <c r="H146" s="9">
        <v>38</v>
      </c>
      <c r="I146" s="9">
        <v>11.3</v>
      </c>
      <c r="J146" s="9">
        <v>1.57</v>
      </c>
      <c r="K146" s="9">
        <v>14.7</v>
      </c>
      <c r="L146" s="7">
        <v>14.9</v>
      </c>
      <c r="M146" s="7">
        <v>66</v>
      </c>
      <c r="N146" s="7">
        <v>3.7</v>
      </c>
      <c r="O146" s="7">
        <v>188</v>
      </c>
      <c r="P146" s="7" t="s">
        <v>33</v>
      </c>
      <c r="Q146" s="7" t="str">
        <f t="shared" si="8"/>
        <v>Moderate</v>
      </c>
      <c r="R146" s="7" t="str">
        <f t="shared" si="9"/>
        <v>Cool</v>
      </c>
      <c r="S146" s="7" t="str">
        <f t="shared" si="10"/>
        <v>High Humidity</v>
      </c>
      <c r="T146" s="7" t="str">
        <f t="shared" si="11"/>
        <v>Moderate Wind</v>
      </c>
    </row>
    <row r="147" spans="1:20" x14ac:dyDescent="0.25">
      <c r="A147" s="7" t="s">
        <v>201</v>
      </c>
      <c r="B147" s="10">
        <v>45725</v>
      </c>
      <c r="C147" s="11" t="s">
        <v>50</v>
      </c>
      <c r="D147" s="11" t="s">
        <v>31</v>
      </c>
      <c r="E147" s="7" t="s">
        <v>24</v>
      </c>
      <c r="F147" s="9">
        <v>29.6</v>
      </c>
      <c r="G147" s="9">
        <v>45.3</v>
      </c>
      <c r="H147" s="9">
        <v>8</v>
      </c>
      <c r="I147" s="9">
        <v>13.6</v>
      </c>
      <c r="J147" s="9">
        <v>0.52</v>
      </c>
      <c r="K147" s="9">
        <v>36.1</v>
      </c>
      <c r="L147" s="7">
        <v>30.1</v>
      </c>
      <c r="M147" s="7">
        <v>57.9</v>
      </c>
      <c r="N147" s="7">
        <v>1.6</v>
      </c>
      <c r="O147" s="7">
        <v>122</v>
      </c>
      <c r="P147" s="7" t="s">
        <v>33</v>
      </c>
      <c r="Q147" s="7" t="str">
        <f t="shared" si="8"/>
        <v>Good</v>
      </c>
      <c r="R147" s="7" t="str">
        <f t="shared" si="9"/>
        <v>Hot</v>
      </c>
      <c r="S147" s="7" t="str">
        <f t="shared" si="10"/>
        <v>Normal Humidity</v>
      </c>
      <c r="T147" s="7" t="str">
        <f t="shared" si="11"/>
        <v>Low Wind</v>
      </c>
    </row>
    <row r="148" spans="1:20" x14ac:dyDescent="0.25">
      <c r="A148" s="7" t="s">
        <v>202</v>
      </c>
      <c r="B148" s="10">
        <v>45882</v>
      </c>
      <c r="C148" s="11" t="s">
        <v>81</v>
      </c>
      <c r="D148" s="11" t="s">
        <v>39</v>
      </c>
      <c r="E148" s="7" t="s">
        <v>40</v>
      </c>
      <c r="F148" s="9">
        <v>43.1</v>
      </c>
      <c r="G148" s="9">
        <v>121.6</v>
      </c>
      <c r="H148" s="9">
        <v>20.3</v>
      </c>
      <c r="I148" s="9">
        <v>4.9000000000000004</v>
      </c>
      <c r="J148" s="9">
        <v>0.49</v>
      </c>
      <c r="K148" s="9">
        <v>26.4</v>
      </c>
      <c r="L148" s="7">
        <v>15.3</v>
      </c>
      <c r="M148" s="7">
        <v>71.099999999999994</v>
      </c>
      <c r="N148" s="7">
        <v>2</v>
      </c>
      <c r="O148" s="7">
        <v>192</v>
      </c>
      <c r="P148" s="7" t="s">
        <v>33</v>
      </c>
      <c r="Q148" s="7" t="str">
        <f t="shared" si="8"/>
        <v>Unhealthy</v>
      </c>
      <c r="R148" s="7" t="str">
        <f t="shared" si="9"/>
        <v>Cool</v>
      </c>
      <c r="S148" s="7" t="str">
        <f t="shared" si="10"/>
        <v>High Humidity</v>
      </c>
      <c r="T148" s="7" t="str">
        <f t="shared" si="11"/>
        <v>Moderate Wind</v>
      </c>
    </row>
    <row r="149" spans="1:20" x14ac:dyDescent="0.25">
      <c r="A149" s="7" t="s">
        <v>203</v>
      </c>
      <c r="B149" s="10">
        <v>45934</v>
      </c>
      <c r="C149" s="11" t="s">
        <v>67</v>
      </c>
      <c r="D149" s="11" t="s">
        <v>18</v>
      </c>
      <c r="E149" s="7" t="s">
        <v>97</v>
      </c>
      <c r="F149" s="9">
        <v>49.2</v>
      </c>
      <c r="G149" s="9">
        <v>90.3</v>
      </c>
      <c r="H149" s="9">
        <v>45.4</v>
      </c>
      <c r="I149" s="9">
        <v>15.4</v>
      </c>
      <c r="J149" s="9">
        <v>0.69</v>
      </c>
      <c r="K149" s="9">
        <v>35</v>
      </c>
      <c r="L149" s="7">
        <v>26.1</v>
      </c>
      <c r="M149" s="7">
        <v>60.4</v>
      </c>
      <c r="N149" s="7">
        <v>2.7</v>
      </c>
      <c r="O149" s="7">
        <v>218</v>
      </c>
      <c r="P149" s="7" t="s">
        <v>28</v>
      </c>
      <c r="Q149" s="7" t="str">
        <f t="shared" si="8"/>
        <v>Moderate</v>
      </c>
      <c r="R149" s="7" t="str">
        <f t="shared" si="9"/>
        <v>Normal</v>
      </c>
      <c r="S149" s="7" t="str">
        <f t="shared" si="10"/>
        <v>High Humidity</v>
      </c>
      <c r="T149" s="7" t="str">
        <f t="shared" si="11"/>
        <v>Moderate Wind</v>
      </c>
    </row>
    <row r="150" spans="1:20" x14ac:dyDescent="0.25">
      <c r="A150" s="7" t="s">
        <v>204</v>
      </c>
      <c r="B150" s="10">
        <v>45766</v>
      </c>
      <c r="C150" s="11" t="s">
        <v>67</v>
      </c>
      <c r="D150" s="11" t="s">
        <v>18</v>
      </c>
      <c r="E150" s="7" t="s">
        <v>61</v>
      </c>
      <c r="F150" s="9">
        <v>117</v>
      </c>
      <c r="G150" s="9">
        <v>83.6</v>
      </c>
      <c r="H150" s="9">
        <v>71.3</v>
      </c>
      <c r="I150" s="9">
        <v>5.0999999999999996</v>
      </c>
      <c r="J150" s="9">
        <v>0.1</v>
      </c>
      <c r="K150" s="9">
        <v>74.599999999999994</v>
      </c>
      <c r="L150" s="7">
        <v>30</v>
      </c>
      <c r="M150" s="7">
        <v>53.2</v>
      </c>
      <c r="N150" s="7">
        <v>1.5</v>
      </c>
      <c r="O150" s="7">
        <v>338</v>
      </c>
      <c r="P150" s="7" t="s">
        <v>20</v>
      </c>
      <c r="Q150" s="7" t="str">
        <f t="shared" si="8"/>
        <v>Moderate</v>
      </c>
      <c r="R150" s="7" t="str">
        <f t="shared" si="9"/>
        <v>Normal</v>
      </c>
      <c r="S150" s="7" t="str">
        <f t="shared" si="10"/>
        <v>Normal Humidity</v>
      </c>
      <c r="T150" s="7" t="str">
        <f t="shared" si="11"/>
        <v>Low Wind</v>
      </c>
    </row>
    <row r="151" spans="1:20" x14ac:dyDescent="0.25">
      <c r="A151" s="7" t="s">
        <v>205</v>
      </c>
      <c r="B151" s="10">
        <v>45676</v>
      </c>
      <c r="C151" s="11" t="s">
        <v>54</v>
      </c>
      <c r="D151" s="11" t="s">
        <v>18</v>
      </c>
      <c r="E151" s="7" t="s">
        <v>27</v>
      </c>
      <c r="F151" s="9">
        <v>41.2</v>
      </c>
      <c r="G151" s="9">
        <v>190</v>
      </c>
      <c r="H151" s="9">
        <v>108.4</v>
      </c>
      <c r="I151" s="9">
        <v>28.9</v>
      </c>
      <c r="J151" s="9">
        <v>0.83</v>
      </c>
      <c r="K151" s="9">
        <v>35.700000000000003</v>
      </c>
      <c r="L151" s="7">
        <v>25.3</v>
      </c>
      <c r="M151" s="7">
        <v>69.2</v>
      </c>
      <c r="N151" s="7">
        <v>0.9</v>
      </c>
      <c r="O151" s="7">
        <v>333</v>
      </c>
      <c r="P151" s="7" t="s">
        <v>20</v>
      </c>
      <c r="Q151" s="7" t="str">
        <f t="shared" si="8"/>
        <v>VeryUnhealthy</v>
      </c>
      <c r="R151" s="7" t="str">
        <f t="shared" si="9"/>
        <v>Normal</v>
      </c>
      <c r="S151" s="7" t="str">
        <f t="shared" si="10"/>
        <v>High Humidity</v>
      </c>
      <c r="T151" s="7" t="str">
        <f t="shared" si="11"/>
        <v>Low Wind</v>
      </c>
    </row>
    <row r="152" spans="1:20" x14ac:dyDescent="0.25">
      <c r="A152" s="7" t="s">
        <v>206</v>
      </c>
      <c r="B152" s="10">
        <v>45738</v>
      </c>
      <c r="C152" s="11" t="s">
        <v>67</v>
      </c>
      <c r="D152" s="11" t="s">
        <v>18</v>
      </c>
      <c r="E152" s="7" t="s">
        <v>27</v>
      </c>
      <c r="F152" s="9">
        <v>24</v>
      </c>
      <c r="G152" s="9">
        <v>62.7</v>
      </c>
      <c r="H152" s="9">
        <v>22.5</v>
      </c>
      <c r="I152" s="9">
        <v>9.6</v>
      </c>
      <c r="J152" s="9">
        <v>0.28999999999999998</v>
      </c>
      <c r="K152" s="9">
        <v>18.399999999999999</v>
      </c>
      <c r="L152" s="7">
        <v>25.8</v>
      </c>
      <c r="M152" s="7">
        <v>26.6</v>
      </c>
      <c r="N152" s="7">
        <v>1.9</v>
      </c>
      <c r="O152" s="7">
        <v>119</v>
      </c>
      <c r="P152" s="7" t="s">
        <v>33</v>
      </c>
      <c r="Q152" s="7" t="str">
        <f t="shared" si="8"/>
        <v>Moderate</v>
      </c>
      <c r="R152" s="7" t="str">
        <f t="shared" si="9"/>
        <v>Normal</v>
      </c>
      <c r="S152" s="7" t="str">
        <f t="shared" si="10"/>
        <v>Low Humidity</v>
      </c>
      <c r="T152" s="7" t="str">
        <f t="shared" si="11"/>
        <v>Low Wind</v>
      </c>
    </row>
    <row r="153" spans="1:20" x14ac:dyDescent="0.25">
      <c r="A153" s="7" t="s">
        <v>207</v>
      </c>
      <c r="B153" s="10">
        <v>45873</v>
      </c>
      <c r="C153" s="11" t="s">
        <v>77</v>
      </c>
      <c r="D153" s="11" t="s">
        <v>39</v>
      </c>
      <c r="E153" s="7" t="s">
        <v>74</v>
      </c>
      <c r="F153" s="9">
        <v>35.200000000000003</v>
      </c>
      <c r="G153" s="9">
        <v>90.5</v>
      </c>
      <c r="H153" s="9">
        <v>41.8</v>
      </c>
      <c r="I153" s="9">
        <v>22.4</v>
      </c>
      <c r="J153" s="9">
        <v>0.47</v>
      </c>
      <c r="K153" s="9">
        <v>16.7</v>
      </c>
      <c r="L153" s="7">
        <v>23.9</v>
      </c>
      <c r="M153" s="7">
        <v>55.6</v>
      </c>
      <c r="N153" s="7">
        <v>3.5</v>
      </c>
      <c r="O153" s="7">
        <v>184</v>
      </c>
      <c r="P153" s="7" t="s">
        <v>33</v>
      </c>
      <c r="Q153" s="7" t="str">
        <f t="shared" si="8"/>
        <v>Moderate</v>
      </c>
      <c r="R153" s="7" t="str">
        <f t="shared" si="9"/>
        <v>Normal</v>
      </c>
      <c r="S153" s="7" t="str">
        <f t="shared" si="10"/>
        <v>Normal Humidity</v>
      </c>
      <c r="T153" s="7" t="str">
        <f t="shared" si="11"/>
        <v>Moderate Wind</v>
      </c>
    </row>
    <row r="154" spans="1:20" x14ac:dyDescent="0.25">
      <c r="A154" s="7" t="s">
        <v>208</v>
      </c>
      <c r="B154" s="10">
        <v>45846</v>
      </c>
      <c r="C154" s="11" t="s">
        <v>64</v>
      </c>
      <c r="D154" s="11" t="s">
        <v>36</v>
      </c>
      <c r="E154" s="7" t="s">
        <v>74</v>
      </c>
      <c r="F154" s="9">
        <v>75.599999999999994</v>
      </c>
      <c r="G154" s="9">
        <v>81.3</v>
      </c>
      <c r="H154" s="9">
        <v>41.5</v>
      </c>
      <c r="I154" s="9">
        <v>24.6</v>
      </c>
      <c r="J154" s="9">
        <v>0.25</v>
      </c>
      <c r="K154" s="9">
        <v>40.9</v>
      </c>
      <c r="L154" s="7">
        <v>18.2</v>
      </c>
      <c r="M154" s="7">
        <v>74.400000000000006</v>
      </c>
      <c r="N154" s="7">
        <v>2.4</v>
      </c>
      <c r="O154" s="7">
        <v>249</v>
      </c>
      <c r="P154" s="7" t="s">
        <v>28</v>
      </c>
      <c r="Q154" s="7" t="str">
        <f t="shared" si="8"/>
        <v>Moderate</v>
      </c>
      <c r="R154" s="7" t="str">
        <f t="shared" si="9"/>
        <v>Cool</v>
      </c>
      <c r="S154" s="7" t="str">
        <f t="shared" si="10"/>
        <v>High Humidity</v>
      </c>
      <c r="T154" s="7" t="str">
        <f t="shared" si="11"/>
        <v>Moderate Wind</v>
      </c>
    </row>
    <row r="155" spans="1:20" x14ac:dyDescent="0.25">
      <c r="A155" s="7" t="s">
        <v>209</v>
      </c>
      <c r="B155" s="10">
        <v>45785</v>
      </c>
      <c r="C155" s="11" t="s">
        <v>22</v>
      </c>
      <c r="D155" s="11" t="s">
        <v>23</v>
      </c>
      <c r="E155" s="7" t="s">
        <v>32</v>
      </c>
      <c r="F155" s="9">
        <v>32.200000000000003</v>
      </c>
      <c r="G155" s="9">
        <v>100.7</v>
      </c>
      <c r="H155" s="9">
        <v>26.7</v>
      </c>
      <c r="I155" s="9">
        <v>10.7</v>
      </c>
      <c r="J155" s="9">
        <v>0.08</v>
      </c>
      <c r="K155" s="9">
        <v>51</v>
      </c>
      <c r="L155" s="7">
        <v>22.5</v>
      </c>
      <c r="M155" s="7">
        <v>46.2</v>
      </c>
      <c r="N155" s="7">
        <v>3</v>
      </c>
      <c r="O155" s="7">
        <v>171</v>
      </c>
      <c r="P155" s="7" t="s">
        <v>33</v>
      </c>
      <c r="Q155" s="7" t="str">
        <f t="shared" si="8"/>
        <v>Unhealthy</v>
      </c>
      <c r="R155" s="7" t="str">
        <f t="shared" si="9"/>
        <v>Normal</v>
      </c>
      <c r="S155" s="7" t="str">
        <f t="shared" si="10"/>
        <v>Normal Humidity</v>
      </c>
      <c r="T155" s="7" t="str">
        <f t="shared" si="11"/>
        <v>Moderate Wind</v>
      </c>
    </row>
    <row r="156" spans="1:20" x14ac:dyDescent="0.25">
      <c r="A156" s="7" t="s">
        <v>210</v>
      </c>
      <c r="B156" s="10">
        <v>45860</v>
      </c>
      <c r="C156" s="11" t="s">
        <v>42</v>
      </c>
      <c r="D156" s="11" t="s">
        <v>23</v>
      </c>
      <c r="E156" s="7" t="s">
        <v>24</v>
      </c>
      <c r="F156" s="9">
        <v>11.5</v>
      </c>
      <c r="G156" s="9">
        <v>71.3</v>
      </c>
      <c r="H156" s="9">
        <v>14.4</v>
      </c>
      <c r="I156" s="9">
        <v>12.2</v>
      </c>
      <c r="J156" s="9">
        <v>0.13</v>
      </c>
      <c r="K156" s="9">
        <v>5</v>
      </c>
      <c r="L156" s="7">
        <v>25</v>
      </c>
      <c r="M156" s="7">
        <v>71.400000000000006</v>
      </c>
      <c r="N156" s="7">
        <v>2.1</v>
      </c>
      <c r="O156" s="7">
        <v>90</v>
      </c>
      <c r="P156" s="7" t="s">
        <v>71</v>
      </c>
      <c r="Q156" s="7" t="str">
        <f t="shared" si="8"/>
        <v>Moderate</v>
      </c>
      <c r="R156" s="7" t="str">
        <f t="shared" si="9"/>
        <v>Normal</v>
      </c>
      <c r="S156" s="7" t="str">
        <f t="shared" si="10"/>
        <v>High Humidity</v>
      </c>
      <c r="T156" s="7" t="str">
        <f t="shared" si="11"/>
        <v>Moderate Wind</v>
      </c>
    </row>
    <row r="157" spans="1:20" x14ac:dyDescent="0.25">
      <c r="A157" s="7" t="s">
        <v>211</v>
      </c>
      <c r="B157" s="10">
        <v>45898</v>
      </c>
      <c r="C157" s="11" t="s">
        <v>67</v>
      </c>
      <c r="D157" s="11" t="s">
        <v>18</v>
      </c>
      <c r="E157" s="7" t="s">
        <v>19</v>
      </c>
      <c r="F157" s="9">
        <v>10.7</v>
      </c>
      <c r="G157" s="9">
        <v>77.3</v>
      </c>
      <c r="H157" s="9">
        <v>23.2</v>
      </c>
      <c r="I157" s="9">
        <v>10.5</v>
      </c>
      <c r="J157" s="9">
        <v>0.43</v>
      </c>
      <c r="K157" s="9">
        <v>34.299999999999997</v>
      </c>
      <c r="L157" s="7">
        <v>34.700000000000003</v>
      </c>
      <c r="M157" s="7">
        <v>56.4</v>
      </c>
      <c r="N157" s="7">
        <v>0.3</v>
      </c>
      <c r="O157" s="7">
        <v>119</v>
      </c>
      <c r="P157" s="7" t="s">
        <v>33</v>
      </c>
      <c r="Q157" s="7" t="str">
        <f t="shared" si="8"/>
        <v>Moderate</v>
      </c>
      <c r="R157" s="7" t="str">
        <f t="shared" si="9"/>
        <v>Hot</v>
      </c>
      <c r="S157" s="7" t="str">
        <f t="shared" si="10"/>
        <v>Normal Humidity</v>
      </c>
      <c r="T157" s="7" t="str">
        <f t="shared" si="11"/>
        <v>Low Wind</v>
      </c>
    </row>
    <row r="158" spans="1:20" x14ac:dyDescent="0.25">
      <c r="A158" s="7" t="s">
        <v>212</v>
      </c>
      <c r="B158" s="10">
        <v>46004</v>
      </c>
      <c r="C158" s="11" t="s">
        <v>64</v>
      </c>
      <c r="D158" s="11" t="s">
        <v>36</v>
      </c>
      <c r="E158" s="7" t="s">
        <v>40</v>
      </c>
      <c r="F158" s="9">
        <v>34.799999999999997</v>
      </c>
      <c r="G158" s="9">
        <v>64.900000000000006</v>
      </c>
      <c r="H158" s="9">
        <v>80.599999999999994</v>
      </c>
      <c r="I158" s="9">
        <v>12.5</v>
      </c>
      <c r="J158" s="9">
        <v>0.21</v>
      </c>
      <c r="K158" s="9">
        <v>37.1</v>
      </c>
      <c r="L158" s="7">
        <v>30.2</v>
      </c>
      <c r="M158" s="7">
        <v>62.7</v>
      </c>
      <c r="N158" s="7">
        <v>1.9</v>
      </c>
      <c r="O158" s="7">
        <v>193</v>
      </c>
      <c r="P158" s="7" t="s">
        <v>33</v>
      </c>
      <c r="Q158" s="7" t="str">
        <f t="shared" si="8"/>
        <v>Moderate</v>
      </c>
      <c r="R158" s="7" t="str">
        <f t="shared" si="9"/>
        <v>Hot</v>
      </c>
      <c r="S158" s="7" t="str">
        <f t="shared" si="10"/>
        <v>High Humidity</v>
      </c>
      <c r="T158" s="7" t="str">
        <f t="shared" si="11"/>
        <v>Low Wind</v>
      </c>
    </row>
    <row r="159" spans="1:20" x14ac:dyDescent="0.25">
      <c r="A159" s="7" t="s">
        <v>213</v>
      </c>
      <c r="B159" s="10">
        <v>45981</v>
      </c>
      <c r="C159" s="11" t="s">
        <v>26</v>
      </c>
      <c r="D159" s="11" t="s">
        <v>23</v>
      </c>
      <c r="E159" s="7" t="s">
        <v>74</v>
      </c>
      <c r="F159" s="9">
        <v>27.2</v>
      </c>
      <c r="G159" s="9">
        <v>58.2</v>
      </c>
      <c r="H159" s="9">
        <v>7.1</v>
      </c>
      <c r="I159" s="9">
        <v>12</v>
      </c>
      <c r="J159" s="9">
        <v>0.85</v>
      </c>
      <c r="K159" s="9">
        <v>12.3</v>
      </c>
      <c r="L159" s="7">
        <v>27</v>
      </c>
      <c r="M159" s="7">
        <v>65.400000000000006</v>
      </c>
      <c r="N159" s="7">
        <v>1.6</v>
      </c>
      <c r="O159" s="7">
        <v>122</v>
      </c>
      <c r="P159" s="7" t="s">
        <v>33</v>
      </c>
      <c r="Q159" s="7" t="str">
        <f t="shared" si="8"/>
        <v>Moderate</v>
      </c>
      <c r="R159" s="7" t="str">
        <f t="shared" si="9"/>
        <v>Normal</v>
      </c>
      <c r="S159" s="7" t="str">
        <f t="shared" si="10"/>
        <v>High Humidity</v>
      </c>
      <c r="T159" s="7" t="str">
        <f t="shared" si="11"/>
        <v>Low Wind</v>
      </c>
    </row>
    <row r="160" spans="1:20" x14ac:dyDescent="0.25">
      <c r="A160" s="7" t="s">
        <v>214</v>
      </c>
      <c r="B160" s="10">
        <v>45907</v>
      </c>
      <c r="C160" s="11" t="s">
        <v>26</v>
      </c>
      <c r="D160" s="11" t="s">
        <v>23</v>
      </c>
      <c r="E160" s="7" t="s">
        <v>55</v>
      </c>
      <c r="F160" s="9">
        <v>57.1</v>
      </c>
      <c r="G160" s="9">
        <v>143.19999999999999</v>
      </c>
      <c r="H160" s="9">
        <v>35</v>
      </c>
      <c r="I160" s="9">
        <v>26.6</v>
      </c>
      <c r="J160" s="9">
        <v>0.52</v>
      </c>
      <c r="K160" s="9">
        <v>18.899999999999999</v>
      </c>
      <c r="L160" s="7">
        <v>27.7</v>
      </c>
      <c r="M160" s="7">
        <v>53.3</v>
      </c>
      <c r="N160" s="7">
        <v>1.6</v>
      </c>
      <c r="O160" s="7">
        <v>253</v>
      </c>
      <c r="P160" s="7" t="s">
        <v>28</v>
      </c>
      <c r="Q160" s="7" t="str">
        <f t="shared" si="8"/>
        <v>Unhealthy</v>
      </c>
      <c r="R160" s="7" t="str">
        <f t="shared" si="9"/>
        <v>Normal</v>
      </c>
      <c r="S160" s="7" t="str">
        <f t="shared" si="10"/>
        <v>Normal Humidity</v>
      </c>
      <c r="T160" s="7" t="str">
        <f t="shared" si="11"/>
        <v>Low Wind</v>
      </c>
    </row>
    <row r="161" spans="1:20" x14ac:dyDescent="0.25">
      <c r="A161" s="7" t="s">
        <v>215</v>
      </c>
      <c r="B161" s="10">
        <v>45775</v>
      </c>
      <c r="C161" s="11" t="s">
        <v>64</v>
      </c>
      <c r="D161" s="11" t="s">
        <v>36</v>
      </c>
      <c r="E161" s="7" t="s">
        <v>74</v>
      </c>
      <c r="F161" s="9">
        <v>58.3</v>
      </c>
      <c r="G161" s="9">
        <v>49.6</v>
      </c>
      <c r="H161" s="9">
        <v>30.2</v>
      </c>
      <c r="I161" s="9">
        <v>1.8</v>
      </c>
      <c r="J161" s="9">
        <v>0.83</v>
      </c>
      <c r="K161" s="9">
        <v>27.1</v>
      </c>
      <c r="L161" s="7">
        <v>28.3</v>
      </c>
      <c r="M161" s="7">
        <v>41.3</v>
      </c>
      <c r="N161" s="7">
        <v>2.4</v>
      </c>
      <c r="O161" s="7">
        <v>184</v>
      </c>
      <c r="P161" s="7" t="s">
        <v>33</v>
      </c>
      <c r="Q161" s="7" t="str">
        <f t="shared" si="8"/>
        <v>Good</v>
      </c>
      <c r="R161" s="7" t="str">
        <f t="shared" si="9"/>
        <v>Normal</v>
      </c>
      <c r="S161" s="7" t="str">
        <f t="shared" si="10"/>
        <v>Normal Humidity</v>
      </c>
      <c r="T161" s="7" t="str">
        <f t="shared" si="11"/>
        <v>Moderate Wind</v>
      </c>
    </row>
    <row r="162" spans="1:20" x14ac:dyDescent="0.25">
      <c r="A162" s="7" t="s">
        <v>216</v>
      </c>
      <c r="B162" s="10">
        <v>45803</v>
      </c>
      <c r="C162" s="11" t="s">
        <v>67</v>
      </c>
      <c r="D162" s="11" t="s">
        <v>18</v>
      </c>
      <c r="E162" s="7" t="s">
        <v>70</v>
      </c>
      <c r="F162" s="9">
        <v>111.7</v>
      </c>
      <c r="G162" s="9">
        <v>163.1</v>
      </c>
      <c r="H162" s="9">
        <v>40.9</v>
      </c>
      <c r="I162" s="9">
        <v>13.3</v>
      </c>
      <c r="J162" s="9">
        <v>0.34</v>
      </c>
      <c r="K162" s="9">
        <v>65.2</v>
      </c>
      <c r="L162" s="7">
        <v>34.700000000000003</v>
      </c>
      <c r="M162" s="7">
        <v>86.1</v>
      </c>
      <c r="N162" s="7">
        <v>2.4</v>
      </c>
      <c r="O162" s="7">
        <v>365</v>
      </c>
      <c r="P162" s="7" t="s">
        <v>20</v>
      </c>
      <c r="Q162" s="7" t="str">
        <f t="shared" si="8"/>
        <v>VeryUnhealthy</v>
      </c>
      <c r="R162" s="7" t="str">
        <f t="shared" si="9"/>
        <v>Hot</v>
      </c>
      <c r="S162" s="7" t="str">
        <f t="shared" si="10"/>
        <v>High Humidity</v>
      </c>
      <c r="T162" s="7" t="str">
        <f t="shared" si="11"/>
        <v>Moderate Wind</v>
      </c>
    </row>
    <row r="163" spans="1:20" x14ac:dyDescent="0.25">
      <c r="A163" s="7" t="s">
        <v>217</v>
      </c>
      <c r="B163" s="10">
        <v>46005</v>
      </c>
      <c r="C163" s="11" t="s">
        <v>64</v>
      </c>
      <c r="D163" s="11" t="s">
        <v>36</v>
      </c>
      <c r="E163" s="7" t="s">
        <v>27</v>
      </c>
      <c r="F163" s="9">
        <v>31.2</v>
      </c>
      <c r="G163" s="9">
        <v>108.1</v>
      </c>
      <c r="H163" s="9">
        <v>33.700000000000003</v>
      </c>
      <c r="I163" s="9">
        <v>4.8</v>
      </c>
      <c r="J163" s="9">
        <v>0.36</v>
      </c>
      <c r="K163" s="9">
        <v>39.200000000000003</v>
      </c>
      <c r="L163" s="7">
        <v>25.9</v>
      </c>
      <c r="M163" s="7">
        <v>79.3</v>
      </c>
      <c r="N163" s="7">
        <v>1.5</v>
      </c>
      <c r="O163" s="7">
        <v>177</v>
      </c>
      <c r="P163" s="7" t="s">
        <v>33</v>
      </c>
      <c r="Q163" s="7" t="str">
        <f t="shared" si="8"/>
        <v>Unhealthy</v>
      </c>
      <c r="R163" s="7" t="str">
        <f t="shared" si="9"/>
        <v>Normal</v>
      </c>
      <c r="S163" s="7" t="str">
        <f t="shared" si="10"/>
        <v>High Humidity</v>
      </c>
      <c r="T163" s="7" t="str">
        <f t="shared" si="11"/>
        <v>Low Wind</v>
      </c>
    </row>
    <row r="164" spans="1:20" x14ac:dyDescent="0.25">
      <c r="A164" s="7" t="s">
        <v>218</v>
      </c>
      <c r="B164" s="10">
        <v>45778</v>
      </c>
      <c r="C164" s="11" t="s">
        <v>42</v>
      </c>
      <c r="D164" s="11" t="s">
        <v>23</v>
      </c>
      <c r="E164" s="7" t="s">
        <v>55</v>
      </c>
      <c r="F164" s="9">
        <v>43.1</v>
      </c>
      <c r="G164" s="9">
        <v>106.9</v>
      </c>
      <c r="H164" s="9">
        <v>22.4</v>
      </c>
      <c r="I164" s="9">
        <v>26.4</v>
      </c>
      <c r="J164" s="9">
        <v>0.25</v>
      </c>
      <c r="K164" s="9">
        <v>24.8</v>
      </c>
      <c r="L164" s="7">
        <v>32.5</v>
      </c>
      <c r="M164" s="7">
        <v>73.900000000000006</v>
      </c>
      <c r="N164" s="7">
        <v>3.8</v>
      </c>
      <c r="O164" s="7">
        <v>192</v>
      </c>
      <c r="P164" s="7" t="s">
        <v>33</v>
      </c>
      <c r="Q164" s="7" t="str">
        <f t="shared" si="8"/>
        <v>Unhealthy</v>
      </c>
      <c r="R164" s="7" t="str">
        <f t="shared" si="9"/>
        <v>Hot</v>
      </c>
      <c r="S164" s="7" t="str">
        <f t="shared" si="10"/>
        <v>High Humidity</v>
      </c>
      <c r="T164" s="7" t="str">
        <f t="shared" si="11"/>
        <v>Moderate Wind</v>
      </c>
    </row>
    <row r="165" spans="1:20" x14ac:dyDescent="0.25">
      <c r="A165" s="7" t="s">
        <v>219</v>
      </c>
      <c r="B165" s="10">
        <v>45822</v>
      </c>
      <c r="C165" s="11" t="s">
        <v>30</v>
      </c>
      <c r="D165" s="11" t="s">
        <v>31</v>
      </c>
      <c r="E165" s="7" t="s">
        <v>61</v>
      </c>
      <c r="F165" s="9">
        <v>79.7</v>
      </c>
      <c r="G165" s="9">
        <v>69.7</v>
      </c>
      <c r="H165" s="9">
        <v>18.7</v>
      </c>
      <c r="I165" s="9">
        <v>9.4</v>
      </c>
      <c r="J165" s="9">
        <v>1.63</v>
      </c>
      <c r="K165" s="9">
        <v>32.4</v>
      </c>
      <c r="L165" s="7">
        <v>28</v>
      </c>
      <c r="M165" s="7">
        <v>67.099999999999994</v>
      </c>
      <c r="N165" s="7">
        <v>2.6</v>
      </c>
      <c r="O165" s="7">
        <v>250</v>
      </c>
      <c r="P165" s="7" t="s">
        <v>28</v>
      </c>
      <c r="Q165" s="7" t="str">
        <f t="shared" si="8"/>
        <v>Moderate</v>
      </c>
      <c r="R165" s="7" t="str">
        <f t="shared" si="9"/>
        <v>Normal</v>
      </c>
      <c r="S165" s="7" t="str">
        <f t="shared" si="10"/>
        <v>High Humidity</v>
      </c>
      <c r="T165" s="7" t="str">
        <f t="shared" si="11"/>
        <v>Moderate Wind</v>
      </c>
    </row>
    <row r="166" spans="1:20" x14ac:dyDescent="0.25">
      <c r="A166" s="7" t="s">
        <v>220</v>
      </c>
      <c r="B166" s="10">
        <v>46019</v>
      </c>
      <c r="C166" s="11" t="s">
        <v>26</v>
      </c>
      <c r="D166" s="11" t="s">
        <v>23</v>
      </c>
      <c r="E166" s="7" t="s">
        <v>91</v>
      </c>
      <c r="F166" s="9">
        <v>29.6</v>
      </c>
      <c r="G166" s="9">
        <v>150</v>
      </c>
      <c r="H166" s="9">
        <v>8.1999999999999993</v>
      </c>
      <c r="I166" s="9">
        <v>9.4</v>
      </c>
      <c r="J166" s="9">
        <v>0.35</v>
      </c>
      <c r="K166" s="9">
        <v>23.2</v>
      </c>
      <c r="L166" s="7">
        <v>17.399999999999999</v>
      </c>
      <c r="M166" s="7">
        <v>68.3</v>
      </c>
      <c r="N166" s="7">
        <v>2.5</v>
      </c>
      <c r="O166" s="7">
        <v>177</v>
      </c>
      <c r="P166" s="7" t="s">
        <v>33</v>
      </c>
      <c r="Q166" s="7" t="str">
        <f t="shared" si="8"/>
        <v>Unhealthy</v>
      </c>
      <c r="R166" s="7" t="str">
        <f t="shared" si="9"/>
        <v>Cool</v>
      </c>
      <c r="S166" s="7" t="str">
        <f t="shared" si="10"/>
        <v>High Humidity</v>
      </c>
      <c r="T166" s="7" t="str">
        <f t="shared" si="11"/>
        <v>Moderate Wind</v>
      </c>
    </row>
    <row r="167" spans="1:20" x14ac:dyDescent="0.25">
      <c r="A167" s="7" t="s">
        <v>221</v>
      </c>
      <c r="B167" s="10">
        <v>45803</v>
      </c>
      <c r="C167" s="11" t="s">
        <v>38</v>
      </c>
      <c r="D167" s="11" t="s">
        <v>39</v>
      </c>
      <c r="E167" s="7" t="s">
        <v>27</v>
      </c>
      <c r="F167" s="9">
        <v>27.8</v>
      </c>
      <c r="G167" s="9">
        <v>131.5</v>
      </c>
      <c r="H167" s="9">
        <v>46</v>
      </c>
      <c r="I167" s="9">
        <v>26.2</v>
      </c>
      <c r="J167" s="9">
        <v>0.27</v>
      </c>
      <c r="K167" s="9">
        <v>32.1</v>
      </c>
      <c r="L167" s="7">
        <v>19.7</v>
      </c>
      <c r="M167" s="7">
        <v>58.4</v>
      </c>
      <c r="N167" s="7">
        <v>2.1</v>
      </c>
      <c r="O167" s="7">
        <v>206</v>
      </c>
      <c r="P167" s="7" t="s">
        <v>28</v>
      </c>
      <c r="Q167" s="7" t="str">
        <f t="shared" si="8"/>
        <v>Unhealthy</v>
      </c>
      <c r="R167" s="7" t="str">
        <f t="shared" si="9"/>
        <v>Cool</v>
      </c>
      <c r="S167" s="7" t="str">
        <f t="shared" si="10"/>
        <v>Normal Humidity</v>
      </c>
      <c r="T167" s="7" t="str">
        <f t="shared" si="11"/>
        <v>Moderate Wind</v>
      </c>
    </row>
    <row r="168" spans="1:20" x14ac:dyDescent="0.25">
      <c r="A168" s="7" t="s">
        <v>223</v>
      </c>
      <c r="B168" s="10">
        <v>45945</v>
      </c>
      <c r="C168" s="11" t="s">
        <v>42</v>
      </c>
      <c r="D168" s="11" t="s">
        <v>23</v>
      </c>
      <c r="E168" s="7" t="s">
        <v>91</v>
      </c>
      <c r="F168" s="9">
        <v>18.2</v>
      </c>
      <c r="G168" s="9">
        <v>77.5</v>
      </c>
      <c r="H168" s="9">
        <v>34.799999999999997</v>
      </c>
      <c r="I168" s="9">
        <v>4.5</v>
      </c>
      <c r="J168" s="9">
        <v>0.91</v>
      </c>
      <c r="K168" s="9">
        <v>45.1</v>
      </c>
      <c r="L168" s="7">
        <v>23.3</v>
      </c>
      <c r="M168" s="7">
        <v>61.8</v>
      </c>
      <c r="N168" s="7">
        <v>3.7</v>
      </c>
      <c r="O168" s="7">
        <v>154</v>
      </c>
      <c r="P168" s="7" t="s">
        <v>33</v>
      </c>
      <c r="Q168" s="7" t="str">
        <f t="shared" si="8"/>
        <v>Moderate</v>
      </c>
      <c r="R168" s="7" t="str">
        <f t="shared" si="9"/>
        <v>Normal</v>
      </c>
      <c r="S168" s="7" t="str">
        <f t="shared" si="10"/>
        <v>High Humidity</v>
      </c>
      <c r="T168" s="7" t="str">
        <f t="shared" si="11"/>
        <v>Moderate Wind</v>
      </c>
    </row>
    <row r="169" spans="1:20" x14ac:dyDescent="0.25">
      <c r="A169" s="7" t="s">
        <v>224</v>
      </c>
      <c r="B169" s="10">
        <v>45732</v>
      </c>
      <c r="C169" s="11" t="s">
        <v>42</v>
      </c>
      <c r="D169" s="11" t="s">
        <v>23</v>
      </c>
      <c r="E169" s="7" t="s">
        <v>91</v>
      </c>
      <c r="F169" s="9">
        <v>77.400000000000006</v>
      </c>
      <c r="G169" s="9">
        <v>185</v>
      </c>
      <c r="H169" s="9">
        <v>8.9</v>
      </c>
      <c r="I169" s="9">
        <v>10.3</v>
      </c>
      <c r="J169" s="9">
        <v>0.87</v>
      </c>
      <c r="K169" s="9">
        <v>37</v>
      </c>
      <c r="L169" s="7">
        <v>31.6</v>
      </c>
      <c r="M169" s="7">
        <v>85.8</v>
      </c>
      <c r="N169" s="7">
        <v>2</v>
      </c>
      <c r="O169" s="7">
        <v>297</v>
      </c>
      <c r="P169" s="7" t="s">
        <v>28</v>
      </c>
      <c r="Q169" s="7" t="str">
        <f t="shared" si="8"/>
        <v>VeryUnhealthy</v>
      </c>
      <c r="R169" s="7" t="str">
        <f t="shared" si="9"/>
        <v>Hot</v>
      </c>
      <c r="S169" s="7" t="str">
        <f t="shared" si="10"/>
        <v>High Humidity</v>
      </c>
      <c r="T169" s="7" t="str">
        <f t="shared" si="11"/>
        <v>Moderate Wind</v>
      </c>
    </row>
    <row r="170" spans="1:20" x14ac:dyDescent="0.25">
      <c r="A170" s="7" t="s">
        <v>225</v>
      </c>
      <c r="B170" s="10">
        <v>45803</v>
      </c>
      <c r="C170" s="11" t="s">
        <v>35</v>
      </c>
      <c r="D170" s="11" t="s">
        <v>36</v>
      </c>
      <c r="E170" s="7" t="s">
        <v>27</v>
      </c>
      <c r="F170" s="9">
        <v>57.5</v>
      </c>
      <c r="G170" s="9">
        <v>125.7</v>
      </c>
      <c r="H170" s="9">
        <v>57.8</v>
      </c>
      <c r="I170" s="9">
        <v>4.2</v>
      </c>
      <c r="J170" s="9">
        <v>0.06</v>
      </c>
      <c r="K170" s="9">
        <v>69.2</v>
      </c>
      <c r="L170" s="7">
        <v>15.7</v>
      </c>
      <c r="M170" s="7">
        <v>76.5</v>
      </c>
      <c r="N170" s="7">
        <v>4.0999999999999996</v>
      </c>
      <c r="O170" s="7">
        <v>256</v>
      </c>
      <c r="P170" s="7" t="s">
        <v>28</v>
      </c>
      <c r="Q170" s="7" t="str">
        <f t="shared" si="8"/>
        <v>Unhealthy</v>
      </c>
      <c r="R170" s="7" t="str">
        <f t="shared" si="9"/>
        <v>Cool</v>
      </c>
      <c r="S170" s="7" t="str">
        <f t="shared" si="10"/>
        <v>High Humidity</v>
      </c>
      <c r="T170" s="7" t="str">
        <f t="shared" si="11"/>
        <v>Moderate Wind</v>
      </c>
    </row>
    <row r="171" spans="1:20" x14ac:dyDescent="0.25">
      <c r="A171" s="7" t="s">
        <v>226</v>
      </c>
      <c r="B171" s="10">
        <v>45678</v>
      </c>
      <c r="C171" s="11" t="s">
        <v>26</v>
      </c>
      <c r="D171" s="11" t="s">
        <v>23</v>
      </c>
      <c r="E171" s="7" t="s">
        <v>70</v>
      </c>
      <c r="F171" s="9">
        <v>31.3</v>
      </c>
      <c r="G171" s="9">
        <v>160</v>
      </c>
      <c r="H171" s="9">
        <v>43</v>
      </c>
      <c r="I171" s="9">
        <v>3.9</v>
      </c>
      <c r="J171" s="9">
        <v>0.48</v>
      </c>
      <c r="K171" s="9">
        <v>25.7</v>
      </c>
      <c r="L171" s="7">
        <v>18.5</v>
      </c>
      <c r="M171" s="7">
        <v>50</v>
      </c>
      <c r="N171" s="7">
        <v>3.5</v>
      </c>
      <c r="O171" s="7">
        <v>215</v>
      </c>
      <c r="P171" s="7" t="s">
        <v>28</v>
      </c>
      <c r="Q171" s="7" t="str">
        <f t="shared" si="8"/>
        <v>VeryUnhealthy</v>
      </c>
      <c r="R171" s="7" t="str">
        <f t="shared" si="9"/>
        <v>Cool</v>
      </c>
      <c r="S171" s="7" t="str">
        <f t="shared" si="10"/>
        <v>Normal Humidity</v>
      </c>
      <c r="T171" s="7" t="str">
        <f t="shared" si="11"/>
        <v>Moderate Wind</v>
      </c>
    </row>
    <row r="172" spans="1:20" x14ac:dyDescent="0.25">
      <c r="A172" s="7" t="s">
        <v>227</v>
      </c>
      <c r="B172" s="10">
        <v>45965</v>
      </c>
      <c r="C172" s="11" t="s">
        <v>17</v>
      </c>
      <c r="D172" s="11" t="s">
        <v>18</v>
      </c>
      <c r="E172" s="7" t="s">
        <v>19</v>
      </c>
      <c r="F172" s="9">
        <v>19.3</v>
      </c>
      <c r="G172" s="9">
        <v>38.4</v>
      </c>
      <c r="H172" s="9">
        <v>8.6</v>
      </c>
      <c r="I172" s="9">
        <v>6.9</v>
      </c>
      <c r="J172" s="9">
        <v>0.63</v>
      </c>
      <c r="K172" s="9">
        <v>57.8</v>
      </c>
      <c r="L172" s="7">
        <v>29.3</v>
      </c>
      <c r="M172" s="7">
        <v>47.8</v>
      </c>
      <c r="N172" s="7">
        <v>1.6</v>
      </c>
      <c r="O172" s="7">
        <v>109</v>
      </c>
      <c r="P172" s="7" t="s">
        <v>33</v>
      </c>
      <c r="Q172" s="7" t="str">
        <f t="shared" si="8"/>
        <v>Good</v>
      </c>
      <c r="R172" s="7" t="str">
        <f t="shared" si="9"/>
        <v>Normal</v>
      </c>
      <c r="S172" s="7" t="str">
        <f t="shared" si="10"/>
        <v>Normal Humidity</v>
      </c>
      <c r="T172" s="7" t="str">
        <f t="shared" si="11"/>
        <v>Low Wind</v>
      </c>
    </row>
    <row r="173" spans="1:20" x14ac:dyDescent="0.25">
      <c r="A173" s="7" t="s">
        <v>228</v>
      </c>
      <c r="B173" s="10">
        <v>45680</v>
      </c>
      <c r="C173" s="11" t="s">
        <v>77</v>
      </c>
      <c r="D173" s="11" t="s">
        <v>39</v>
      </c>
      <c r="E173" s="7" t="s">
        <v>68</v>
      </c>
      <c r="F173" s="9">
        <v>76.599999999999994</v>
      </c>
      <c r="G173" s="9">
        <v>61.4</v>
      </c>
      <c r="H173" s="9">
        <v>17.8</v>
      </c>
      <c r="I173" s="9">
        <v>14.1</v>
      </c>
      <c r="J173" s="9">
        <v>0.43</v>
      </c>
      <c r="K173" s="9">
        <v>109.2</v>
      </c>
      <c r="L173" s="7">
        <v>34.700000000000003</v>
      </c>
      <c r="M173" s="7">
        <v>51.7</v>
      </c>
      <c r="N173" s="7">
        <v>1.1000000000000001</v>
      </c>
      <c r="O173" s="7">
        <v>246</v>
      </c>
      <c r="P173" s="7" t="s">
        <v>28</v>
      </c>
      <c r="Q173" s="7" t="str">
        <f t="shared" si="8"/>
        <v>Moderate</v>
      </c>
      <c r="R173" s="7" t="str">
        <f t="shared" si="9"/>
        <v>Hot</v>
      </c>
      <c r="S173" s="7" t="str">
        <f t="shared" si="10"/>
        <v>Normal Humidity</v>
      </c>
      <c r="T173" s="7" t="str">
        <f t="shared" si="11"/>
        <v>Low Wind</v>
      </c>
    </row>
    <row r="174" spans="1:20" x14ac:dyDescent="0.25">
      <c r="A174" s="7" t="s">
        <v>229</v>
      </c>
      <c r="B174" s="10">
        <v>45958</v>
      </c>
      <c r="C174" s="11" t="s">
        <v>54</v>
      </c>
      <c r="D174" s="11" t="s">
        <v>18</v>
      </c>
      <c r="E174" s="7" t="s">
        <v>27</v>
      </c>
      <c r="F174" s="9">
        <v>89.4</v>
      </c>
      <c r="G174" s="9">
        <v>74.8</v>
      </c>
      <c r="H174" s="9">
        <v>21.2</v>
      </c>
      <c r="I174" s="9">
        <v>3.5</v>
      </c>
      <c r="J174" s="9">
        <v>1.33</v>
      </c>
      <c r="K174" s="9">
        <v>13.3</v>
      </c>
      <c r="L174" s="7">
        <v>21.8</v>
      </c>
      <c r="M174" s="7">
        <v>81.7</v>
      </c>
      <c r="N174" s="7">
        <v>1.7</v>
      </c>
      <c r="O174" s="7">
        <v>250</v>
      </c>
      <c r="P174" s="7" t="s">
        <v>28</v>
      </c>
      <c r="Q174" s="7" t="str">
        <f t="shared" si="8"/>
        <v>Moderate</v>
      </c>
      <c r="R174" s="7" t="str">
        <f t="shared" si="9"/>
        <v>Normal</v>
      </c>
      <c r="S174" s="7" t="str">
        <f t="shared" si="10"/>
        <v>High Humidity</v>
      </c>
      <c r="T174" s="7" t="str">
        <f t="shared" si="11"/>
        <v>Low Wind</v>
      </c>
    </row>
    <row r="175" spans="1:20" x14ac:dyDescent="0.25">
      <c r="A175" s="7" t="s">
        <v>230</v>
      </c>
      <c r="B175" s="10">
        <v>45968</v>
      </c>
      <c r="C175" s="11" t="s">
        <v>38</v>
      </c>
      <c r="D175" s="11" t="s">
        <v>39</v>
      </c>
      <c r="E175" s="7" t="s">
        <v>61</v>
      </c>
      <c r="F175" s="9">
        <v>26.9</v>
      </c>
      <c r="G175" s="9">
        <v>112.6</v>
      </c>
      <c r="H175" s="9">
        <v>131.4</v>
      </c>
      <c r="I175" s="9">
        <v>27.3</v>
      </c>
      <c r="J175" s="9">
        <v>0.49</v>
      </c>
      <c r="K175" s="9">
        <v>30</v>
      </c>
      <c r="L175" s="7">
        <v>31.5</v>
      </c>
      <c r="M175" s="7">
        <v>92.4</v>
      </c>
      <c r="N175" s="7">
        <v>2.6</v>
      </c>
      <c r="O175" s="7">
        <v>266</v>
      </c>
      <c r="P175" s="7" t="s">
        <v>28</v>
      </c>
      <c r="Q175" s="7" t="str">
        <f t="shared" si="8"/>
        <v>Unhealthy</v>
      </c>
      <c r="R175" s="7" t="str">
        <f t="shared" si="9"/>
        <v>Hot</v>
      </c>
      <c r="S175" s="7" t="str">
        <f t="shared" si="10"/>
        <v>High Humidity</v>
      </c>
      <c r="T175" s="7" t="str">
        <f t="shared" si="11"/>
        <v>Moderate Wind</v>
      </c>
    </row>
    <row r="176" spans="1:20" x14ac:dyDescent="0.25">
      <c r="A176" s="7" t="s">
        <v>231</v>
      </c>
      <c r="B176" s="10">
        <v>45717</v>
      </c>
      <c r="C176" s="11" t="s">
        <v>81</v>
      </c>
      <c r="D176" s="11" t="s">
        <v>39</v>
      </c>
      <c r="E176" s="7" t="s">
        <v>68</v>
      </c>
      <c r="F176" s="9">
        <v>28</v>
      </c>
      <c r="G176" s="9">
        <v>12.1</v>
      </c>
      <c r="H176" s="9">
        <v>10.9</v>
      </c>
      <c r="I176" s="9">
        <v>7.3</v>
      </c>
      <c r="J176" s="9">
        <v>1.72</v>
      </c>
      <c r="K176" s="9">
        <v>4.5999999999999996</v>
      </c>
      <c r="L176" s="7">
        <v>15.8</v>
      </c>
      <c r="M176" s="7">
        <v>47.4</v>
      </c>
      <c r="N176" s="7">
        <v>0.1</v>
      </c>
      <c r="O176" s="7">
        <v>112</v>
      </c>
      <c r="P176" s="7" t="s">
        <v>33</v>
      </c>
      <c r="Q176" s="7" t="str">
        <f t="shared" si="8"/>
        <v>Good</v>
      </c>
      <c r="R176" s="7" t="str">
        <f t="shared" si="9"/>
        <v>Cool</v>
      </c>
      <c r="S176" s="7" t="str">
        <f t="shared" si="10"/>
        <v>Normal Humidity</v>
      </c>
      <c r="T176" s="7" t="str">
        <f t="shared" si="11"/>
        <v>Low Wind</v>
      </c>
    </row>
    <row r="177" spans="1:20" x14ac:dyDescent="0.25">
      <c r="A177" s="7" t="s">
        <v>232</v>
      </c>
      <c r="B177" s="10">
        <v>45660</v>
      </c>
      <c r="C177" s="11" t="s">
        <v>77</v>
      </c>
      <c r="D177" s="11" t="s">
        <v>39</v>
      </c>
      <c r="E177" s="7" t="s">
        <v>43</v>
      </c>
      <c r="F177" s="9">
        <v>86.5</v>
      </c>
      <c r="G177" s="9">
        <v>58.9</v>
      </c>
      <c r="H177" s="9">
        <v>42.5</v>
      </c>
      <c r="I177" s="9">
        <v>21.2</v>
      </c>
      <c r="J177" s="9">
        <v>0.44</v>
      </c>
      <c r="K177" s="9">
        <v>27.4</v>
      </c>
      <c r="L177" s="7">
        <v>29.5</v>
      </c>
      <c r="M177" s="7">
        <v>73.7</v>
      </c>
      <c r="N177" s="7">
        <v>2.9</v>
      </c>
      <c r="O177" s="7">
        <v>249</v>
      </c>
      <c r="P177" s="7" t="s">
        <v>28</v>
      </c>
      <c r="Q177" s="7" t="str">
        <f t="shared" si="8"/>
        <v>Moderate</v>
      </c>
      <c r="R177" s="7" t="str">
        <f t="shared" si="9"/>
        <v>Normal</v>
      </c>
      <c r="S177" s="7" t="str">
        <f t="shared" si="10"/>
        <v>High Humidity</v>
      </c>
      <c r="T177" s="7" t="str">
        <f t="shared" si="11"/>
        <v>Moderate Wind</v>
      </c>
    </row>
    <row r="178" spans="1:20" x14ac:dyDescent="0.25">
      <c r="A178" s="7" t="s">
        <v>233</v>
      </c>
      <c r="B178" s="10">
        <v>46009</v>
      </c>
      <c r="C178" s="11" t="s">
        <v>38</v>
      </c>
      <c r="D178" s="11" t="s">
        <v>39</v>
      </c>
      <c r="E178" s="7" t="s">
        <v>61</v>
      </c>
      <c r="F178" s="9">
        <v>24.1</v>
      </c>
      <c r="G178" s="9">
        <v>30.1</v>
      </c>
      <c r="H178" s="9">
        <v>62.9</v>
      </c>
      <c r="I178" s="9">
        <v>6.2</v>
      </c>
      <c r="J178" s="9">
        <v>0.42</v>
      </c>
      <c r="K178" s="9">
        <v>30.8</v>
      </c>
      <c r="L178" s="7">
        <v>28.1</v>
      </c>
      <c r="M178" s="7">
        <v>45.6</v>
      </c>
      <c r="N178" s="7">
        <v>2.6</v>
      </c>
      <c r="O178" s="7">
        <v>137</v>
      </c>
      <c r="P178" s="7" t="s">
        <v>33</v>
      </c>
      <c r="Q178" s="7" t="str">
        <f t="shared" si="8"/>
        <v>Good</v>
      </c>
      <c r="R178" s="7" t="str">
        <f t="shared" si="9"/>
        <v>Normal</v>
      </c>
      <c r="S178" s="7" t="str">
        <f t="shared" si="10"/>
        <v>Normal Humidity</v>
      </c>
      <c r="T178" s="7" t="str">
        <f t="shared" si="11"/>
        <v>Moderate Wind</v>
      </c>
    </row>
    <row r="179" spans="1:20" x14ac:dyDescent="0.25">
      <c r="A179" s="7" t="s">
        <v>234</v>
      </c>
      <c r="B179" s="10">
        <v>45894</v>
      </c>
      <c r="C179" s="11" t="s">
        <v>77</v>
      </c>
      <c r="D179" s="11" t="s">
        <v>39</v>
      </c>
      <c r="E179" s="7" t="s">
        <v>74</v>
      </c>
      <c r="F179" s="9">
        <v>31.3</v>
      </c>
      <c r="G179" s="9">
        <v>87.6</v>
      </c>
      <c r="H179" s="9">
        <v>20.100000000000001</v>
      </c>
      <c r="I179" s="9">
        <v>3.1</v>
      </c>
      <c r="J179" s="9">
        <v>1.7</v>
      </c>
      <c r="K179" s="9">
        <v>28.3</v>
      </c>
      <c r="L179" s="7">
        <v>25.9</v>
      </c>
      <c r="M179" s="7">
        <v>50.4</v>
      </c>
      <c r="N179" s="7">
        <v>3.4</v>
      </c>
      <c r="O179" s="7">
        <v>181</v>
      </c>
      <c r="P179" s="7" t="s">
        <v>33</v>
      </c>
      <c r="Q179" s="7" t="str">
        <f t="shared" si="8"/>
        <v>Moderate</v>
      </c>
      <c r="R179" s="7" t="str">
        <f t="shared" si="9"/>
        <v>Normal</v>
      </c>
      <c r="S179" s="7" t="str">
        <f t="shared" si="10"/>
        <v>Normal Humidity</v>
      </c>
      <c r="T179" s="7" t="str">
        <f t="shared" si="11"/>
        <v>Moderate Wind</v>
      </c>
    </row>
    <row r="180" spans="1:20" x14ac:dyDescent="0.25">
      <c r="A180" s="7" t="s">
        <v>235</v>
      </c>
      <c r="B180" s="10">
        <v>45870</v>
      </c>
      <c r="C180" s="11" t="s">
        <v>77</v>
      </c>
      <c r="D180" s="11" t="s">
        <v>39</v>
      </c>
      <c r="E180" s="7" t="s">
        <v>91</v>
      </c>
      <c r="F180" s="9">
        <v>17.600000000000001</v>
      </c>
      <c r="G180" s="9">
        <v>74.400000000000006</v>
      </c>
      <c r="H180" s="9">
        <v>14.4</v>
      </c>
      <c r="I180" s="9">
        <v>5.2</v>
      </c>
      <c r="J180" s="9">
        <v>1.1100000000000001</v>
      </c>
      <c r="K180" s="9">
        <v>20.100000000000001</v>
      </c>
      <c r="L180" s="7">
        <v>24.6</v>
      </c>
      <c r="M180" s="7">
        <v>49</v>
      </c>
      <c r="N180" s="7">
        <v>1.8</v>
      </c>
      <c r="O180" s="7">
        <v>128</v>
      </c>
      <c r="P180" s="7" t="s">
        <v>33</v>
      </c>
      <c r="Q180" s="7" t="str">
        <f t="shared" si="8"/>
        <v>Moderate</v>
      </c>
      <c r="R180" s="7" t="str">
        <f t="shared" si="9"/>
        <v>Normal</v>
      </c>
      <c r="S180" s="7" t="str">
        <f t="shared" si="10"/>
        <v>Normal Humidity</v>
      </c>
      <c r="T180" s="7" t="str">
        <f t="shared" si="11"/>
        <v>Low Wind</v>
      </c>
    </row>
    <row r="181" spans="1:20" x14ac:dyDescent="0.25">
      <c r="A181" s="7" t="s">
        <v>236</v>
      </c>
      <c r="B181" s="10">
        <v>45880</v>
      </c>
      <c r="C181" s="11" t="s">
        <v>54</v>
      </c>
      <c r="D181" s="11" t="s">
        <v>18</v>
      </c>
      <c r="E181" s="7" t="s">
        <v>45</v>
      </c>
      <c r="F181" s="9">
        <v>40.799999999999997</v>
      </c>
      <c r="G181" s="9">
        <v>59.2</v>
      </c>
      <c r="H181" s="9">
        <v>51.6</v>
      </c>
      <c r="I181" s="9">
        <v>5.2</v>
      </c>
      <c r="J181" s="9">
        <v>0.35</v>
      </c>
      <c r="K181" s="9">
        <v>36</v>
      </c>
      <c r="L181" s="7">
        <v>26.1</v>
      </c>
      <c r="M181" s="7">
        <v>98</v>
      </c>
      <c r="N181" s="7">
        <v>1.9</v>
      </c>
      <c r="O181" s="7">
        <v>174</v>
      </c>
      <c r="P181" s="7" t="s">
        <v>33</v>
      </c>
      <c r="Q181" s="7" t="str">
        <f t="shared" si="8"/>
        <v>Moderate</v>
      </c>
      <c r="R181" s="7" t="str">
        <f t="shared" si="9"/>
        <v>Normal</v>
      </c>
      <c r="S181" s="7" t="str">
        <f t="shared" si="10"/>
        <v>High Humidity</v>
      </c>
      <c r="T181" s="7" t="str">
        <f t="shared" si="11"/>
        <v>Low Wind</v>
      </c>
    </row>
    <row r="182" spans="1:20" x14ac:dyDescent="0.25">
      <c r="A182" s="7" t="s">
        <v>237</v>
      </c>
      <c r="B182" s="10">
        <v>45933</v>
      </c>
      <c r="C182" s="11" t="s">
        <v>64</v>
      </c>
      <c r="D182" s="11" t="s">
        <v>36</v>
      </c>
      <c r="E182" s="7" t="s">
        <v>24</v>
      </c>
      <c r="F182" s="9">
        <v>85.4</v>
      </c>
      <c r="G182" s="9">
        <v>55.1</v>
      </c>
      <c r="H182" s="9">
        <v>13.3</v>
      </c>
      <c r="I182" s="9">
        <v>16.5</v>
      </c>
      <c r="J182" s="9">
        <v>0.44</v>
      </c>
      <c r="K182" s="9">
        <v>36.299999999999997</v>
      </c>
      <c r="L182" s="7">
        <v>29.5</v>
      </c>
      <c r="M182" s="7">
        <v>93.4</v>
      </c>
      <c r="N182" s="7">
        <v>2</v>
      </c>
      <c r="O182" s="7">
        <v>222</v>
      </c>
      <c r="P182" s="7" t="s">
        <v>28</v>
      </c>
      <c r="Q182" s="7" t="str">
        <f t="shared" si="8"/>
        <v>Moderate</v>
      </c>
      <c r="R182" s="7" t="str">
        <f t="shared" si="9"/>
        <v>Normal</v>
      </c>
      <c r="S182" s="7" t="str">
        <f t="shared" si="10"/>
        <v>High Humidity</v>
      </c>
      <c r="T182" s="7" t="str">
        <f t="shared" si="11"/>
        <v>Moderate Wind</v>
      </c>
    </row>
    <row r="183" spans="1:20" x14ac:dyDescent="0.25">
      <c r="A183" s="7" t="s">
        <v>238</v>
      </c>
      <c r="B183" s="10">
        <v>45872</v>
      </c>
      <c r="C183" s="11" t="s">
        <v>54</v>
      </c>
      <c r="D183" s="11" t="s">
        <v>18</v>
      </c>
      <c r="E183" s="7" t="s">
        <v>97</v>
      </c>
      <c r="F183" s="9">
        <v>100.1</v>
      </c>
      <c r="G183" s="9">
        <v>89.6</v>
      </c>
      <c r="H183" s="9">
        <v>29.1</v>
      </c>
      <c r="I183" s="9">
        <v>21</v>
      </c>
      <c r="J183" s="9">
        <v>0.24</v>
      </c>
      <c r="K183" s="9">
        <v>17.2</v>
      </c>
      <c r="L183" s="7">
        <v>24.4</v>
      </c>
      <c r="M183" s="7">
        <v>60.9</v>
      </c>
      <c r="N183" s="7">
        <v>3.1</v>
      </c>
      <c r="O183" s="7">
        <v>270</v>
      </c>
      <c r="P183" s="7" t="s">
        <v>28</v>
      </c>
      <c r="Q183" s="7" t="str">
        <f t="shared" si="8"/>
        <v>Moderate</v>
      </c>
      <c r="R183" s="7" t="str">
        <f t="shared" si="9"/>
        <v>Normal</v>
      </c>
      <c r="S183" s="7" t="str">
        <f t="shared" si="10"/>
        <v>High Humidity</v>
      </c>
      <c r="T183" s="7" t="str">
        <f t="shared" si="11"/>
        <v>Moderate Wind</v>
      </c>
    </row>
    <row r="184" spans="1:20" x14ac:dyDescent="0.25">
      <c r="A184" s="7" t="s">
        <v>239</v>
      </c>
      <c r="B184" s="10">
        <v>45935</v>
      </c>
      <c r="C184" s="11" t="s">
        <v>22</v>
      </c>
      <c r="D184" s="11" t="s">
        <v>23</v>
      </c>
      <c r="E184" s="7" t="s">
        <v>97</v>
      </c>
      <c r="F184" s="9">
        <v>86.8</v>
      </c>
      <c r="G184" s="9">
        <v>130.6</v>
      </c>
      <c r="H184" s="9">
        <v>37.5</v>
      </c>
      <c r="I184" s="9">
        <v>9.1</v>
      </c>
      <c r="J184" s="9">
        <v>2</v>
      </c>
      <c r="K184" s="9">
        <v>57.7</v>
      </c>
      <c r="L184" s="7">
        <v>27.6</v>
      </c>
      <c r="M184" s="7">
        <v>56</v>
      </c>
      <c r="N184" s="7">
        <v>1.9</v>
      </c>
      <c r="O184" s="7">
        <v>336</v>
      </c>
      <c r="P184" s="7" t="s">
        <v>20</v>
      </c>
      <c r="Q184" s="7" t="str">
        <f t="shared" si="8"/>
        <v>Unhealthy</v>
      </c>
      <c r="R184" s="7" t="str">
        <f t="shared" si="9"/>
        <v>Normal</v>
      </c>
      <c r="S184" s="7" t="str">
        <f t="shared" si="10"/>
        <v>Normal Humidity</v>
      </c>
      <c r="T184" s="7" t="str">
        <f t="shared" si="11"/>
        <v>Low Wind</v>
      </c>
    </row>
    <row r="185" spans="1:20" x14ac:dyDescent="0.25">
      <c r="A185" s="7" t="s">
        <v>240</v>
      </c>
      <c r="B185" s="10">
        <v>45825</v>
      </c>
      <c r="C185" s="11" t="s">
        <v>93</v>
      </c>
      <c r="D185" s="11" t="s">
        <v>36</v>
      </c>
      <c r="E185" s="7" t="s">
        <v>40</v>
      </c>
      <c r="F185" s="9">
        <v>63.6</v>
      </c>
      <c r="G185" s="9">
        <v>27.4</v>
      </c>
      <c r="H185" s="9">
        <v>10.4</v>
      </c>
      <c r="I185" s="9">
        <v>3.1</v>
      </c>
      <c r="J185" s="9">
        <v>1.85</v>
      </c>
      <c r="K185" s="9">
        <v>12.4</v>
      </c>
      <c r="L185" s="7">
        <v>27.7</v>
      </c>
      <c r="M185" s="7">
        <v>51.9</v>
      </c>
      <c r="N185" s="7">
        <v>1.2</v>
      </c>
      <c r="O185" s="7">
        <v>182</v>
      </c>
      <c r="P185" s="7" t="s">
        <v>33</v>
      </c>
      <c r="Q185" s="7" t="str">
        <f t="shared" si="8"/>
        <v>Good</v>
      </c>
      <c r="R185" s="7" t="str">
        <f t="shared" si="9"/>
        <v>Normal</v>
      </c>
      <c r="S185" s="7" t="str">
        <f t="shared" si="10"/>
        <v>Normal Humidity</v>
      </c>
      <c r="T185" s="7" t="str">
        <f t="shared" si="11"/>
        <v>Low Wind</v>
      </c>
    </row>
    <row r="186" spans="1:20" x14ac:dyDescent="0.25">
      <c r="A186" s="7" t="s">
        <v>241</v>
      </c>
      <c r="B186" s="10">
        <v>45666</v>
      </c>
      <c r="C186" s="11" t="s">
        <v>64</v>
      </c>
      <c r="D186" s="11" t="s">
        <v>36</v>
      </c>
      <c r="E186" s="7" t="s">
        <v>61</v>
      </c>
      <c r="F186" s="9">
        <v>90.1</v>
      </c>
      <c r="G186" s="9">
        <v>61.3</v>
      </c>
      <c r="H186" s="9">
        <v>53.6</v>
      </c>
      <c r="I186" s="9">
        <v>6.9</v>
      </c>
      <c r="J186" s="9">
        <v>0.33</v>
      </c>
      <c r="K186" s="9">
        <v>25.3</v>
      </c>
      <c r="L186" s="7">
        <v>29.1</v>
      </c>
      <c r="M186" s="7">
        <v>65.5</v>
      </c>
      <c r="N186" s="7">
        <v>0.6</v>
      </c>
      <c r="O186" s="7">
        <v>251</v>
      </c>
      <c r="P186" s="7" t="s">
        <v>28</v>
      </c>
      <c r="Q186" s="7" t="str">
        <f t="shared" si="8"/>
        <v>Moderate</v>
      </c>
      <c r="R186" s="7" t="str">
        <f t="shared" si="9"/>
        <v>Normal</v>
      </c>
      <c r="S186" s="7" t="str">
        <f t="shared" si="10"/>
        <v>High Humidity</v>
      </c>
      <c r="T186" s="7" t="str">
        <f t="shared" si="11"/>
        <v>Low Wind</v>
      </c>
    </row>
    <row r="187" spans="1:20" x14ac:dyDescent="0.25">
      <c r="A187" s="7" t="s">
        <v>242</v>
      </c>
      <c r="B187" s="10">
        <v>45681</v>
      </c>
      <c r="C187" s="11" t="s">
        <v>67</v>
      </c>
      <c r="D187" s="11" t="s">
        <v>18</v>
      </c>
      <c r="E187" s="7" t="s">
        <v>58</v>
      </c>
      <c r="F187" s="9">
        <v>30.2</v>
      </c>
      <c r="G187" s="9">
        <v>190.8</v>
      </c>
      <c r="H187" s="9">
        <v>27.9</v>
      </c>
      <c r="I187" s="9">
        <v>8</v>
      </c>
      <c r="J187" s="9">
        <v>0.18</v>
      </c>
      <c r="K187" s="9">
        <v>18.3</v>
      </c>
      <c r="L187" s="7">
        <v>21.7</v>
      </c>
      <c r="M187" s="7">
        <v>68.599999999999994</v>
      </c>
      <c r="N187" s="7">
        <v>2.2999999999999998</v>
      </c>
      <c r="O187" s="7">
        <v>213</v>
      </c>
      <c r="P187" s="7" t="s">
        <v>28</v>
      </c>
      <c r="Q187" s="7" t="str">
        <f t="shared" si="8"/>
        <v>VeryUnhealthy</v>
      </c>
      <c r="R187" s="7" t="str">
        <f t="shared" si="9"/>
        <v>Normal</v>
      </c>
      <c r="S187" s="7" t="str">
        <f t="shared" si="10"/>
        <v>High Humidity</v>
      </c>
      <c r="T187" s="7" t="str">
        <f t="shared" si="11"/>
        <v>Moderate Wind</v>
      </c>
    </row>
    <row r="188" spans="1:20" x14ac:dyDescent="0.25">
      <c r="A188" s="7" t="s">
        <v>243</v>
      </c>
      <c r="B188" s="10">
        <v>45933</v>
      </c>
      <c r="C188" s="11" t="s">
        <v>93</v>
      </c>
      <c r="D188" s="11" t="s">
        <v>36</v>
      </c>
      <c r="E188" s="7" t="s">
        <v>40</v>
      </c>
      <c r="F188" s="9">
        <v>90.7</v>
      </c>
      <c r="G188" s="9">
        <v>83.7</v>
      </c>
      <c r="H188" s="9">
        <v>32.700000000000003</v>
      </c>
      <c r="I188" s="9">
        <v>12.2</v>
      </c>
      <c r="J188" s="9">
        <v>0.87</v>
      </c>
      <c r="K188" s="9">
        <v>14.2</v>
      </c>
      <c r="L188" s="7">
        <v>33.1</v>
      </c>
      <c r="M188" s="7">
        <v>81.7</v>
      </c>
      <c r="N188" s="7">
        <v>1.7</v>
      </c>
      <c r="O188" s="7">
        <v>262</v>
      </c>
      <c r="P188" s="7" t="s">
        <v>28</v>
      </c>
      <c r="Q188" s="7" t="str">
        <f t="shared" si="8"/>
        <v>Moderate</v>
      </c>
      <c r="R188" s="7" t="str">
        <f t="shared" si="9"/>
        <v>Hot</v>
      </c>
      <c r="S188" s="7" t="str">
        <f t="shared" si="10"/>
        <v>High Humidity</v>
      </c>
      <c r="T188" s="7" t="str">
        <f t="shared" si="11"/>
        <v>Low Wind</v>
      </c>
    </row>
    <row r="189" spans="1:20" x14ac:dyDescent="0.25">
      <c r="A189" s="7" t="s">
        <v>244</v>
      </c>
      <c r="B189" s="10">
        <v>45728</v>
      </c>
      <c r="C189" s="11" t="s">
        <v>50</v>
      </c>
      <c r="D189" s="11" t="s">
        <v>31</v>
      </c>
      <c r="E189" s="7" t="s">
        <v>55</v>
      </c>
      <c r="F189" s="9">
        <v>21</v>
      </c>
      <c r="G189" s="9">
        <v>95.9</v>
      </c>
      <c r="H189" s="9">
        <v>31</v>
      </c>
      <c r="I189" s="9">
        <v>6.8</v>
      </c>
      <c r="J189" s="9">
        <v>0.17</v>
      </c>
      <c r="K189" s="9">
        <v>21.8</v>
      </c>
      <c r="L189" s="7">
        <v>34.9</v>
      </c>
      <c r="M189" s="7">
        <v>67.7</v>
      </c>
      <c r="N189" s="7">
        <v>1.1000000000000001</v>
      </c>
      <c r="O189" s="7">
        <v>140</v>
      </c>
      <c r="P189" s="7" t="s">
        <v>33</v>
      </c>
      <c r="Q189" s="7" t="str">
        <f t="shared" si="8"/>
        <v>Moderate</v>
      </c>
      <c r="R189" s="7" t="str">
        <f t="shared" si="9"/>
        <v>Hot</v>
      </c>
      <c r="S189" s="7" t="str">
        <f t="shared" si="10"/>
        <v>High Humidity</v>
      </c>
      <c r="T189" s="7" t="str">
        <f t="shared" si="11"/>
        <v>Low Wind</v>
      </c>
    </row>
    <row r="190" spans="1:20" x14ac:dyDescent="0.25">
      <c r="A190" s="7" t="s">
        <v>245</v>
      </c>
      <c r="B190" s="10">
        <v>45695</v>
      </c>
      <c r="C190" s="11" t="s">
        <v>77</v>
      </c>
      <c r="D190" s="11" t="s">
        <v>39</v>
      </c>
      <c r="E190" s="7" t="s">
        <v>24</v>
      </c>
      <c r="F190" s="9">
        <v>43.8</v>
      </c>
      <c r="G190" s="9">
        <v>57.3</v>
      </c>
      <c r="H190" s="9">
        <v>35.9</v>
      </c>
      <c r="I190" s="9">
        <v>13.3</v>
      </c>
      <c r="J190" s="9">
        <v>0.48</v>
      </c>
      <c r="K190" s="9">
        <v>39.299999999999997</v>
      </c>
      <c r="L190" s="7">
        <v>28.7</v>
      </c>
      <c r="M190" s="7">
        <v>59.1</v>
      </c>
      <c r="N190" s="7">
        <v>4</v>
      </c>
      <c r="O190" s="7">
        <v>175</v>
      </c>
      <c r="P190" s="7" t="s">
        <v>33</v>
      </c>
      <c r="Q190" s="7" t="str">
        <f t="shared" si="8"/>
        <v>Moderate</v>
      </c>
      <c r="R190" s="7" t="str">
        <f t="shared" si="9"/>
        <v>Normal</v>
      </c>
      <c r="S190" s="7" t="str">
        <f t="shared" si="10"/>
        <v>Normal Humidity</v>
      </c>
      <c r="T190" s="7" t="str">
        <f t="shared" si="11"/>
        <v>Moderate Wind</v>
      </c>
    </row>
    <row r="191" spans="1:20" x14ac:dyDescent="0.25">
      <c r="A191" s="7" t="s">
        <v>246</v>
      </c>
      <c r="B191" s="10">
        <v>45911</v>
      </c>
      <c r="C191" s="11" t="s">
        <v>30</v>
      </c>
      <c r="D191" s="11" t="s">
        <v>31</v>
      </c>
      <c r="E191" s="7" t="s">
        <v>91</v>
      </c>
      <c r="F191" s="9">
        <v>60.6</v>
      </c>
      <c r="G191" s="9">
        <v>103.4</v>
      </c>
      <c r="H191" s="9">
        <v>15.1</v>
      </c>
      <c r="I191" s="9">
        <v>6</v>
      </c>
      <c r="J191" s="9">
        <v>0.33</v>
      </c>
      <c r="K191" s="9">
        <v>42.9</v>
      </c>
      <c r="L191" s="7">
        <v>32.299999999999997</v>
      </c>
      <c r="M191" s="7">
        <v>76.2</v>
      </c>
      <c r="N191" s="7">
        <v>2.9</v>
      </c>
      <c r="O191" s="7">
        <v>208</v>
      </c>
      <c r="P191" s="7" t="s">
        <v>28</v>
      </c>
      <c r="Q191" s="7" t="str">
        <f t="shared" si="8"/>
        <v>Unhealthy</v>
      </c>
      <c r="R191" s="7" t="str">
        <f t="shared" si="9"/>
        <v>Hot</v>
      </c>
      <c r="S191" s="7" t="str">
        <f t="shared" si="10"/>
        <v>High Humidity</v>
      </c>
      <c r="T191" s="7" t="str">
        <f t="shared" si="11"/>
        <v>Moderate Wind</v>
      </c>
    </row>
    <row r="192" spans="1:20" x14ac:dyDescent="0.25">
      <c r="A192" s="7" t="s">
        <v>247</v>
      </c>
      <c r="B192" s="10">
        <v>45716</v>
      </c>
      <c r="C192" s="11" t="s">
        <v>42</v>
      </c>
      <c r="D192" s="11" t="s">
        <v>23</v>
      </c>
      <c r="E192" s="7" t="s">
        <v>19</v>
      </c>
      <c r="F192" s="9">
        <v>62.5</v>
      </c>
      <c r="G192" s="9">
        <v>192.8</v>
      </c>
      <c r="H192" s="9">
        <v>15.6</v>
      </c>
      <c r="I192" s="9">
        <v>12.6</v>
      </c>
      <c r="J192" s="9">
        <v>0.16</v>
      </c>
      <c r="K192" s="9">
        <v>72.400000000000006</v>
      </c>
      <c r="L192" s="7">
        <v>30.2</v>
      </c>
      <c r="M192" s="7">
        <v>62.5</v>
      </c>
      <c r="N192" s="7">
        <v>1</v>
      </c>
      <c r="O192" s="7">
        <v>283</v>
      </c>
      <c r="P192" s="7" t="s">
        <v>28</v>
      </c>
      <c r="Q192" s="7" t="str">
        <f t="shared" si="8"/>
        <v>VeryUnhealthy</v>
      </c>
      <c r="R192" s="7" t="str">
        <f t="shared" si="9"/>
        <v>Hot</v>
      </c>
      <c r="S192" s="7" t="str">
        <f t="shared" si="10"/>
        <v>High Humidity</v>
      </c>
      <c r="T192" s="7" t="str">
        <f t="shared" si="11"/>
        <v>Low Wind</v>
      </c>
    </row>
    <row r="193" spans="1:20" x14ac:dyDescent="0.25">
      <c r="A193" s="7" t="s">
        <v>248</v>
      </c>
      <c r="B193" s="10">
        <v>45983</v>
      </c>
      <c r="C193" s="11" t="s">
        <v>30</v>
      </c>
      <c r="D193" s="11" t="s">
        <v>31</v>
      </c>
      <c r="E193" s="7" t="s">
        <v>27</v>
      </c>
      <c r="F193" s="9">
        <v>30.2</v>
      </c>
      <c r="G193" s="9">
        <v>57.6</v>
      </c>
      <c r="H193" s="9">
        <v>38</v>
      </c>
      <c r="I193" s="9">
        <v>20.8</v>
      </c>
      <c r="J193" s="9">
        <v>1.0900000000000001</v>
      </c>
      <c r="K193" s="9">
        <v>39.700000000000003</v>
      </c>
      <c r="L193" s="7">
        <v>35</v>
      </c>
      <c r="M193" s="7">
        <v>56.4</v>
      </c>
      <c r="N193" s="7">
        <v>1</v>
      </c>
      <c r="O193" s="7">
        <v>176</v>
      </c>
      <c r="P193" s="7" t="s">
        <v>33</v>
      </c>
      <c r="Q193" s="7" t="str">
        <f t="shared" si="8"/>
        <v>Moderate</v>
      </c>
      <c r="R193" s="7" t="str">
        <f t="shared" si="9"/>
        <v>Hot</v>
      </c>
      <c r="S193" s="7" t="str">
        <f t="shared" si="10"/>
        <v>Normal Humidity</v>
      </c>
      <c r="T193" s="7" t="str">
        <f t="shared" si="11"/>
        <v>Low Wind</v>
      </c>
    </row>
    <row r="194" spans="1:20" x14ac:dyDescent="0.25">
      <c r="A194" s="7" t="s">
        <v>249</v>
      </c>
      <c r="B194" s="10">
        <v>45771</v>
      </c>
      <c r="C194" s="11" t="s">
        <v>42</v>
      </c>
      <c r="D194" s="11" t="s">
        <v>23</v>
      </c>
      <c r="E194" s="7" t="s">
        <v>27</v>
      </c>
      <c r="F194" s="9">
        <v>52.6</v>
      </c>
      <c r="G194" s="9">
        <v>85.3</v>
      </c>
      <c r="H194" s="9">
        <v>56.6</v>
      </c>
      <c r="I194" s="9">
        <v>3</v>
      </c>
      <c r="J194" s="9">
        <v>0.43</v>
      </c>
      <c r="K194" s="9">
        <v>30.2</v>
      </c>
      <c r="L194" s="7">
        <v>24.4</v>
      </c>
      <c r="M194" s="7">
        <v>57.6</v>
      </c>
      <c r="N194" s="7">
        <v>3.6</v>
      </c>
      <c r="O194" s="7">
        <v>211</v>
      </c>
      <c r="P194" s="7" t="s">
        <v>28</v>
      </c>
      <c r="Q194" s="7" t="str">
        <f t="shared" si="8"/>
        <v>Moderate</v>
      </c>
      <c r="R194" s="7" t="str">
        <f t="shared" si="9"/>
        <v>Normal</v>
      </c>
      <c r="S194" s="7" t="str">
        <f t="shared" si="10"/>
        <v>Normal Humidity</v>
      </c>
      <c r="T194" s="7" t="str">
        <f t="shared" si="11"/>
        <v>Moderate Wind</v>
      </c>
    </row>
    <row r="195" spans="1:20" x14ac:dyDescent="0.25">
      <c r="A195" s="7" t="s">
        <v>250</v>
      </c>
      <c r="B195" s="10">
        <v>45834</v>
      </c>
      <c r="C195" s="11" t="s">
        <v>81</v>
      </c>
      <c r="D195" s="11" t="s">
        <v>39</v>
      </c>
      <c r="E195" s="7" t="s">
        <v>27</v>
      </c>
      <c r="F195" s="9">
        <v>94.2</v>
      </c>
      <c r="G195" s="9">
        <v>104.7</v>
      </c>
      <c r="H195" s="9">
        <v>43.9</v>
      </c>
      <c r="I195" s="9">
        <v>24.7</v>
      </c>
      <c r="J195" s="9">
        <v>0.57999999999999996</v>
      </c>
      <c r="K195" s="9">
        <v>45.5</v>
      </c>
      <c r="L195" s="7">
        <v>28.4</v>
      </c>
      <c r="M195" s="7">
        <v>94.9</v>
      </c>
      <c r="N195" s="7">
        <v>3.9</v>
      </c>
      <c r="O195" s="7">
        <v>306</v>
      </c>
      <c r="P195" s="7" t="s">
        <v>20</v>
      </c>
      <c r="Q195" s="7" t="str">
        <f t="shared" ref="Q195:Q258" si="12">IF(G195&lt;50,"Good",IF(G195&lt;=100,"Moderate",IF(G195&lt;=150,"Unhealthy","VeryUnhealthy")))</f>
        <v>Unhealthy</v>
      </c>
      <c r="R195" s="7" t="str">
        <f t="shared" ref="R195:R258" si="13">IF(L195&lt;20,"Cool",IF(L195&lt;=30,"Normal","Hot"))</f>
        <v>Normal</v>
      </c>
      <c r="S195" s="7" t="str">
        <f t="shared" ref="S195:S258" si="14">IF(M195&lt;30,"Low Humidity",IF(M195&lt;=60,"Normal Humidity","High Humidity"))</f>
        <v>High Humidity</v>
      </c>
      <c r="T195" s="7" t="str">
        <f t="shared" ref="T195:T258" si="15">IF(N195&lt;2,"Low Wind",IF(N195&lt;=5,"Moderate Wind","High Wind"))</f>
        <v>Moderate Wind</v>
      </c>
    </row>
    <row r="196" spans="1:20" x14ac:dyDescent="0.25">
      <c r="A196" s="7" t="s">
        <v>251</v>
      </c>
      <c r="B196" s="10">
        <v>45816</v>
      </c>
      <c r="C196" s="11" t="s">
        <v>50</v>
      </c>
      <c r="D196" s="11" t="s">
        <v>31</v>
      </c>
      <c r="E196" s="7" t="s">
        <v>61</v>
      </c>
      <c r="F196" s="9">
        <v>63.9</v>
      </c>
      <c r="G196" s="9">
        <v>53.7</v>
      </c>
      <c r="H196" s="9">
        <v>38.200000000000003</v>
      </c>
      <c r="I196" s="9">
        <v>19.2</v>
      </c>
      <c r="J196" s="9">
        <v>0.21</v>
      </c>
      <c r="K196" s="9">
        <v>41.1</v>
      </c>
      <c r="L196" s="7">
        <v>23.6</v>
      </c>
      <c r="M196" s="7">
        <v>66.900000000000006</v>
      </c>
      <c r="N196" s="7">
        <v>2</v>
      </c>
      <c r="O196" s="7">
        <v>205</v>
      </c>
      <c r="P196" s="7" t="s">
        <v>28</v>
      </c>
      <c r="Q196" s="7" t="str">
        <f t="shared" si="12"/>
        <v>Moderate</v>
      </c>
      <c r="R196" s="7" t="str">
        <f t="shared" si="13"/>
        <v>Normal</v>
      </c>
      <c r="S196" s="7" t="str">
        <f t="shared" si="14"/>
        <v>High Humidity</v>
      </c>
      <c r="T196" s="7" t="str">
        <f t="shared" si="15"/>
        <v>Moderate Wind</v>
      </c>
    </row>
    <row r="197" spans="1:20" x14ac:dyDescent="0.25">
      <c r="A197" s="7" t="s">
        <v>252</v>
      </c>
      <c r="B197" s="10">
        <v>45800</v>
      </c>
      <c r="C197" s="11" t="s">
        <v>54</v>
      </c>
      <c r="D197" s="11" t="s">
        <v>18</v>
      </c>
      <c r="E197" s="7" t="s">
        <v>68</v>
      </c>
      <c r="F197" s="9">
        <v>90.4</v>
      </c>
      <c r="G197" s="9">
        <v>132.80000000000001</v>
      </c>
      <c r="H197" s="9">
        <v>48.4</v>
      </c>
      <c r="I197" s="9">
        <v>15.7</v>
      </c>
      <c r="J197" s="9">
        <v>1.71</v>
      </c>
      <c r="K197" s="9">
        <v>31.5</v>
      </c>
      <c r="L197" s="7">
        <v>35.4</v>
      </c>
      <c r="M197" s="7">
        <v>66.5</v>
      </c>
      <c r="N197" s="7">
        <v>3</v>
      </c>
      <c r="O197" s="7">
        <v>338</v>
      </c>
      <c r="P197" s="7" t="s">
        <v>20</v>
      </c>
      <c r="Q197" s="7" t="str">
        <f t="shared" si="12"/>
        <v>Unhealthy</v>
      </c>
      <c r="R197" s="7" t="str">
        <f t="shared" si="13"/>
        <v>Hot</v>
      </c>
      <c r="S197" s="7" t="str">
        <f t="shared" si="14"/>
        <v>High Humidity</v>
      </c>
      <c r="T197" s="7" t="str">
        <f t="shared" si="15"/>
        <v>Moderate Wind</v>
      </c>
    </row>
    <row r="198" spans="1:20" x14ac:dyDescent="0.25">
      <c r="A198" s="7" t="s">
        <v>253</v>
      </c>
      <c r="B198" s="10">
        <v>45882</v>
      </c>
      <c r="C198" s="11" t="s">
        <v>67</v>
      </c>
      <c r="D198" s="11" t="s">
        <v>18</v>
      </c>
      <c r="E198" s="7" t="s">
        <v>74</v>
      </c>
      <c r="F198" s="9">
        <v>16.899999999999999</v>
      </c>
      <c r="G198" s="9">
        <v>80.7</v>
      </c>
      <c r="H198" s="9">
        <v>21.6</v>
      </c>
      <c r="I198" s="9">
        <v>17.5</v>
      </c>
      <c r="J198" s="9">
        <v>0.95</v>
      </c>
      <c r="K198" s="9">
        <v>23.3</v>
      </c>
      <c r="L198" s="7">
        <v>34</v>
      </c>
      <c r="M198" s="7">
        <v>41</v>
      </c>
      <c r="N198" s="7">
        <v>1.5</v>
      </c>
      <c r="O198" s="7">
        <v>143</v>
      </c>
      <c r="P198" s="7" t="s">
        <v>33</v>
      </c>
      <c r="Q198" s="7" t="str">
        <f t="shared" si="12"/>
        <v>Moderate</v>
      </c>
      <c r="R198" s="7" t="str">
        <f t="shared" si="13"/>
        <v>Hot</v>
      </c>
      <c r="S198" s="7" t="str">
        <f t="shared" si="14"/>
        <v>Normal Humidity</v>
      </c>
      <c r="T198" s="7" t="str">
        <f t="shared" si="15"/>
        <v>Low Wind</v>
      </c>
    </row>
    <row r="199" spans="1:20" x14ac:dyDescent="0.25">
      <c r="A199" s="7" t="s">
        <v>254</v>
      </c>
      <c r="B199" s="10">
        <v>45962</v>
      </c>
      <c r="C199" s="11" t="s">
        <v>93</v>
      </c>
      <c r="D199" s="11" t="s">
        <v>36</v>
      </c>
      <c r="E199" s="7" t="s">
        <v>74</v>
      </c>
      <c r="F199" s="9">
        <v>12.8</v>
      </c>
      <c r="G199" s="9">
        <v>42.3</v>
      </c>
      <c r="H199" s="9">
        <v>18</v>
      </c>
      <c r="I199" s="9">
        <v>4.8</v>
      </c>
      <c r="J199" s="9">
        <v>0.66</v>
      </c>
      <c r="K199" s="9">
        <v>53.7</v>
      </c>
      <c r="L199" s="7">
        <v>33.5</v>
      </c>
      <c r="M199" s="7">
        <v>73.5</v>
      </c>
      <c r="N199" s="7">
        <v>2.8</v>
      </c>
      <c r="O199" s="7">
        <v>106</v>
      </c>
      <c r="P199" s="7" t="s">
        <v>33</v>
      </c>
      <c r="Q199" s="7" t="str">
        <f t="shared" si="12"/>
        <v>Good</v>
      </c>
      <c r="R199" s="7" t="str">
        <f t="shared" si="13"/>
        <v>Hot</v>
      </c>
      <c r="S199" s="7" t="str">
        <f t="shared" si="14"/>
        <v>High Humidity</v>
      </c>
      <c r="T199" s="7" t="str">
        <f t="shared" si="15"/>
        <v>Moderate Wind</v>
      </c>
    </row>
    <row r="200" spans="1:20" x14ac:dyDescent="0.25">
      <c r="A200" s="7" t="s">
        <v>255</v>
      </c>
      <c r="B200" s="10">
        <v>45746</v>
      </c>
      <c r="C200" s="11" t="s">
        <v>50</v>
      </c>
      <c r="D200" s="11" t="s">
        <v>31</v>
      </c>
      <c r="E200" s="7" t="s">
        <v>24</v>
      </c>
      <c r="F200" s="9">
        <v>19.5</v>
      </c>
      <c r="G200" s="9">
        <v>65.099999999999994</v>
      </c>
      <c r="H200" s="9">
        <v>28.4</v>
      </c>
      <c r="I200" s="9">
        <v>22.5</v>
      </c>
      <c r="J200" s="9">
        <v>0.56000000000000005</v>
      </c>
      <c r="K200" s="9">
        <v>24.6</v>
      </c>
      <c r="L200" s="7">
        <v>36.200000000000003</v>
      </c>
      <c r="M200" s="7">
        <v>73.099999999999994</v>
      </c>
      <c r="N200" s="7">
        <v>1.5</v>
      </c>
      <c r="O200" s="7">
        <v>137</v>
      </c>
      <c r="P200" s="7" t="s">
        <v>33</v>
      </c>
      <c r="Q200" s="7" t="str">
        <f t="shared" si="12"/>
        <v>Moderate</v>
      </c>
      <c r="R200" s="7" t="str">
        <f t="shared" si="13"/>
        <v>Hot</v>
      </c>
      <c r="S200" s="7" t="str">
        <f t="shared" si="14"/>
        <v>High Humidity</v>
      </c>
      <c r="T200" s="7" t="str">
        <f t="shared" si="15"/>
        <v>Low Wind</v>
      </c>
    </row>
    <row r="201" spans="1:20" x14ac:dyDescent="0.25">
      <c r="A201" s="7" t="s">
        <v>256</v>
      </c>
      <c r="B201" s="10">
        <v>45672</v>
      </c>
      <c r="C201" s="11" t="s">
        <v>77</v>
      </c>
      <c r="D201" s="11" t="s">
        <v>39</v>
      </c>
      <c r="E201" s="7" t="s">
        <v>97</v>
      </c>
      <c r="F201" s="9">
        <v>26.9</v>
      </c>
      <c r="G201" s="9">
        <v>106.5</v>
      </c>
      <c r="H201" s="9">
        <v>30.6</v>
      </c>
      <c r="I201" s="9">
        <v>15.1</v>
      </c>
      <c r="J201" s="9">
        <v>1.66</v>
      </c>
      <c r="K201" s="9">
        <v>6.2</v>
      </c>
      <c r="L201" s="7">
        <v>22.6</v>
      </c>
      <c r="M201" s="7">
        <v>54.5</v>
      </c>
      <c r="N201" s="7">
        <v>1.9</v>
      </c>
      <c r="O201" s="7">
        <v>192</v>
      </c>
      <c r="P201" s="7" t="s">
        <v>33</v>
      </c>
      <c r="Q201" s="7" t="str">
        <f t="shared" si="12"/>
        <v>Unhealthy</v>
      </c>
      <c r="R201" s="7" t="str">
        <f t="shared" si="13"/>
        <v>Normal</v>
      </c>
      <c r="S201" s="7" t="str">
        <f t="shared" si="14"/>
        <v>Normal Humidity</v>
      </c>
      <c r="T201" s="7" t="str">
        <f t="shared" si="15"/>
        <v>Low Wind</v>
      </c>
    </row>
    <row r="202" spans="1:20" x14ac:dyDescent="0.25">
      <c r="A202" s="7" t="s">
        <v>257</v>
      </c>
      <c r="B202" s="10">
        <v>45923</v>
      </c>
      <c r="C202" s="11" t="s">
        <v>52</v>
      </c>
      <c r="D202" s="11" t="s">
        <v>31</v>
      </c>
      <c r="E202" s="7" t="s">
        <v>43</v>
      </c>
      <c r="F202" s="9">
        <v>64.8</v>
      </c>
      <c r="G202" s="9">
        <v>69.7</v>
      </c>
      <c r="H202" s="9">
        <v>9.4</v>
      </c>
      <c r="I202" s="9">
        <v>44.9</v>
      </c>
      <c r="J202" s="9">
        <v>0.83</v>
      </c>
      <c r="K202" s="9">
        <v>48.6</v>
      </c>
      <c r="L202" s="7">
        <v>20.3</v>
      </c>
      <c r="M202" s="7">
        <v>96.2</v>
      </c>
      <c r="N202" s="7">
        <v>1.4</v>
      </c>
      <c r="O202" s="7">
        <v>231</v>
      </c>
      <c r="P202" s="7" t="s">
        <v>28</v>
      </c>
      <c r="Q202" s="7" t="str">
        <f t="shared" si="12"/>
        <v>Moderate</v>
      </c>
      <c r="R202" s="7" t="str">
        <f t="shared" si="13"/>
        <v>Normal</v>
      </c>
      <c r="S202" s="7" t="str">
        <f t="shared" si="14"/>
        <v>High Humidity</v>
      </c>
      <c r="T202" s="7" t="str">
        <f t="shared" si="15"/>
        <v>Low Wind</v>
      </c>
    </row>
    <row r="203" spans="1:20" x14ac:dyDescent="0.25">
      <c r="A203" s="7" t="s">
        <v>258</v>
      </c>
      <c r="B203" s="10">
        <v>45876</v>
      </c>
      <c r="C203" s="11" t="s">
        <v>17</v>
      </c>
      <c r="D203" s="11" t="s">
        <v>18</v>
      </c>
      <c r="E203" s="7" t="s">
        <v>55</v>
      </c>
      <c r="F203" s="9">
        <v>58.8</v>
      </c>
      <c r="G203" s="9">
        <v>56.5</v>
      </c>
      <c r="H203" s="9">
        <v>52.2</v>
      </c>
      <c r="I203" s="9">
        <v>15.8</v>
      </c>
      <c r="J203" s="9">
        <v>0.08</v>
      </c>
      <c r="K203" s="9">
        <v>54.3</v>
      </c>
      <c r="L203" s="7">
        <v>25.5</v>
      </c>
      <c r="M203" s="7">
        <v>80.3</v>
      </c>
      <c r="N203" s="7">
        <v>1.7</v>
      </c>
      <c r="O203" s="7">
        <v>210</v>
      </c>
      <c r="P203" s="7" t="s">
        <v>28</v>
      </c>
      <c r="Q203" s="7" t="str">
        <f t="shared" si="12"/>
        <v>Moderate</v>
      </c>
      <c r="R203" s="7" t="str">
        <f t="shared" si="13"/>
        <v>Normal</v>
      </c>
      <c r="S203" s="7" t="str">
        <f t="shared" si="14"/>
        <v>High Humidity</v>
      </c>
      <c r="T203" s="7" t="str">
        <f t="shared" si="15"/>
        <v>Low Wind</v>
      </c>
    </row>
    <row r="204" spans="1:20" x14ac:dyDescent="0.25">
      <c r="A204" s="7" t="s">
        <v>259</v>
      </c>
      <c r="B204" s="10">
        <v>45821</v>
      </c>
      <c r="C204" s="11" t="s">
        <v>38</v>
      </c>
      <c r="D204" s="11" t="s">
        <v>39</v>
      </c>
      <c r="E204" s="7" t="s">
        <v>58</v>
      </c>
      <c r="F204" s="9">
        <v>6.1</v>
      </c>
      <c r="G204" s="9">
        <v>87.4</v>
      </c>
      <c r="H204" s="9">
        <v>15.6</v>
      </c>
      <c r="I204" s="9">
        <v>7.5</v>
      </c>
      <c r="J204" s="9">
        <v>0.35</v>
      </c>
      <c r="K204" s="9">
        <v>16.399999999999999</v>
      </c>
      <c r="L204" s="7">
        <v>33.5</v>
      </c>
      <c r="M204" s="7">
        <v>33.9</v>
      </c>
      <c r="N204" s="7">
        <v>2</v>
      </c>
      <c r="O204" s="7">
        <v>100</v>
      </c>
      <c r="P204" s="7" t="s">
        <v>71</v>
      </c>
      <c r="Q204" s="7" t="str">
        <f t="shared" si="12"/>
        <v>Moderate</v>
      </c>
      <c r="R204" s="7" t="str">
        <f t="shared" si="13"/>
        <v>Hot</v>
      </c>
      <c r="S204" s="7" t="str">
        <f t="shared" si="14"/>
        <v>Normal Humidity</v>
      </c>
      <c r="T204" s="7" t="str">
        <f t="shared" si="15"/>
        <v>Moderate Wind</v>
      </c>
    </row>
    <row r="205" spans="1:20" x14ac:dyDescent="0.25">
      <c r="A205" s="7" t="s">
        <v>260</v>
      </c>
      <c r="B205" s="10">
        <v>46012</v>
      </c>
      <c r="C205" s="11" t="s">
        <v>22</v>
      </c>
      <c r="D205" s="11" t="s">
        <v>23</v>
      </c>
      <c r="E205" s="7" t="s">
        <v>68</v>
      </c>
      <c r="F205" s="9">
        <v>57.9</v>
      </c>
      <c r="G205" s="9">
        <v>85.9</v>
      </c>
      <c r="H205" s="9">
        <v>18.8</v>
      </c>
      <c r="I205" s="9">
        <v>7.8</v>
      </c>
      <c r="J205" s="9">
        <v>0.09</v>
      </c>
      <c r="K205" s="9">
        <v>15</v>
      </c>
      <c r="L205" s="7">
        <v>35</v>
      </c>
      <c r="M205" s="7">
        <v>40.799999999999997</v>
      </c>
      <c r="N205" s="7">
        <v>1.5</v>
      </c>
      <c r="O205" s="7">
        <v>178</v>
      </c>
      <c r="P205" s="7" t="s">
        <v>33</v>
      </c>
      <c r="Q205" s="7" t="str">
        <f t="shared" si="12"/>
        <v>Moderate</v>
      </c>
      <c r="R205" s="7" t="str">
        <f t="shared" si="13"/>
        <v>Hot</v>
      </c>
      <c r="S205" s="7" t="str">
        <f t="shared" si="14"/>
        <v>Normal Humidity</v>
      </c>
      <c r="T205" s="7" t="str">
        <f t="shared" si="15"/>
        <v>Low Wind</v>
      </c>
    </row>
    <row r="206" spans="1:20" x14ac:dyDescent="0.25">
      <c r="A206" s="7" t="s">
        <v>261</v>
      </c>
      <c r="B206" s="10">
        <v>45780</v>
      </c>
      <c r="C206" s="11" t="s">
        <v>50</v>
      </c>
      <c r="D206" s="11" t="s">
        <v>31</v>
      </c>
      <c r="E206" s="7" t="s">
        <v>40</v>
      </c>
      <c r="F206" s="9">
        <v>64.5</v>
      </c>
      <c r="G206" s="9">
        <v>165.2</v>
      </c>
      <c r="H206" s="9">
        <v>22.7</v>
      </c>
      <c r="I206" s="9">
        <v>26.2</v>
      </c>
      <c r="J206" s="9">
        <v>0.71</v>
      </c>
      <c r="K206" s="9">
        <v>9.6999999999999993</v>
      </c>
      <c r="L206" s="7">
        <v>24.3</v>
      </c>
      <c r="M206" s="7">
        <v>50.5</v>
      </c>
      <c r="N206" s="7">
        <v>2.2999999999999998</v>
      </c>
      <c r="O206" s="7">
        <v>269</v>
      </c>
      <c r="P206" s="7" t="s">
        <v>28</v>
      </c>
      <c r="Q206" s="7" t="str">
        <f t="shared" si="12"/>
        <v>VeryUnhealthy</v>
      </c>
      <c r="R206" s="7" t="str">
        <f t="shared" si="13"/>
        <v>Normal</v>
      </c>
      <c r="S206" s="7" t="str">
        <f t="shared" si="14"/>
        <v>Normal Humidity</v>
      </c>
      <c r="T206" s="7" t="str">
        <f t="shared" si="15"/>
        <v>Moderate Wind</v>
      </c>
    </row>
    <row r="207" spans="1:20" x14ac:dyDescent="0.25">
      <c r="A207" s="7" t="s">
        <v>262</v>
      </c>
      <c r="B207" s="10">
        <v>45814</v>
      </c>
      <c r="C207" s="11" t="s">
        <v>77</v>
      </c>
      <c r="D207" s="11" t="s">
        <v>39</v>
      </c>
      <c r="E207" s="7" t="s">
        <v>24</v>
      </c>
      <c r="F207" s="9">
        <v>48</v>
      </c>
      <c r="G207" s="9">
        <v>144.19999999999999</v>
      </c>
      <c r="H207" s="9">
        <v>70</v>
      </c>
      <c r="I207" s="9">
        <v>17.899999999999999</v>
      </c>
      <c r="J207" s="9">
        <v>0.69</v>
      </c>
      <c r="K207" s="9">
        <v>34.5</v>
      </c>
      <c r="L207" s="7">
        <v>26</v>
      </c>
      <c r="M207" s="7">
        <v>62.7</v>
      </c>
      <c r="N207" s="7">
        <v>2.9</v>
      </c>
      <c r="O207" s="7">
        <v>272</v>
      </c>
      <c r="P207" s="7" t="s">
        <v>28</v>
      </c>
      <c r="Q207" s="7" t="str">
        <f t="shared" si="12"/>
        <v>Unhealthy</v>
      </c>
      <c r="R207" s="7" t="str">
        <f t="shared" si="13"/>
        <v>Normal</v>
      </c>
      <c r="S207" s="7" t="str">
        <f t="shared" si="14"/>
        <v>High Humidity</v>
      </c>
      <c r="T207" s="7" t="str">
        <f t="shared" si="15"/>
        <v>Moderate Wind</v>
      </c>
    </row>
    <row r="208" spans="1:20" x14ac:dyDescent="0.25">
      <c r="A208" s="7" t="s">
        <v>264</v>
      </c>
      <c r="B208" s="10">
        <v>45971</v>
      </c>
      <c r="C208" s="11" t="s">
        <v>22</v>
      </c>
      <c r="D208" s="11" t="s">
        <v>23</v>
      </c>
      <c r="E208" s="7" t="s">
        <v>70</v>
      </c>
      <c r="F208" s="9">
        <v>42.2</v>
      </c>
      <c r="G208" s="9">
        <v>97.7</v>
      </c>
      <c r="H208" s="9">
        <v>58</v>
      </c>
      <c r="I208" s="9">
        <v>7.5</v>
      </c>
      <c r="J208" s="9">
        <v>0.54</v>
      </c>
      <c r="K208" s="9">
        <v>44.2</v>
      </c>
      <c r="L208" s="7">
        <v>27.4</v>
      </c>
      <c r="M208" s="7">
        <v>70.7</v>
      </c>
      <c r="N208" s="7">
        <v>3.1</v>
      </c>
      <c r="O208" s="7">
        <v>216</v>
      </c>
      <c r="P208" s="7" t="s">
        <v>28</v>
      </c>
      <c r="Q208" s="7" t="str">
        <f t="shared" si="12"/>
        <v>Moderate</v>
      </c>
      <c r="R208" s="7" t="str">
        <f t="shared" si="13"/>
        <v>Normal</v>
      </c>
      <c r="S208" s="7" t="str">
        <f t="shared" si="14"/>
        <v>High Humidity</v>
      </c>
      <c r="T208" s="7" t="str">
        <f t="shared" si="15"/>
        <v>Moderate Wind</v>
      </c>
    </row>
    <row r="209" spans="1:20" x14ac:dyDescent="0.25">
      <c r="A209" s="7" t="s">
        <v>265</v>
      </c>
      <c r="B209" s="10">
        <v>45768</v>
      </c>
      <c r="C209" s="11" t="s">
        <v>99</v>
      </c>
      <c r="D209" s="11" t="s">
        <v>36</v>
      </c>
      <c r="E209" s="7" t="s">
        <v>70</v>
      </c>
      <c r="F209" s="9">
        <v>18.600000000000001</v>
      </c>
      <c r="G209" s="9">
        <v>61.2</v>
      </c>
      <c r="H209" s="9">
        <v>14</v>
      </c>
      <c r="I209" s="9">
        <v>14.5</v>
      </c>
      <c r="J209" s="9">
        <v>0.43</v>
      </c>
      <c r="K209" s="9">
        <v>28.4</v>
      </c>
      <c r="L209" s="7">
        <v>25.7</v>
      </c>
      <c r="M209" s="7">
        <v>78.599999999999994</v>
      </c>
      <c r="N209" s="7">
        <v>1.4</v>
      </c>
      <c r="O209" s="7">
        <v>114</v>
      </c>
      <c r="P209" s="7" t="s">
        <v>33</v>
      </c>
      <c r="Q209" s="7" t="str">
        <f t="shared" si="12"/>
        <v>Moderate</v>
      </c>
      <c r="R209" s="7" t="str">
        <f t="shared" si="13"/>
        <v>Normal</v>
      </c>
      <c r="S209" s="7" t="str">
        <f t="shared" si="14"/>
        <v>High Humidity</v>
      </c>
      <c r="T209" s="7" t="str">
        <f t="shared" si="15"/>
        <v>Low Wind</v>
      </c>
    </row>
    <row r="210" spans="1:20" x14ac:dyDescent="0.25">
      <c r="A210" s="7" t="s">
        <v>266</v>
      </c>
      <c r="B210" s="10">
        <v>46019</v>
      </c>
      <c r="C210" s="11" t="s">
        <v>22</v>
      </c>
      <c r="D210" s="11" t="s">
        <v>23</v>
      </c>
      <c r="E210" s="7" t="s">
        <v>32</v>
      </c>
      <c r="F210" s="9">
        <v>54.3</v>
      </c>
      <c r="G210" s="9">
        <v>90</v>
      </c>
      <c r="H210" s="9">
        <v>42.2</v>
      </c>
      <c r="I210" s="9">
        <v>14.3</v>
      </c>
      <c r="J210" s="9">
        <v>0.88</v>
      </c>
      <c r="K210" s="9">
        <v>46.9</v>
      </c>
      <c r="L210" s="7">
        <v>14.1</v>
      </c>
      <c r="M210" s="7">
        <v>67.3</v>
      </c>
      <c r="N210" s="7">
        <v>3.3</v>
      </c>
      <c r="O210" s="7">
        <v>232</v>
      </c>
      <c r="P210" s="7" t="s">
        <v>28</v>
      </c>
      <c r="Q210" s="7" t="str">
        <f t="shared" si="12"/>
        <v>Moderate</v>
      </c>
      <c r="R210" s="7" t="str">
        <f t="shared" si="13"/>
        <v>Cool</v>
      </c>
      <c r="S210" s="7" t="str">
        <f t="shared" si="14"/>
        <v>High Humidity</v>
      </c>
      <c r="T210" s="7" t="str">
        <f t="shared" si="15"/>
        <v>Moderate Wind</v>
      </c>
    </row>
    <row r="211" spans="1:20" x14ac:dyDescent="0.25">
      <c r="A211" s="7" t="s">
        <v>267</v>
      </c>
      <c r="B211" s="10">
        <v>45793</v>
      </c>
      <c r="C211" s="11" t="s">
        <v>50</v>
      </c>
      <c r="D211" s="11" t="s">
        <v>31</v>
      </c>
      <c r="E211" s="7" t="s">
        <v>58</v>
      </c>
      <c r="F211" s="9">
        <v>27.4</v>
      </c>
      <c r="G211" s="9">
        <v>114.7</v>
      </c>
      <c r="H211" s="9">
        <v>20.9</v>
      </c>
      <c r="I211" s="9">
        <v>6.9</v>
      </c>
      <c r="J211" s="9">
        <v>0.3</v>
      </c>
      <c r="K211" s="9">
        <v>19</v>
      </c>
      <c r="L211" s="7">
        <v>28.8</v>
      </c>
      <c r="M211" s="7">
        <v>68.599999999999994</v>
      </c>
      <c r="N211" s="7">
        <v>2.2999999999999998</v>
      </c>
      <c r="O211" s="7">
        <v>156</v>
      </c>
      <c r="P211" s="7" t="s">
        <v>33</v>
      </c>
      <c r="Q211" s="7" t="str">
        <f t="shared" si="12"/>
        <v>Unhealthy</v>
      </c>
      <c r="R211" s="7" t="str">
        <f t="shared" si="13"/>
        <v>Normal</v>
      </c>
      <c r="S211" s="7" t="str">
        <f t="shared" si="14"/>
        <v>High Humidity</v>
      </c>
      <c r="T211" s="7" t="str">
        <f t="shared" si="15"/>
        <v>Moderate Wind</v>
      </c>
    </row>
    <row r="212" spans="1:20" x14ac:dyDescent="0.25">
      <c r="A212" s="7" t="s">
        <v>268</v>
      </c>
      <c r="B212" s="10">
        <v>45925</v>
      </c>
      <c r="C212" s="11" t="s">
        <v>35</v>
      </c>
      <c r="D212" s="11" t="s">
        <v>36</v>
      </c>
      <c r="E212" s="7" t="s">
        <v>45</v>
      </c>
      <c r="F212" s="9">
        <v>85.9</v>
      </c>
      <c r="G212" s="9">
        <v>74</v>
      </c>
      <c r="H212" s="9">
        <v>14.1</v>
      </c>
      <c r="I212" s="9">
        <v>10.7</v>
      </c>
      <c r="J212" s="9">
        <v>0.73</v>
      </c>
      <c r="K212" s="9">
        <v>37.5</v>
      </c>
      <c r="L212" s="7">
        <v>26</v>
      </c>
      <c r="M212" s="7">
        <v>76.8</v>
      </c>
      <c r="N212" s="7">
        <v>2.2000000000000002</v>
      </c>
      <c r="O212" s="7">
        <v>239</v>
      </c>
      <c r="P212" s="7" t="s">
        <v>28</v>
      </c>
      <c r="Q212" s="7" t="str">
        <f t="shared" si="12"/>
        <v>Moderate</v>
      </c>
      <c r="R212" s="7" t="str">
        <f t="shared" si="13"/>
        <v>Normal</v>
      </c>
      <c r="S212" s="7" t="str">
        <f t="shared" si="14"/>
        <v>High Humidity</v>
      </c>
      <c r="T212" s="7" t="str">
        <f t="shared" si="15"/>
        <v>Moderate Wind</v>
      </c>
    </row>
    <row r="213" spans="1:20" x14ac:dyDescent="0.25">
      <c r="A213" s="7" t="s">
        <v>269</v>
      </c>
      <c r="B213" s="10">
        <v>45867</v>
      </c>
      <c r="C213" s="11" t="s">
        <v>42</v>
      </c>
      <c r="D213" s="11" t="s">
        <v>23</v>
      </c>
      <c r="E213" s="7" t="s">
        <v>27</v>
      </c>
      <c r="F213" s="9">
        <v>36.200000000000003</v>
      </c>
      <c r="G213" s="9">
        <v>74.3</v>
      </c>
      <c r="H213" s="9">
        <v>27.2</v>
      </c>
      <c r="I213" s="9">
        <v>8.1</v>
      </c>
      <c r="J213" s="9">
        <v>0.73</v>
      </c>
      <c r="K213" s="9">
        <v>9.8000000000000007</v>
      </c>
      <c r="L213" s="7">
        <v>27.4</v>
      </c>
      <c r="M213" s="7">
        <v>78.099999999999994</v>
      </c>
      <c r="N213" s="7">
        <v>1.1000000000000001</v>
      </c>
      <c r="O213" s="7">
        <v>156</v>
      </c>
      <c r="P213" s="7" t="s">
        <v>33</v>
      </c>
      <c r="Q213" s="7" t="str">
        <f t="shared" si="12"/>
        <v>Moderate</v>
      </c>
      <c r="R213" s="7" t="str">
        <f t="shared" si="13"/>
        <v>Normal</v>
      </c>
      <c r="S213" s="7" t="str">
        <f t="shared" si="14"/>
        <v>High Humidity</v>
      </c>
      <c r="T213" s="7" t="str">
        <f t="shared" si="15"/>
        <v>Low Wind</v>
      </c>
    </row>
    <row r="214" spans="1:20" x14ac:dyDescent="0.25">
      <c r="A214" s="7" t="s">
        <v>270</v>
      </c>
      <c r="B214" s="10">
        <v>45941</v>
      </c>
      <c r="C214" s="11" t="s">
        <v>64</v>
      </c>
      <c r="D214" s="11" t="s">
        <v>36</v>
      </c>
      <c r="E214" s="7" t="s">
        <v>61</v>
      </c>
      <c r="F214" s="9">
        <v>51.4</v>
      </c>
      <c r="G214" s="9">
        <v>78</v>
      </c>
      <c r="H214" s="9">
        <v>41.5</v>
      </c>
      <c r="I214" s="9">
        <v>5.7</v>
      </c>
      <c r="J214" s="9">
        <v>0.43</v>
      </c>
      <c r="K214" s="9">
        <v>29.9</v>
      </c>
      <c r="L214" s="7">
        <v>34.200000000000003</v>
      </c>
      <c r="M214" s="7">
        <v>66.5</v>
      </c>
      <c r="N214" s="7">
        <v>2.4</v>
      </c>
      <c r="O214" s="7">
        <v>194</v>
      </c>
      <c r="P214" s="7" t="s">
        <v>33</v>
      </c>
      <c r="Q214" s="7" t="str">
        <f t="shared" si="12"/>
        <v>Moderate</v>
      </c>
      <c r="R214" s="7" t="str">
        <f t="shared" si="13"/>
        <v>Hot</v>
      </c>
      <c r="S214" s="7" t="str">
        <f t="shared" si="14"/>
        <v>High Humidity</v>
      </c>
      <c r="T214" s="7" t="str">
        <f t="shared" si="15"/>
        <v>Moderate Wind</v>
      </c>
    </row>
    <row r="215" spans="1:20" x14ac:dyDescent="0.25">
      <c r="A215" s="7" t="s">
        <v>271</v>
      </c>
      <c r="B215" s="10">
        <v>45979</v>
      </c>
      <c r="C215" s="11" t="s">
        <v>77</v>
      </c>
      <c r="D215" s="11" t="s">
        <v>39</v>
      </c>
      <c r="E215" s="7" t="s">
        <v>40</v>
      </c>
      <c r="F215" s="9">
        <v>43.9</v>
      </c>
      <c r="G215" s="9">
        <v>119</v>
      </c>
      <c r="H215" s="9">
        <v>27.3</v>
      </c>
      <c r="I215" s="9">
        <v>8.1999999999999993</v>
      </c>
      <c r="J215" s="9">
        <v>1.07</v>
      </c>
      <c r="K215" s="9">
        <v>33.9</v>
      </c>
      <c r="L215" s="7">
        <v>24.4</v>
      </c>
      <c r="M215" s="7">
        <v>82.8</v>
      </c>
      <c r="N215" s="7">
        <v>2.8</v>
      </c>
      <c r="O215" s="7">
        <v>217</v>
      </c>
      <c r="P215" s="7" t="s">
        <v>28</v>
      </c>
      <c r="Q215" s="7" t="str">
        <f t="shared" si="12"/>
        <v>Unhealthy</v>
      </c>
      <c r="R215" s="7" t="str">
        <f t="shared" si="13"/>
        <v>Normal</v>
      </c>
      <c r="S215" s="7" t="str">
        <f t="shared" si="14"/>
        <v>High Humidity</v>
      </c>
      <c r="T215" s="7" t="str">
        <f t="shared" si="15"/>
        <v>Moderate Wind</v>
      </c>
    </row>
    <row r="216" spans="1:20" x14ac:dyDescent="0.25">
      <c r="A216" s="7" t="s">
        <v>272</v>
      </c>
      <c r="B216" s="10">
        <v>45714</v>
      </c>
      <c r="C216" s="11" t="s">
        <v>77</v>
      </c>
      <c r="D216" s="11" t="s">
        <v>39</v>
      </c>
      <c r="E216" s="7" t="s">
        <v>27</v>
      </c>
      <c r="F216" s="9">
        <v>37.5</v>
      </c>
      <c r="G216" s="9">
        <v>71.3</v>
      </c>
      <c r="H216" s="9">
        <v>16.3</v>
      </c>
      <c r="I216" s="9">
        <v>6.9</v>
      </c>
      <c r="J216" s="9">
        <v>0.85</v>
      </c>
      <c r="K216" s="9">
        <v>37.299999999999997</v>
      </c>
      <c r="L216" s="7">
        <v>26.3</v>
      </c>
      <c r="M216" s="7">
        <v>74.7</v>
      </c>
      <c r="N216" s="7">
        <v>1.5</v>
      </c>
      <c r="O216" s="7">
        <v>162</v>
      </c>
      <c r="P216" s="7" t="s">
        <v>33</v>
      </c>
      <c r="Q216" s="7" t="str">
        <f t="shared" si="12"/>
        <v>Moderate</v>
      </c>
      <c r="R216" s="7" t="str">
        <f t="shared" si="13"/>
        <v>Normal</v>
      </c>
      <c r="S216" s="7" t="str">
        <f t="shared" si="14"/>
        <v>High Humidity</v>
      </c>
      <c r="T216" s="7" t="str">
        <f t="shared" si="15"/>
        <v>Low Wind</v>
      </c>
    </row>
    <row r="217" spans="1:20" x14ac:dyDescent="0.25">
      <c r="A217" s="7" t="s">
        <v>273</v>
      </c>
      <c r="B217" s="10">
        <v>45924</v>
      </c>
      <c r="C217" s="11" t="s">
        <v>17</v>
      </c>
      <c r="D217" s="11" t="s">
        <v>18</v>
      </c>
      <c r="E217" s="7" t="s">
        <v>91</v>
      </c>
      <c r="F217" s="9">
        <v>60.3</v>
      </c>
      <c r="G217" s="9">
        <v>77.8</v>
      </c>
      <c r="H217" s="9">
        <v>49.3</v>
      </c>
      <c r="I217" s="9">
        <v>8</v>
      </c>
      <c r="J217" s="9">
        <v>0.61</v>
      </c>
      <c r="K217" s="9">
        <v>53.9</v>
      </c>
      <c r="L217" s="7">
        <v>18</v>
      </c>
      <c r="M217" s="7">
        <v>61.6</v>
      </c>
      <c r="N217" s="7">
        <v>1.8</v>
      </c>
      <c r="O217" s="7">
        <v>232</v>
      </c>
      <c r="P217" s="7" t="s">
        <v>28</v>
      </c>
      <c r="Q217" s="7" t="str">
        <f t="shared" si="12"/>
        <v>Moderate</v>
      </c>
      <c r="R217" s="7" t="str">
        <f t="shared" si="13"/>
        <v>Cool</v>
      </c>
      <c r="S217" s="7" t="str">
        <f t="shared" si="14"/>
        <v>High Humidity</v>
      </c>
      <c r="T217" s="7" t="str">
        <f t="shared" si="15"/>
        <v>Low Wind</v>
      </c>
    </row>
    <row r="218" spans="1:20" x14ac:dyDescent="0.25">
      <c r="A218" s="7" t="s">
        <v>274</v>
      </c>
      <c r="B218" s="10">
        <v>45810</v>
      </c>
      <c r="C218" s="11" t="s">
        <v>35</v>
      </c>
      <c r="D218" s="11" t="s">
        <v>36</v>
      </c>
      <c r="E218" s="7" t="s">
        <v>58</v>
      </c>
      <c r="F218" s="9">
        <v>81.900000000000006</v>
      </c>
      <c r="G218" s="9">
        <v>67.900000000000006</v>
      </c>
      <c r="H218" s="9">
        <v>15.2</v>
      </c>
      <c r="I218" s="9">
        <v>1.2</v>
      </c>
      <c r="J218" s="9">
        <v>0.89</v>
      </c>
      <c r="K218" s="9">
        <v>63.7</v>
      </c>
      <c r="L218" s="7">
        <v>27.5</v>
      </c>
      <c r="M218" s="7">
        <v>57.7</v>
      </c>
      <c r="N218" s="7">
        <v>1.6</v>
      </c>
      <c r="O218" s="7">
        <v>239</v>
      </c>
      <c r="P218" s="7" t="s">
        <v>28</v>
      </c>
      <c r="Q218" s="7" t="str">
        <f t="shared" si="12"/>
        <v>Moderate</v>
      </c>
      <c r="R218" s="7" t="str">
        <f t="shared" si="13"/>
        <v>Normal</v>
      </c>
      <c r="S218" s="7" t="str">
        <f t="shared" si="14"/>
        <v>Normal Humidity</v>
      </c>
      <c r="T218" s="7" t="str">
        <f t="shared" si="15"/>
        <v>Low Wind</v>
      </c>
    </row>
    <row r="219" spans="1:20" x14ac:dyDescent="0.25">
      <c r="A219" s="7" t="s">
        <v>275</v>
      </c>
      <c r="B219" s="10">
        <v>45782</v>
      </c>
      <c r="C219" s="11" t="s">
        <v>30</v>
      </c>
      <c r="D219" s="11" t="s">
        <v>31</v>
      </c>
      <c r="E219" s="7" t="s">
        <v>68</v>
      </c>
      <c r="F219" s="9">
        <v>18.5</v>
      </c>
      <c r="G219" s="9">
        <v>43</v>
      </c>
      <c r="H219" s="9">
        <v>25.1</v>
      </c>
      <c r="I219" s="9">
        <v>28.5</v>
      </c>
      <c r="J219" s="9">
        <v>0.23</v>
      </c>
      <c r="K219" s="9">
        <v>29.2</v>
      </c>
      <c r="L219" s="7">
        <v>19.8</v>
      </c>
      <c r="M219" s="7">
        <v>75.900000000000006</v>
      </c>
      <c r="N219" s="7">
        <v>2</v>
      </c>
      <c r="O219" s="7">
        <v>116</v>
      </c>
      <c r="P219" s="7" t="s">
        <v>33</v>
      </c>
      <c r="Q219" s="7" t="str">
        <f t="shared" si="12"/>
        <v>Good</v>
      </c>
      <c r="R219" s="7" t="str">
        <f t="shared" si="13"/>
        <v>Cool</v>
      </c>
      <c r="S219" s="7" t="str">
        <f t="shared" si="14"/>
        <v>High Humidity</v>
      </c>
      <c r="T219" s="7" t="str">
        <f t="shared" si="15"/>
        <v>Moderate Wind</v>
      </c>
    </row>
    <row r="220" spans="1:20" x14ac:dyDescent="0.25">
      <c r="A220" s="7" t="s">
        <v>276</v>
      </c>
      <c r="B220" s="10">
        <v>45937</v>
      </c>
      <c r="C220" s="11" t="s">
        <v>67</v>
      </c>
      <c r="D220" s="11" t="s">
        <v>18</v>
      </c>
      <c r="E220" s="7" t="s">
        <v>43</v>
      </c>
      <c r="F220" s="9">
        <v>57.2</v>
      </c>
      <c r="G220" s="9">
        <v>56.1</v>
      </c>
      <c r="H220" s="9">
        <v>50.7</v>
      </c>
      <c r="I220" s="9">
        <v>1.3</v>
      </c>
      <c r="J220" s="9">
        <v>0.68</v>
      </c>
      <c r="K220" s="9">
        <v>23.4</v>
      </c>
      <c r="L220" s="7">
        <v>34.4</v>
      </c>
      <c r="M220" s="7">
        <v>51.1</v>
      </c>
      <c r="N220" s="7">
        <v>1.7</v>
      </c>
      <c r="O220" s="7">
        <v>197</v>
      </c>
      <c r="P220" s="7" t="s">
        <v>33</v>
      </c>
      <c r="Q220" s="7" t="str">
        <f t="shared" si="12"/>
        <v>Moderate</v>
      </c>
      <c r="R220" s="7" t="str">
        <f t="shared" si="13"/>
        <v>Hot</v>
      </c>
      <c r="S220" s="7" t="str">
        <f t="shared" si="14"/>
        <v>Normal Humidity</v>
      </c>
      <c r="T220" s="7" t="str">
        <f t="shared" si="15"/>
        <v>Low Wind</v>
      </c>
    </row>
    <row r="221" spans="1:20" x14ac:dyDescent="0.25">
      <c r="A221" s="7" t="s">
        <v>277</v>
      </c>
      <c r="B221" s="10">
        <v>45797</v>
      </c>
      <c r="C221" s="11" t="s">
        <v>35</v>
      </c>
      <c r="D221" s="11" t="s">
        <v>36</v>
      </c>
      <c r="E221" s="7" t="s">
        <v>55</v>
      </c>
      <c r="F221" s="9">
        <v>97.8</v>
      </c>
      <c r="G221" s="9">
        <v>124.8</v>
      </c>
      <c r="H221" s="9">
        <v>61.8</v>
      </c>
      <c r="I221" s="9">
        <v>15.3</v>
      </c>
      <c r="J221" s="9">
        <v>0.32</v>
      </c>
      <c r="K221" s="9">
        <v>36.6</v>
      </c>
      <c r="L221" s="7">
        <v>24.2</v>
      </c>
      <c r="M221" s="7">
        <v>68.099999999999994</v>
      </c>
      <c r="N221" s="7">
        <v>2.1</v>
      </c>
      <c r="O221" s="7">
        <v>322</v>
      </c>
      <c r="P221" s="7" t="s">
        <v>20</v>
      </c>
      <c r="Q221" s="7" t="str">
        <f t="shared" si="12"/>
        <v>Unhealthy</v>
      </c>
      <c r="R221" s="7" t="str">
        <f t="shared" si="13"/>
        <v>Normal</v>
      </c>
      <c r="S221" s="7" t="str">
        <f t="shared" si="14"/>
        <v>High Humidity</v>
      </c>
      <c r="T221" s="7" t="str">
        <f t="shared" si="15"/>
        <v>Moderate Wind</v>
      </c>
    </row>
    <row r="222" spans="1:20" x14ac:dyDescent="0.25">
      <c r="A222" s="7" t="s">
        <v>278</v>
      </c>
      <c r="B222" s="10">
        <v>45718</v>
      </c>
      <c r="C222" s="11" t="s">
        <v>26</v>
      </c>
      <c r="D222" s="11" t="s">
        <v>23</v>
      </c>
      <c r="E222" s="7" t="s">
        <v>97</v>
      </c>
      <c r="F222" s="9">
        <v>33.200000000000003</v>
      </c>
      <c r="G222" s="9">
        <v>50.8</v>
      </c>
      <c r="H222" s="9">
        <v>15.8</v>
      </c>
      <c r="I222" s="9">
        <v>8.4</v>
      </c>
      <c r="J222" s="9">
        <v>0.42</v>
      </c>
      <c r="K222" s="9">
        <v>13.9</v>
      </c>
      <c r="L222" s="7">
        <v>30.5</v>
      </c>
      <c r="M222" s="7">
        <v>61.4</v>
      </c>
      <c r="N222" s="7">
        <v>1.4</v>
      </c>
      <c r="O222" s="7">
        <v>121</v>
      </c>
      <c r="P222" s="7" t="s">
        <v>33</v>
      </c>
      <c r="Q222" s="7" t="str">
        <f t="shared" si="12"/>
        <v>Moderate</v>
      </c>
      <c r="R222" s="7" t="str">
        <f t="shared" si="13"/>
        <v>Hot</v>
      </c>
      <c r="S222" s="7" t="str">
        <f t="shared" si="14"/>
        <v>High Humidity</v>
      </c>
      <c r="T222" s="7" t="str">
        <f t="shared" si="15"/>
        <v>Low Wind</v>
      </c>
    </row>
    <row r="223" spans="1:20" x14ac:dyDescent="0.25">
      <c r="A223" s="7" t="s">
        <v>279</v>
      </c>
      <c r="B223" s="10">
        <v>45889</v>
      </c>
      <c r="C223" s="11" t="s">
        <v>30</v>
      </c>
      <c r="D223" s="11" t="s">
        <v>31</v>
      </c>
      <c r="E223" s="7" t="s">
        <v>70</v>
      </c>
      <c r="F223" s="9">
        <v>35.299999999999997</v>
      </c>
      <c r="G223" s="9">
        <v>167</v>
      </c>
      <c r="H223" s="9">
        <v>6.1</v>
      </c>
      <c r="I223" s="9">
        <v>5.9</v>
      </c>
      <c r="J223" s="9">
        <v>0.34</v>
      </c>
      <c r="K223" s="9">
        <v>35.200000000000003</v>
      </c>
      <c r="L223" s="7">
        <v>31.6</v>
      </c>
      <c r="M223" s="7">
        <v>82.2</v>
      </c>
      <c r="N223" s="7">
        <v>2.2000000000000002</v>
      </c>
      <c r="O223" s="7">
        <v>198</v>
      </c>
      <c r="P223" s="7" t="s">
        <v>33</v>
      </c>
      <c r="Q223" s="7" t="str">
        <f t="shared" si="12"/>
        <v>VeryUnhealthy</v>
      </c>
      <c r="R223" s="7" t="str">
        <f t="shared" si="13"/>
        <v>Hot</v>
      </c>
      <c r="S223" s="7" t="str">
        <f t="shared" si="14"/>
        <v>High Humidity</v>
      </c>
      <c r="T223" s="7" t="str">
        <f t="shared" si="15"/>
        <v>Moderate Wind</v>
      </c>
    </row>
    <row r="224" spans="1:20" x14ac:dyDescent="0.25">
      <c r="A224" s="7" t="s">
        <v>280</v>
      </c>
      <c r="B224" s="10">
        <v>46003</v>
      </c>
      <c r="C224" s="11" t="s">
        <v>77</v>
      </c>
      <c r="D224" s="11" t="s">
        <v>39</v>
      </c>
      <c r="E224" s="7" t="s">
        <v>40</v>
      </c>
      <c r="F224" s="9">
        <v>45</v>
      </c>
      <c r="G224" s="9">
        <v>88.2</v>
      </c>
      <c r="H224" s="9">
        <v>4.7</v>
      </c>
      <c r="I224" s="9">
        <v>5.5</v>
      </c>
      <c r="J224" s="9">
        <v>1.29</v>
      </c>
      <c r="K224" s="9">
        <v>28.2</v>
      </c>
      <c r="L224" s="7">
        <v>23.8</v>
      </c>
      <c r="M224" s="7">
        <v>68.599999999999994</v>
      </c>
      <c r="N224" s="7">
        <v>1.7</v>
      </c>
      <c r="O224" s="7">
        <v>182</v>
      </c>
      <c r="P224" s="7" t="s">
        <v>33</v>
      </c>
      <c r="Q224" s="7" t="str">
        <f t="shared" si="12"/>
        <v>Moderate</v>
      </c>
      <c r="R224" s="7" t="str">
        <f t="shared" si="13"/>
        <v>Normal</v>
      </c>
      <c r="S224" s="7" t="str">
        <f t="shared" si="14"/>
        <v>High Humidity</v>
      </c>
      <c r="T224" s="7" t="str">
        <f t="shared" si="15"/>
        <v>Low Wind</v>
      </c>
    </row>
    <row r="225" spans="1:20" x14ac:dyDescent="0.25">
      <c r="A225" s="7" t="s">
        <v>281</v>
      </c>
      <c r="B225" s="10">
        <v>45887</v>
      </c>
      <c r="C225" s="11" t="s">
        <v>35</v>
      </c>
      <c r="D225" s="11" t="s">
        <v>36</v>
      </c>
      <c r="E225" s="7" t="s">
        <v>27</v>
      </c>
      <c r="F225" s="9">
        <v>29.7</v>
      </c>
      <c r="G225" s="9">
        <v>39</v>
      </c>
      <c r="H225" s="9">
        <v>50</v>
      </c>
      <c r="I225" s="9">
        <v>5.5</v>
      </c>
      <c r="J225" s="9">
        <v>1.88</v>
      </c>
      <c r="K225" s="9">
        <v>27.3</v>
      </c>
      <c r="L225" s="7">
        <v>24.8</v>
      </c>
      <c r="M225" s="7">
        <v>62.2</v>
      </c>
      <c r="N225" s="7">
        <v>2.8</v>
      </c>
      <c r="O225" s="7">
        <v>176</v>
      </c>
      <c r="P225" s="7" t="s">
        <v>33</v>
      </c>
      <c r="Q225" s="7" t="str">
        <f t="shared" si="12"/>
        <v>Good</v>
      </c>
      <c r="R225" s="7" t="str">
        <f t="shared" si="13"/>
        <v>Normal</v>
      </c>
      <c r="S225" s="7" t="str">
        <f t="shared" si="14"/>
        <v>High Humidity</v>
      </c>
      <c r="T225" s="7" t="str">
        <f t="shared" si="15"/>
        <v>Moderate Wind</v>
      </c>
    </row>
    <row r="226" spans="1:20" x14ac:dyDescent="0.25">
      <c r="A226" s="7" t="s">
        <v>282</v>
      </c>
      <c r="B226" s="10">
        <v>45772</v>
      </c>
      <c r="C226" s="11" t="s">
        <v>77</v>
      </c>
      <c r="D226" s="11" t="s">
        <v>39</v>
      </c>
      <c r="E226" s="7" t="s">
        <v>27</v>
      </c>
      <c r="F226" s="9">
        <v>34.799999999999997</v>
      </c>
      <c r="G226" s="9">
        <v>122</v>
      </c>
      <c r="H226" s="9">
        <v>3</v>
      </c>
      <c r="I226" s="9">
        <v>5.3</v>
      </c>
      <c r="J226" s="9">
        <v>0.87</v>
      </c>
      <c r="K226" s="9">
        <v>31.6</v>
      </c>
      <c r="L226" s="7">
        <v>29</v>
      </c>
      <c r="M226" s="7">
        <v>50</v>
      </c>
      <c r="N226" s="7">
        <v>2.2000000000000002</v>
      </c>
      <c r="O226" s="7">
        <v>177</v>
      </c>
      <c r="P226" s="7" t="s">
        <v>33</v>
      </c>
      <c r="Q226" s="7" t="str">
        <f t="shared" si="12"/>
        <v>Unhealthy</v>
      </c>
      <c r="R226" s="7" t="str">
        <f t="shared" si="13"/>
        <v>Normal</v>
      </c>
      <c r="S226" s="7" t="str">
        <f t="shared" si="14"/>
        <v>Normal Humidity</v>
      </c>
      <c r="T226" s="7" t="str">
        <f t="shared" si="15"/>
        <v>Moderate Wind</v>
      </c>
    </row>
    <row r="227" spans="1:20" x14ac:dyDescent="0.25">
      <c r="A227" s="7" t="s">
        <v>283</v>
      </c>
      <c r="B227" s="10">
        <v>45699</v>
      </c>
      <c r="C227" s="11" t="s">
        <v>30</v>
      </c>
      <c r="D227" s="11" t="s">
        <v>31</v>
      </c>
      <c r="E227" s="7" t="s">
        <v>43</v>
      </c>
      <c r="F227" s="9">
        <v>30.3</v>
      </c>
      <c r="G227" s="9">
        <v>72.7</v>
      </c>
      <c r="H227" s="9">
        <v>39.6</v>
      </c>
      <c r="I227" s="9">
        <v>10.1</v>
      </c>
      <c r="J227" s="9">
        <v>0.85</v>
      </c>
      <c r="K227" s="9">
        <v>28</v>
      </c>
      <c r="L227" s="7">
        <v>20.9</v>
      </c>
      <c r="M227" s="7">
        <v>57.8</v>
      </c>
      <c r="N227" s="7">
        <v>3.3</v>
      </c>
      <c r="O227" s="7">
        <v>168</v>
      </c>
      <c r="P227" s="7" t="s">
        <v>33</v>
      </c>
      <c r="Q227" s="7" t="str">
        <f t="shared" si="12"/>
        <v>Moderate</v>
      </c>
      <c r="R227" s="7" t="str">
        <f t="shared" si="13"/>
        <v>Normal</v>
      </c>
      <c r="S227" s="7" t="str">
        <f t="shared" si="14"/>
        <v>Normal Humidity</v>
      </c>
      <c r="T227" s="7" t="str">
        <f t="shared" si="15"/>
        <v>Moderate Wind</v>
      </c>
    </row>
    <row r="228" spans="1:20" x14ac:dyDescent="0.25">
      <c r="A228" s="7" t="s">
        <v>284</v>
      </c>
      <c r="B228" s="10">
        <v>45753</v>
      </c>
      <c r="C228" s="11" t="s">
        <v>17</v>
      </c>
      <c r="D228" s="11" t="s">
        <v>18</v>
      </c>
      <c r="E228" s="7" t="s">
        <v>27</v>
      </c>
      <c r="F228" s="9">
        <v>91.7</v>
      </c>
      <c r="G228" s="9">
        <v>126.1</v>
      </c>
      <c r="H228" s="9">
        <v>39.9</v>
      </c>
      <c r="I228" s="9">
        <v>14.1</v>
      </c>
      <c r="J228" s="9">
        <v>0.36</v>
      </c>
      <c r="K228" s="9">
        <v>38.1</v>
      </c>
      <c r="L228" s="7">
        <v>30.9</v>
      </c>
      <c r="M228" s="7">
        <v>88.2</v>
      </c>
      <c r="N228" s="7">
        <v>4.3</v>
      </c>
      <c r="O228" s="7">
        <v>297</v>
      </c>
      <c r="P228" s="7" t="s">
        <v>28</v>
      </c>
      <c r="Q228" s="7" t="str">
        <f t="shared" si="12"/>
        <v>Unhealthy</v>
      </c>
      <c r="R228" s="7" t="str">
        <f t="shared" si="13"/>
        <v>Hot</v>
      </c>
      <c r="S228" s="7" t="str">
        <f t="shared" si="14"/>
        <v>High Humidity</v>
      </c>
      <c r="T228" s="7" t="str">
        <f t="shared" si="15"/>
        <v>Moderate Wind</v>
      </c>
    </row>
    <row r="229" spans="1:20" x14ac:dyDescent="0.25">
      <c r="A229" s="7" t="s">
        <v>285</v>
      </c>
      <c r="B229" s="10">
        <v>45868</v>
      </c>
      <c r="C229" s="11" t="s">
        <v>22</v>
      </c>
      <c r="D229" s="11" t="s">
        <v>23</v>
      </c>
      <c r="E229" s="7" t="s">
        <v>70</v>
      </c>
      <c r="F229" s="9">
        <v>73.599999999999994</v>
      </c>
      <c r="G229" s="9">
        <v>206.5</v>
      </c>
      <c r="H229" s="9">
        <v>8.6</v>
      </c>
      <c r="I229" s="9">
        <v>9.6999999999999993</v>
      </c>
      <c r="J229" s="9">
        <v>0.9</v>
      </c>
      <c r="K229" s="9">
        <v>21.4</v>
      </c>
      <c r="L229" s="7">
        <v>24.8</v>
      </c>
      <c r="M229" s="7">
        <v>54.4</v>
      </c>
      <c r="N229" s="7">
        <v>1</v>
      </c>
      <c r="O229" s="7">
        <v>298</v>
      </c>
      <c r="P229" s="7" t="s">
        <v>28</v>
      </c>
      <c r="Q229" s="7" t="str">
        <f t="shared" si="12"/>
        <v>VeryUnhealthy</v>
      </c>
      <c r="R229" s="7" t="str">
        <f t="shared" si="13"/>
        <v>Normal</v>
      </c>
      <c r="S229" s="7" t="str">
        <f t="shared" si="14"/>
        <v>Normal Humidity</v>
      </c>
      <c r="T229" s="7" t="str">
        <f t="shared" si="15"/>
        <v>Low Wind</v>
      </c>
    </row>
    <row r="230" spans="1:20" x14ac:dyDescent="0.25">
      <c r="A230" s="7" t="s">
        <v>286</v>
      </c>
      <c r="B230" s="10">
        <v>45756</v>
      </c>
      <c r="C230" s="11" t="s">
        <v>38</v>
      </c>
      <c r="D230" s="11" t="s">
        <v>39</v>
      </c>
      <c r="E230" s="7" t="s">
        <v>45</v>
      </c>
      <c r="F230" s="9">
        <v>45.6</v>
      </c>
      <c r="G230" s="9">
        <v>160.1</v>
      </c>
      <c r="H230" s="9">
        <v>16.8</v>
      </c>
      <c r="I230" s="9">
        <v>4.7</v>
      </c>
      <c r="J230" s="9">
        <v>3.19</v>
      </c>
      <c r="K230" s="9">
        <v>43.3</v>
      </c>
      <c r="L230" s="7">
        <v>25.4</v>
      </c>
      <c r="M230" s="7">
        <v>64.8</v>
      </c>
      <c r="N230" s="7">
        <v>1.6</v>
      </c>
      <c r="O230" s="7">
        <v>293</v>
      </c>
      <c r="P230" s="7" t="s">
        <v>28</v>
      </c>
      <c r="Q230" s="7" t="str">
        <f t="shared" si="12"/>
        <v>VeryUnhealthy</v>
      </c>
      <c r="R230" s="7" t="str">
        <f t="shared" si="13"/>
        <v>Normal</v>
      </c>
      <c r="S230" s="7" t="str">
        <f t="shared" si="14"/>
        <v>High Humidity</v>
      </c>
      <c r="T230" s="7" t="str">
        <f t="shared" si="15"/>
        <v>Low Wind</v>
      </c>
    </row>
    <row r="231" spans="1:20" x14ac:dyDescent="0.25">
      <c r="A231" s="7" t="s">
        <v>287</v>
      </c>
      <c r="B231" s="10">
        <v>45930</v>
      </c>
      <c r="C231" s="11" t="s">
        <v>64</v>
      </c>
      <c r="D231" s="11" t="s">
        <v>36</v>
      </c>
      <c r="E231" s="7" t="s">
        <v>45</v>
      </c>
      <c r="F231" s="9">
        <v>49.7</v>
      </c>
      <c r="G231" s="9">
        <v>71.400000000000006</v>
      </c>
      <c r="H231" s="9">
        <v>31.1</v>
      </c>
      <c r="I231" s="9">
        <v>7.8</v>
      </c>
      <c r="J231" s="9">
        <v>1.33</v>
      </c>
      <c r="K231" s="9">
        <v>19.2</v>
      </c>
      <c r="L231" s="7">
        <v>42</v>
      </c>
      <c r="M231" s="7">
        <v>55.5</v>
      </c>
      <c r="N231" s="7">
        <v>2.8</v>
      </c>
      <c r="O231" s="7">
        <v>198</v>
      </c>
      <c r="P231" s="7" t="s">
        <v>33</v>
      </c>
      <c r="Q231" s="7" t="str">
        <f t="shared" si="12"/>
        <v>Moderate</v>
      </c>
      <c r="R231" s="7" t="str">
        <f t="shared" si="13"/>
        <v>Hot</v>
      </c>
      <c r="S231" s="7" t="str">
        <f t="shared" si="14"/>
        <v>Normal Humidity</v>
      </c>
      <c r="T231" s="7" t="str">
        <f t="shared" si="15"/>
        <v>Moderate Wind</v>
      </c>
    </row>
    <row r="232" spans="1:20" x14ac:dyDescent="0.25">
      <c r="A232" s="7" t="s">
        <v>288</v>
      </c>
      <c r="B232" s="10">
        <v>45794</v>
      </c>
      <c r="C232" s="11" t="s">
        <v>35</v>
      </c>
      <c r="D232" s="11" t="s">
        <v>36</v>
      </c>
      <c r="E232" s="7" t="s">
        <v>32</v>
      </c>
      <c r="F232" s="9">
        <v>31</v>
      </c>
      <c r="G232" s="9">
        <v>85.5</v>
      </c>
      <c r="H232" s="9">
        <v>18.600000000000001</v>
      </c>
      <c r="I232" s="9">
        <v>38.799999999999997</v>
      </c>
      <c r="J232" s="9">
        <v>0.86</v>
      </c>
      <c r="K232" s="9">
        <v>59.4</v>
      </c>
      <c r="L232" s="7">
        <v>28.7</v>
      </c>
      <c r="M232" s="7">
        <v>62.2</v>
      </c>
      <c r="N232" s="7">
        <v>2.9</v>
      </c>
      <c r="O232" s="7">
        <v>195</v>
      </c>
      <c r="P232" s="7" t="s">
        <v>33</v>
      </c>
      <c r="Q232" s="7" t="str">
        <f t="shared" si="12"/>
        <v>Moderate</v>
      </c>
      <c r="R232" s="7" t="str">
        <f t="shared" si="13"/>
        <v>Normal</v>
      </c>
      <c r="S232" s="7" t="str">
        <f t="shared" si="14"/>
        <v>High Humidity</v>
      </c>
      <c r="T232" s="7" t="str">
        <f t="shared" si="15"/>
        <v>Moderate Wind</v>
      </c>
    </row>
    <row r="233" spans="1:20" x14ac:dyDescent="0.25">
      <c r="A233" s="7" t="s">
        <v>289</v>
      </c>
      <c r="B233" s="10">
        <v>45704</v>
      </c>
      <c r="C233" s="11" t="s">
        <v>26</v>
      </c>
      <c r="D233" s="11" t="s">
        <v>23</v>
      </c>
      <c r="E233" s="7" t="s">
        <v>27</v>
      </c>
      <c r="F233" s="9">
        <v>76.5</v>
      </c>
      <c r="G233" s="9">
        <v>92</v>
      </c>
      <c r="H233" s="9">
        <v>17.8</v>
      </c>
      <c r="I233" s="9">
        <v>5.4</v>
      </c>
      <c r="J233" s="9">
        <v>0.39</v>
      </c>
      <c r="K233" s="9">
        <v>22</v>
      </c>
      <c r="L233" s="7">
        <v>32</v>
      </c>
      <c r="M233" s="7">
        <v>90.9</v>
      </c>
      <c r="N233" s="7">
        <v>3</v>
      </c>
      <c r="O233" s="7">
        <v>220</v>
      </c>
      <c r="P233" s="7" t="s">
        <v>28</v>
      </c>
      <c r="Q233" s="7" t="str">
        <f t="shared" si="12"/>
        <v>Moderate</v>
      </c>
      <c r="R233" s="7" t="str">
        <f t="shared" si="13"/>
        <v>Hot</v>
      </c>
      <c r="S233" s="7" t="str">
        <f t="shared" si="14"/>
        <v>High Humidity</v>
      </c>
      <c r="T233" s="7" t="str">
        <f t="shared" si="15"/>
        <v>Moderate Wind</v>
      </c>
    </row>
    <row r="234" spans="1:20" x14ac:dyDescent="0.25">
      <c r="A234" s="7" t="s">
        <v>290</v>
      </c>
      <c r="B234" s="10">
        <v>45894</v>
      </c>
      <c r="C234" s="11" t="s">
        <v>99</v>
      </c>
      <c r="D234" s="11" t="s">
        <v>36</v>
      </c>
      <c r="E234" s="7" t="s">
        <v>27</v>
      </c>
      <c r="F234" s="9">
        <v>27</v>
      </c>
      <c r="G234" s="9">
        <v>85.8</v>
      </c>
      <c r="H234" s="9">
        <v>27.7</v>
      </c>
      <c r="I234" s="9">
        <v>38.4</v>
      </c>
      <c r="J234" s="9">
        <v>0.22</v>
      </c>
      <c r="K234" s="9">
        <v>22.9</v>
      </c>
      <c r="L234" s="7">
        <v>19.2</v>
      </c>
      <c r="M234" s="7">
        <v>43.6</v>
      </c>
      <c r="N234" s="7">
        <v>3.4</v>
      </c>
      <c r="O234" s="7">
        <v>164</v>
      </c>
      <c r="P234" s="7" t="s">
        <v>33</v>
      </c>
      <c r="Q234" s="7" t="str">
        <f t="shared" si="12"/>
        <v>Moderate</v>
      </c>
      <c r="R234" s="7" t="str">
        <f t="shared" si="13"/>
        <v>Cool</v>
      </c>
      <c r="S234" s="7" t="str">
        <f t="shared" si="14"/>
        <v>Normal Humidity</v>
      </c>
      <c r="T234" s="7" t="str">
        <f t="shared" si="15"/>
        <v>Moderate Wind</v>
      </c>
    </row>
    <row r="235" spans="1:20" x14ac:dyDescent="0.25">
      <c r="A235" s="7" t="s">
        <v>291</v>
      </c>
      <c r="B235" s="10">
        <v>45941</v>
      </c>
      <c r="C235" s="11" t="s">
        <v>42</v>
      </c>
      <c r="D235" s="11" t="s">
        <v>23</v>
      </c>
      <c r="E235" s="7" t="s">
        <v>74</v>
      </c>
      <c r="F235" s="9">
        <v>61</v>
      </c>
      <c r="G235" s="9">
        <v>95.6</v>
      </c>
      <c r="H235" s="9">
        <v>20.9</v>
      </c>
      <c r="I235" s="9">
        <v>25.8</v>
      </c>
      <c r="J235" s="9">
        <v>0.32</v>
      </c>
      <c r="K235" s="9">
        <v>39.700000000000003</v>
      </c>
      <c r="L235" s="7">
        <v>26.2</v>
      </c>
      <c r="M235" s="7">
        <v>52.8</v>
      </c>
      <c r="N235" s="7">
        <v>2.5</v>
      </c>
      <c r="O235" s="7">
        <v>220</v>
      </c>
      <c r="P235" s="7" t="s">
        <v>28</v>
      </c>
      <c r="Q235" s="7" t="str">
        <f t="shared" si="12"/>
        <v>Moderate</v>
      </c>
      <c r="R235" s="7" t="str">
        <f t="shared" si="13"/>
        <v>Normal</v>
      </c>
      <c r="S235" s="7" t="str">
        <f t="shared" si="14"/>
        <v>Normal Humidity</v>
      </c>
      <c r="T235" s="7" t="str">
        <f t="shared" si="15"/>
        <v>Moderate Wind</v>
      </c>
    </row>
    <row r="236" spans="1:20" x14ac:dyDescent="0.25">
      <c r="A236" s="7" t="s">
        <v>292</v>
      </c>
      <c r="B236" s="10">
        <v>45982</v>
      </c>
      <c r="C236" s="11" t="s">
        <v>54</v>
      </c>
      <c r="D236" s="11" t="s">
        <v>18</v>
      </c>
      <c r="E236" s="7" t="s">
        <v>91</v>
      </c>
      <c r="F236" s="9">
        <v>62.4</v>
      </c>
      <c r="G236" s="9">
        <v>63.9</v>
      </c>
      <c r="H236" s="9">
        <v>13</v>
      </c>
      <c r="I236" s="9">
        <v>18.7</v>
      </c>
      <c r="J236" s="9">
        <v>0.73</v>
      </c>
      <c r="K236" s="9">
        <v>27.3</v>
      </c>
      <c r="L236" s="7">
        <v>31.8</v>
      </c>
      <c r="M236" s="7">
        <v>47</v>
      </c>
      <c r="N236" s="7">
        <v>1.1000000000000001</v>
      </c>
      <c r="O236" s="7">
        <v>195</v>
      </c>
      <c r="P236" s="7" t="s">
        <v>33</v>
      </c>
      <c r="Q236" s="7" t="str">
        <f t="shared" si="12"/>
        <v>Moderate</v>
      </c>
      <c r="R236" s="7" t="str">
        <f t="shared" si="13"/>
        <v>Hot</v>
      </c>
      <c r="S236" s="7" t="str">
        <f t="shared" si="14"/>
        <v>Normal Humidity</v>
      </c>
      <c r="T236" s="7" t="str">
        <f t="shared" si="15"/>
        <v>Low Wind</v>
      </c>
    </row>
    <row r="237" spans="1:20" x14ac:dyDescent="0.25">
      <c r="A237" s="7" t="s">
        <v>293</v>
      </c>
      <c r="B237" s="10">
        <v>45712</v>
      </c>
      <c r="C237" s="11" t="s">
        <v>81</v>
      </c>
      <c r="D237" s="11" t="s">
        <v>39</v>
      </c>
      <c r="E237" s="7" t="s">
        <v>55</v>
      </c>
      <c r="F237" s="9">
        <v>64.7</v>
      </c>
      <c r="G237" s="9">
        <v>205.2</v>
      </c>
      <c r="H237" s="9">
        <v>6.3</v>
      </c>
      <c r="I237" s="9">
        <v>32.700000000000003</v>
      </c>
      <c r="J237" s="9">
        <v>1.08</v>
      </c>
      <c r="K237" s="9">
        <v>57.6</v>
      </c>
      <c r="L237" s="7">
        <v>27.9</v>
      </c>
      <c r="M237" s="7">
        <v>65.099999999999994</v>
      </c>
      <c r="N237" s="7">
        <v>3.7</v>
      </c>
      <c r="O237" s="7">
        <v>318</v>
      </c>
      <c r="P237" s="7" t="s">
        <v>20</v>
      </c>
      <c r="Q237" s="7" t="str">
        <f t="shared" si="12"/>
        <v>VeryUnhealthy</v>
      </c>
      <c r="R237" s="7" t="str">
        <f t="shared" si="13"/>
        <v>Normal</v>
      </c>
      <c r="S237" s="7" t="str">
        <f t="shared" si="14"/>
        <v>High Humidity</v>
      </c>
      <c r="T237" s="7" t="str">
        <f t="shared" si="15"/>
        <v>Moderate Wind</v>
      </c>
    </row>
    <row r="238" spans="1:20" x14ac:dyDescent="0.25">
      <c r="A238" s="7" t="s">
        <v>294</v>
      </c>
      <c r="B238" s="10">
        <v>45952</v>
      </c>
      <c r="C238" s="11" t="s">
        <v>99</v>
      </c>
      <c r="D238" s="11" t="s">
        <v>36</v>
      </c>
      <c r="E238" s="7" t="s">
        <v>97</v>
      </c>
      <c r="F238" s="9">
        <v>25.7</v>
      </c>
      <c r="G238" s="9">
        <v>94.1</v>
      </c>
      <c r="H238" s="9">
        <v>13.9</v>
      </c>
      <c r="I238" s="9">
        <v>5.6</v>
      </c>
      <c r="J238" s="9">
        <v>0.09</v>
      </c>
      <c r="K238" s="9">
        <v>26.8</v>
      </c>
      <c r="L238" s="7">
        <v>30.3</v>
      </c>
      <c r="M238" s="7">
        <v>70</v>
      </c>
      <c r="N238" s="7">
        <v>2.5</v>
      </c>
      <c r="O238" s="7">
        <v>132</v>
      </c>
      <c r="P238" s="7" t="s">
        <v>33</v>
      </c>
      <c r="Q238" s="7" t="str">
        <f t="shared" si="12"/>
        <v>Moderate</v>
      </c>
      <c r="R238" s="7" t="str">
        <f t="shared" si="13"/>
        <v>Hot</v>
      </c>
      <c r="S238" s="7" t="str">
        <f t="shared" si="14"/>
        <v>High Humidity</v>
      </c>
      <c r="T238" s="7" t="str">
        <f t="shared" si="15"/>
        <v>Moderate Wind</v>
      </c>
    </row>
    <row r="239" spans="1:20" x14ac:dyDescent="0.25">
      <c r="A239" s="7" t="s">
        <v>295</v>
      </c>
      <c r="B239" s="10">
        <v>45689</v>
      </c>
      <c r="C239" s="11" t="s">
        <v>93</v>
      </c>
      <c r="D239" s="11" t="s">
        <v>36</v>
      </c>
      <c r="E239" s="7" t="s">
        <v>91</v>
      </c>
      <c r="F239" s="9">
        <v>52.6</v>
      </c>
      <c r="G239" s="9">
        <v>177.4</v>
      </c>
      <c r="H239" s="9">
        <v>42.7</v>
      </c>
      <c r="I239" s="9">
        <v>12.1</v>
      </c>
      <c r="J239" s="9">
        <v>0.95</v>
      </c>
      <c r="K239" s="9">
        <v>21.9</v>
      </c>
      <c r="L239" s="7">
        <v>27.4</v>
      </c>
      <c r="M239" s="7">
        <v>46.3</v>
      </c>
      <c r="N239" s="7">
        <v>2.2999999999999998</v>
      </c>
      <c r="O239" s="7">
        <v>276</v>
      </c>
      <c r="P239" s="7" t="s">
        <v>28</v>
      </c>
      <c r="Q239" s="7" t="str">
        <f t="shared" si="12"/>
        <v>VeryUnhealthy</v>
      </c>
      <c r="R239" s="7" t="str">
        <f t="shared" si="13"/>
        <v>Normal</v>
      </c>
      <c r="S239" s="7" t="str">
        <f t="shared" si="14"/>
        <v>Normal Humidity</v>
      </c>
      <c r="T239" s="7" t="str">
        <f t="shared" si="15"/>
        <v>Moderate Wind</v>
      </c>
    </row>
    <row r="240" spans="1:20" x14ac:dyDescent="0.25">
      <c r="A240" s="7" t="s">
        <v>296</v>
      </c>
      <c r="B240" s="10">
        <v>45998</v>
      </c>
      <c r="C240" s="11" t="s">
        <v>67</v>
      </c>
      <c r="D240" s="11" t="s">
        <v>18</v>
      </c>
      <c r="E240" s="7" t="s">
        <v>32</v>
      </c>
      <c r="F240" s="9">
        <v>16.899999999999999</v>
      </c>
      <c r="G240" s="9">
        <v>45.9</v>
      </c>
      <c r="H240" s="9">
        <v>13.1</v>
      </c>
      <c r="I240" s="9">
        <v>12.9</v>
      </c>
      <c r="J240" s="9">
        <v>0.66</v>
      </c>
      <c r="K240" s="9">
        <v>18.3</v>
      </c>
      <c r="L240" s="7">
        <v>35.9</v>
      </c>
      <c r="M240" s="7">
        <v>48.8</v>
      </c>
      <c r="N240" s="7">
        <v>1.2</v>
      </c>
      <c r="O240" s="7">
        <v>101</v>
      </c>
      <c r="P240" s="7" t="s">
        <v>33</v>
      </c>
      <c r="Q240" s="7" t="str">
        <f t="shared" si="12"/>
        <v>Good</v>
      </c>
      <c r="R240" s="7" t="str">
        <f t="shared" si="13"/>
        <v>Hot</v>
      </c>
      <c r="S240" s="7" t="str">
        <f t="shared" si="14"/>
        <v>Normal Humidity</v>
      </c>
      <c r="T240" s="7" t="str">
        <f t="shared" si="15"/>
        <v>Low Wind</v>
      </c>
    </row>
    <row r="241" spans="1:20" x14ac:dyDescent="0.25">
      <c r="A241" s="7" t="s">
        <v>297</v>
      </c>
      <c r="B241" s="10">
        <v>45861</v>
      </c>
      <c r="C241" s="11" t="s">
        <v>81</v>
      </c>
      <c r="D241" s="11" t="s">
        <v>39</v>
      </c>
      <c r="E241" s="7" t="s">
        <v>61</v>
      </c>
      <c r="F241" s="9">
        <v>58.3</v>
      </c>
      <c r="G241" s="9">
        <v>126.6</v>
      </c>
      <c r="H241" s="9">
        <v>27.7</v>
      </c>
      <c r="I241" s="9">
        <v>10.6</v>
      </c>
      <c r="J241" s="9">
        <v>1.08</v>
      </c>
      <c r="K241" s="9">
        <v>14.7</v>
      </c>
      <c r="L241" s="7">
        <v>21.1</v>
      </c>
      <c r="M241" s="7">
        <v>62</v>
      </c>
      <c r="N241" s="7">
        <v>2.8</v>
      </c>
      <c r="O241" s="7">
        <v>239</v>
      </c>
      <c r="P241" s="7" t="s">
        <v>28</v>
      </c>
      <c r="Q241" s="7" t="str">
        <f t="shared" si="12"/>
        <v>Unhealthy</v>
      </c>
      <c r="R241" s="7" t="str">
        <f t="shared" si="13"/>
        <v>Normal</v>
      </c>
      <c r="S241" s="7" t="str">
        <f t="shared" si="14"/>
        <v>High Humidity</v>
      </c>
      <c r="T241" s="7" t="str">
        <f t="shared" si="15"/>
        <v>Moderate Wind</v>
      </c>
    </row>
    <row r="242" spans="1:20" x14ac:dyDescent="0.25">
      <c r="A242" s="7" t="s">
        <v>298</v>
      </c>
      <c r="B242" s="10">
        <v>45717</v>
      </c>
      <c r="C242" s="11" t="s">
        <v>67</v>
      </c>
      <c r="D242" s="11" t="s">
        <v>18</v>
      </c>
      <c r="E242" s="7" t="s">
        <v>74</v>
      </c>
      <c r="F242" s="9">
        <v>44.4</v>
      </c>
      <c r="G242" s="9">
        <v>69.3</v>
      </c>
      <c r="H242" s="9">
        <v>8.1999999999999993</v>
      </c>
      <c r="I242" s="9">
        <v>5.0999999999999996</v>
      </c>
      <c r="J242" s="9">
        <v>0.37</v>
      </c>
      <c r="K242" s="9">
        <v>34</v>
      </c>
      <c r="L242" s="7">
        <v>28.7</v>
      </c>
      <c r="M242" s="7">
        <v>70.599999999999994</v>
      </c>
      <c r="N242" s="7">
        <v>2.7</v>
      </c>
      <c r="O242" s="7">
        <v>151</v>
      </c>
      <c r="P242" s="7" t="s">
        <v>33</v>
      </c>
      <c r="Q242" s="7" t="str">
        <f t="shared" si="12"/>
        <v>Moderate</v>
      </c>
      <c r="R242" s="7" t="str">
        <f t="shared" si="13"/>
        <v>Normal</v>
      </c>
      <c r="S242" s="7" t="str">
        <f t="shared" si="14"/>
        <v>High Humidity</v>
      </c>
      <c r="T242" s="7" t="str">
        <f t="shared" si="15"/>
        <v>Moderate Wind</v>
      </c>
    </row>
    <row r="243" spans="1:20" x14ac:dyDescent="0.25">
      <c r="A243" s="7" t="s">
        <v>299</v>
      </c>
      <c r="B243" s="10">
        <v>45943</v>
      </c>
      <c r="C243" s="11" t="s">
        <v>30</v>
      </c>
      <c r="D243" s="11" t="s">
        <v>31</v>
      </c>
      <c r="E243" s="7" t="s">
        <v>43</v>
      </c>
      <c r="F243" s="9">
        <v>16.8</v>
      </c>
      <c r="G243" s="9">
        <v>52.9</v>
      </c>
      <c r="H243" s="9">
        <v>50.2</v>
      </c>
      <c r="I243" s="9">
        <v>20</v>
      </c>
      <c r="J243" s="9">
        <v>0.35</v>
      </c>
      <c r="K243" s="9">
        <v>23</v>
      </c>
      <c r="L243" s="7">
        <v>29.6</v>
      </c>
      <c r="M243" s="7">
        <v>48.1</v>
      </c>
      <c r="N243" s="7">
        <v>2.5</v>
      </c>
      <c r="O243" s="7">
        <v>135</v>
      </c>
      <c r="P243" s="7" t="s">
        <v>33</v>
      </c>
      <c r="Q243" s="7" t="str">
        <f t="shared" si="12"/>
        <v>Moderate</v>
      </c>
      <c r="R243" s="7" t="str">
        <f t="shared" si="13"/>
        <v>Normal</v>
      </c>
      <c r="S243" s="7" t="str">
        <f t="shared" si="14"/>
        <v>Normal Humidity</v>
      </c>
      <c r="T243" s="7" t="str">
        <f t="shared" si="15"/>
        <v>Moderate Wind</v>
      </c>
    </row>
    <row r="244" spans="1:20" x14ac:dyDescent="0.25">
      <c r="A244" s="7" t="s">
        <v>300</v>
      </c>
      <c r="B244" s="10">
        <v>45953</v>
      </c>
      <c r="C244" s="11" t="s">
        <v>67</v>
      </c>
      <c r="D244" s="11" t="s">
        <v>18</v>
      </c>
      <c r="E244" s="7" t="s">
        <v>91</v>
      </c>
      <c r="F244" s="9">
        <v>64.7</v>
      </c>
      <c r="G244" s="9">
        <v>96</v>
      </c>
      <c r="H244" s="9">
        <v>26.5</v>
      </c>
      <c r="I244" s="9">
        <v>18.2</v>
      </c>
      <c r="J244" s="9">
        <v>0.5</v>
      </c>
      <c r="K244" s="9">
        <v>45.1</v>
      </c>
      <c r="L244" s="7">
        <v>30.1</v>
      </c>
      <c r="M244" s="7">
        <v>54.6</v>
      </c>
      <c r="N244" s="7">
        <v>1.3</v>
      </c>
      <c r="O244" s="7">
        <v>233</v>
      </c>
      <c r="P244" s="7" t="s">
        <v>28</v>
      </c>
      <c r="Q244" s="7" t="str">
        <f t="shared" si="12"/>
        <v>Moderate</v>
      </c>
      <c r="R244" s="7" t="str">
        <f t="shared" si="13"/>
        <v>Hot</v>
      </c>
      <c r="S244" s="7" t="str">
        <f t="shared" si="14"/>
        <v>Normal Humidity</v>
      </c>
      <c r="T244" s="7" t="str">
        <f t="shared" si="15"/>
        <v>Low Wind</v>
      </c>
    </row>
    <row r="245" spans="1:20" x14ac:dyDescent="0.25">
      <c r="A245" s="7" t="s">
        <v>301</v>
      </c>
      <c r="B245" s="10">
        <v>45882</v>
      </c>
      <c r="C245" s="11" t="s">
        <v>54</v>
      </c>
      <c r="D245" s="11" t="s">
        <v>18</v>
      </c>
      <c r="E245" s="7" t="s">
        <v>70</v>
      </c>
      <c r="F245" s="9">
        <v>39.4</v>
      </c>
      <c r="G245" s="9">
        <v>91.2</v>
      </c>
      <c r="H245" s="9">
        <v>32.299999999999997</v>
      </c>
      <c r="I245" s="9">
        <v>7.4</v>
      </c>
      <c r="J245" s="9">
        <v>0.24</v>
      </c>
      <c r="K245" s="9">
        <v>23</v>
      </c>
      <c r="L245" s="7">
        <v>31.7</v>
      </c>
      <c r="M245" s="7">
        <v>48.3</v>
      </c>
      <c r="N245" s="7">
        <v>3.6</v>
      </c>
      <c r="O245" s="7">
        <v>170</v>
      </c>
      <c r="P245" s="7" t="s">
        <v>33</v>
      </c>
      <c r="Q245" s="7" t="str">
        <f t="shared" si="12"/>
        <v>Moderate</v>
      </c>
      <c r="R245" s="7" t="str">
        <f t="shared" si="13"/>
        <v>Hot</v>
      </c>
      <c r="S245" s="7" t="str">
        <f t="shared" si="14"/>
        <v>Normal Humidity</v>
      </c>
      <c r="T245" s="7" t="str">
        <f t="shared" si="15"/>
        <v>Moderate Wind</v>
      </c>
    </row>
    <row r="246" spans="1:20" x14ac:dyDescent="0.25">
      <c r="A246" s="7" t="s">
        <v>302</v>
      </c>
      <c r="B246" s="10">
        <v>45821</v>
      </c>
      <c r="C246" s="11" t="s">
        <v>52</v>
      </c>
      <c r="D246" s="11" t="s">
        <v>31</v>
      </c>
      <c r="E246" s="7" t="s">
        <v>40</v>
      </c>
      <c r="F246" s="9">
        <v>55.2</v>
      </c>
      <c r="G246" s="9">
        <v>101.7</v>
      </c>
      <c r="H246" s="9">
        <v>41.6</v>
      </c>
      <c r="I246" s="9">
        <v>3.4</v>
      </c>
      <c r="J246" s="9">
        <v>1.1599999999999999</v>
      </c>
      <c r="K246" s="9">
        <v>47.5</v>
      </c>
      <c r="L246" s="7">
        <v>30.4</v>
      </c>
      <c r="M246" s="7">
        <v>38.200000000000003</v>
      </c>
      <c r="N246" s="7">
        <v>1.7</v>
      </c>
      <c r="O246" s="7">
        <v>240</v>
      </c>
      <c r="P246" s="7" t="s">
        <v>28</v>
      </c>
      <c r="Q246" s="7" t="str">
        <f t="shared" si="12"/>
        <v>Unhealthy</v>
      </c>
      <c r="R246" s="7" t="str">
        <f t="shared" si="13"/>
        <v>Hot</v>
      </c>
      <c r="S246" s="7" t="str">
        <f t="shared" si="14"/>
        <v>Normal Humidity</v>
      </c>
      <c r="T246" s="7" t="str">
        <f t="shared" si="15"/>
        <v>Low Wind</v>
      </c>
    </row>
    <row r="247" spans="1:20" x14ac:dyDescent="0.25">
      <c r="A247" s="7" t="s">
        <v>303</v>
      </c>
      <c r="B247" s="10">
        <v>45879</v>
      </c>
      <c r="C247" s="11" t="s">
        <v>35</v>
      </c>
      <c r="D247" s="11" t="s">
        <v>36</v>
      </c>
      <c r="E247" s="7" t="s">
        <v>19</v>
      </c>
      <c r="F247" s="9">
        <v>40.200000000000003</v>
      </c>
      <c r="G247" s="9">
        <v>110.5</v>
      </c>
      <c r="H247" s="9">
        <v>63.1</v>
      </c>
      <c r="I247" s="9">
        <v>3.2</v>
      </c>
      <c r="J247" s="9">
        <v>1.71</v>
      </c>
      <c r="K247" s="9">
        <v>61</v>
      </c>
      <c r="L247" s="7">
        <v>28.9</v>
      </c>
      <c r="M247" s="7">
        <v>56.8</v>
      </c>
      <c r="N247" s="7">
        <v>2.7</v>
      </c>
      <c r="O247" s="7">
        <v>259</v>
      </c>
      <c r="P247" s="7" t="s">
        <v>28</v>
      </c>
      <c r="Q247" s="7" t="str">
        <f t="shared" si="12"/>
        <v>Unhealthy</v>
      </c>
      <c r="R247" s="7" t="str">
        <f t="shared" si="13"/>
        <v>Normal</v>
      </c>
      <c r="S247" s="7" t="str">
        <f t="shared" si="14"/>
        <v>Normal Humidity</v>
      </c>
      <c r="T247" s="7" t="str">
        <f t="shared" si="15"/>
        <v>Moderate Wind</v>
      </c>
    </row>
    <row r="248" spans="1:20" x14ac:dyDescent="0.25">
      <c r="A248" s="7" t="s">
        <v>304</v>
      </c>
      <c r="B248" s="10">
        <v>45936</v>
      </c>
      <c r="C248" s="11" t="s">
        <v>50</v>
      </c>
      <c r="D248" s="11" t="s">
        <v>31</v>
      </c>
      <c r="E248" s="7" t="s">
        <v>24</v>
      </c>
      <c r="F248" s="9">
        <v>27.8</v>
      </c>
      <c r="G248" s="9">
        <v>118.1</v>
      </c>
      <c r="H248" s="9">
        <v>25</v>
      </c>
      <c r="I248" s="9">
        <v>6.5</v>
      </c>
      <c r="J248" s="9">
        <v>0.96</v>
      </c>
      <c r="K248" s="9">
        <v>14.4</v>
      </c>
      <c r="L248" s="7">
        <v>21.1</v>
      </c>
      <c r="M248" s="7">
        <v>32.9</v>
      </c>
      <c r="N248" s="7">
        <v>3.4</v>
      </c>
      <c r="O248" s="7">
        <v>176</v>
      </c>
      <c r="P248" s="7" t="s">
        <v>33</v>
      </c>
      <c r="Q248" s="7" t="str">
        <f t="shared" si="12"/>
        <v>Unhealthy</v>
      </c>
      <c r="R248" s="7" t="str">
        <f t="shared" si="13"/>
        <v>Normal</v>
      </c>
      <c r="S248" s="7" t="str">
        <f t="shared" si="14"/>
        <v>Normal Humidity</v>
      </c>
      <c r="T248" s="7" t="str">
        <f t="shared" si="15"/>
        <v>Moderate Wind</v>
      </c>
    </row>
    <row r="249" spans="1:20" x14ac:dyDescent="0.25">
      <c r="A249" s="7" t="s">
        <v>305</v>
      </c>
      <c r="B249" s="10">
        <v>45691</v>
      </c>
      <c r="C249" s="11" t="s">
        <v>35</v>
      </c>
      <c r="D249" s="11" t="s">
        <v>36</v>
      </c>
      <c r="E249" s="7" t="s">
        <v>74</v>
      </c>
      <c r="F249" s="9">
        <v>55.6</v>
      </c>
      <c r="G249" s="9">
        <v>28.1</v>
      </c>
      <c r="H249" s="9">
        <v>11.6</v>
      </c>
      <c r="I249" s="9">
        <v>8.1999999999999993</v>
      </c>
      <c r="J249" s="9">
        <v>1.18</v>
      </c>
      <c r="K249" s="9">
        <v>40.9</v>
      </c>
      <c r="L249" s="7">
        <v>29</v>
      </c>
      <c r="M249" s="7">
        <v>60.8</v>
      </c>
      <c r="N249" s="7">
        <v>1.7</v>
      </c>
      <c r="O249" s="7">
        <v>170</v>
      </c>
      <c r="P249" s="7" t="s">
        <v>33</v>
      </c>
      <c r="Q249" s="7" t="str">
        <f t="shared" si="12"/>
        <v>Good</v>
      </c>
      <c r="R249" s="7" t="str">
        <f t="shared" si="13"/>
        <v>Normal</v>
      </c>
      <c r="S249" s="7" t="str">
        <f t="shared" si="14"/>
        <v>High Humidity</v>
      </c>
      <c r="T249" s="7" t="str">
        <f t="shared" si="15"/>
        <v>Low Wind</v>
      </c>
    </row>
    <row r="250" spans="1:20" x14ac:dyDescent="0.25">
      <c r="A250" s="7" t="s">
        <v>307</v>
      </c>
      <c r="B250" s="10">
        <v>45662</v>
      </c>
      <c r="C250" s="11" t="s">
        <v>17</v>
      </c>
      <c r="D250" s="11" t="s">
        <v>18</v>
      </c>
      <c r="E250" s="7" t="s">
        <v>61</v>
      </c>
      <c r="F250" s="9">
        <v>17</v>
      </c>
      <c r="G250" s="9">
        <v>35</v>
      </c>
      <c r="H250" s="9">
        <v>34.200000000000003</v>
      </c>
      <c r="I250" s="9">
        <v>17.899999999999999</v>
      </c>
      <c r="J250" s="9">
        <v>0.77</v>
      </c>
      <c r="K250" s="9">
        <v>13.7</v>
      </c>
      <c r="L250" s="7">
        <v>18.399999999999999</v>
      </c>
      <c r="M250" s="7">
        <v>59.2</v>
      </c>
      <c r="N250" s="7">
        <v>1.9</v>
      </c>
      <c r="O250" s="7">
        <v>115</v>
      </c>
      <c r="P250" s="7" t="s">
        <v>33</v>
      </c>
      <c r="Q250" s="7" t="str">
        <f t="shared" si="12"/>
        <v>Good</v>
      </c>
      <c r="R250" s="7" t="str">
        <f t="shared" si="13"/>
        <v>Cool</v>
      </c>
      <c r="S250" s="7" t="str">
        <f t="shared" si="14"/>
        <v>Normal Humidity</v>
      </c>
      <c r="T250" s="7" t="str">
        <f t="shared" si="15"/>
        <v>Low Wind</v>
      </c>
    </row>
    <row r="251" spans="1:20" x14ac:dyDescent="0.25">
      <c r="A251" s="7" t="s">
        <v>308</v>
      </c>
      <c r="B251" s="10">
        <v>45869</v>
      </c>
      <c r="C251" s="11" t="s">
        <v>35</v>
      </c>
      <c r="D251" s="11" t="s">
        <v>36</v>
      </c>
      <c r="E251" s="7" t="s">
        <v>70</v>
      </c>
      <c r="F251" s="9">
        <v>55</v>
      </c>
      <c r="G251" s="9">
        <v>143.80000000000001</v>
      </c>
      <c r="H251" s="9">
        <v>9.1</v>
      </c>
      <c r="I251" s="9">
        <v>8.3000000000000007</v>
      </c>
      <c r="J251" s="9">
        <v>0.6</v>
      </c>
      <c r="K251" s="9">
        <v>27.3</v>
      </c>
      <c r="L251" s="7">
        <v>25.4</v>
      </c>
      <c r="M251" s="7">
        <v>70.3</v>
      </c>
      <c r="N251" s="7">
        <v>2.8</v>
      </c>
      <c r="O251" s="7">
        <v>222</v>
      </c>
      <c r="P251" s="7" t="s">
        <v>28</v>
      </c>
      <c r="Q251" s="7" t="str">
        <f t="shared" si="12"/>
        <v>Unhealthy</v>
      </c>
      <c r="R251" s="7" t="str">
        <f t="shared" si="13"/>
        <v>Normal</v>
      </c>
      <c r="S251" s="7" t="str">
        <f t="shared" si="14"/>
        <v>High Humidity</v>
      </c>
      <c r="T251" s="7" t="str">
        <f t="shared" si="15"/>
        <v>Moderate Wind</v>
      </c>
    </row>
    <row r="252" spans="1:20" x14ac:dyDescent="0.25">
      <c r="A252" s="7" t="s">
        <v>309</v>
      </c>
      <c r="B252" s="10">
        <v>45963</v>
      </c>
      <c r="C252" s="11" t="s">
        <v>42</v>
      </c>
      <c r="D252" s="11" t="s">
        <v>23</v>
      </c>
      <c r="E252" s="7" t="s">
        <v>58</v>
      </c>
      <c r="F252" s="9">
        <v>22.1</v>
      </c>
      <c r="G252" s="9">
        <v>146.80000000000001</v>
      </c>
      <c r="H252" s="9">
        <v>13.3</v>
      </c>
      <c r="I252" s="9">
        <v>5</v>
      </c>
      <c r="J252" s="9">
        <v>0.46</v>
      </c>
      <c r="K252" s="9">
        <v>54.4</v>
      </c>
      <c r="L252" s="7">
        <v>28</v>
      </c>
      <c r="M252" s="7">
        <v>64.099999999999994</v>
      </c>
      <c r="N252" s="7">
        <v>3.3</v>
      </c>
      <c r="O252" s="7">
        <v>181</v>
      </c>
      <c r="P252" s="7" t="s">
        <v>33</v>
      </c>
      <c r="Q252" s="7" t="str">
        <f t="shared" si="12"/>
        <v>Unhealthy</v>
      </c>
      <c r="R252" s="7" t="str">
        <f t="shared" si="13"/>
        <v>Normal</v>
      </c>
      <c r="S252" s="7" t="str">
        <f t="shared" si="14"/>
        <v>High Humidity</v>
      </c>
      <c r="T252" s="7" t="str">
        <f t="shared" si="15"/>
        <v>Moderate Wind</v>
      </c>
    </row>
    <row r="253" spans="1:20" x14ac:dyDescent="0.25">
      <c r="A253" s="7" t="s">
        <v>310</v>
      </c>
      <c r="B253" s="10">
        <v>45845</v>
      </c>
      <c r="C253" s="11" t="s">
        <v>42</v>
      </c>
      <c r="D253" s="11" t="s">
        <v>23</v>
      </c>
      <c r="E253" s="7" t="s">
        <v>61</v>
      </c>
      <c r="F253" s="9">
        <v>55.9</v>
      </c>
      <c r="G253" s="9">
        <v>50.4</v>
      </c>
      <c r="H253" s="9">
        <v>19.399999999999999</v>
      </c>
      <c r="I253" s="9">
        <v>4.9000000000000004</v>
      </c>
      <c r="J253" s="9">
        <v>1.67</v>
      </c>
      <c r="K253" s="9">
        <v>39.700000000000003</v>
      </c>
      <c r="L253" s="7">
        <v>13.3</v>
      </c>
      <c r="M253" s="7">
        <v>48.9</v>
      </c>
      <c r="N253" s="7">
        <v>3.4</v>
      </c>
      <c r="O253" s="7">
        <v>201</v>
      </c>
      <c r="P253" s="7" t="s">
        <v>28</v>
      </c>
      <c r="Q253" s="7" t="str">
        <f t="shared" si="12"/>
        <v>Moderate</v>
      </c>
      <c r="R253" s="7" t="str">
        <f t="shared" si="13"/>
        <v>Cool</v>
      </c>
      <c r="S253" s="7" t="str">
        <f t="shared" si="14"/>
        <v>Normal Humidity</v>
      </c>
      <c r="T253" s="7" t="str">
        <f t="shared" si="15"/>
        <v>Moderate Wind</v>
      </c>
    </row>
    <row r="254" spans="1:20" x14ac:dyDescent="0.25">
      <c r="A254" s="7" t="s">
        <v>311</v>
      </c>
      <c r="B254" s="10">
        <v>45665</v>
      </c>
      <c r="C254" s="11" t="s">
        <v>38</v>
      </c>
      <c r="D254" s="11" t="s">
        <v>39</v>
      </c>
      <c r="E254" s="7" t="s">
        <v>97</v>
      </c>
      <c r="F254" s="9">
        <v>26.8</v>
      </c>
      <c r="G254" s="9">
        <v>19.2</v>
      </c>
      <c r="H254" s="9">
        <v>11.9</v>
      </c>
      <c r="I254" s="9">
        <v>7.4</v>
      </c>
      <c r="J254" s="9">
        <v>0.56000000000000005</v>
      </c>
      <c r="K254" s="9">
        <v>38.200000000000003</v>
      </c>
      <c r="L254" s="7">
        <v>35.200000000000003</v>
      </c>
      <c r="M254" s="7">
        <v>59</v>
      </c>
      <c r="N254" s="7">
        <v>1</v>
      </c>
      <c r="O254" s="7">
        <v>101</v>
      </c>
      <c r="P254" s="7" t="s">
        <v>33</v>
      </c>
      <c r="Q254" s="7" t="str">
        <f t="shared" si="12"/>
        <v>Good</v>
      </c>
      <c r="R254" s="7" t="str">
        <f t="shared" si="13"/>
        <v>Hot</v>
      </c>
      <c r="S254" s="7" t="str">
        <f t="shared" si="14"/>
        <v>Normal Humidity</v>
      </c>
      <c r="T254" s="7" t="str">
        <f t="shared" si="15"/>
        <v>Low Wind</v>
      </c>
    </row>
    <row r="255" spans="1:20" x14ac:dyDescent="0.25">
      <c r="A255" s="7" t="s">
        <v>312</v>
      </c>
      <c r="B255" s="10">
        <v>45663</v>
      </c>
      <c r="C255" s="11" t="s">
        <v>30</v>
      </c>
      <c r="D255" s="11" t="s">
        <v>31</v>
      </c>
      <c r="E255" s="7" t="s">
        <v>68</v>
      </c>
      <c r="F255" s="9">
        <v>56.1</v>
      </c>
      <c r="G255" s="9">
        <v>102.9</v>
      </c>
      <c r="H255" s="9">
        <v>29.8</v>
      </c>
      <c r="I255" s="9">
        <v>4.8</v>
      </c>
      <c r="J255" s="9">
        <v>0.67</v>
      </c>
      <c r="K255" s="9">
        <v>81.2</v>
      </c>
      <c r="L255" s="7">
        <v>19.3</v>
      </c>
      <c r="M255" s="7">
        <v>52.1</v>
      </c>
      <c r="N255" s="7">
        <v>3</v>
      </c>
      <c r="O255" s="7">
        <v>237</v>
      </c>
      <c r="P255" s="7" t="s">
        <v>28</v>
      </c>
      <c r="Q255" s="7" t="str">
        <f t="shared" si="12"/>
        <v>Unhealthy</v>
      </c>
      <c r="R255" s="7" t="str">
        <f t="shared" si="13"/>
        <v>Cool</v>
      </c>
      <c r="S255" s="7" t="str">
        <f t="shared" si="14"/>
        <v>Normal Humidity</v>
      </c>
      <c r="T255" s="7" t="str">
        <f t="shared" si="15"/>
        <v>Moderate Wind</v>
      </c>
    </row>
    <row r="256" spans="1:20" x14ac:dyDescent="0.25">
      <c r="A256" s="7" t="s">
        <v>313</v>
      </c>
      <c r="B256" s="10">
        <v>45879</v>
      </c>
      <c r="C256" s="11" t="s">
        <v>64</v>
      </c>
      <c r="D256" s="11" t="s">
        <v>36</v>
      </c>
      <c r="E256" s="7" t="s">
        <v>91</v>
      </c>
      <c r="F256" s="9">
        <v>71.900000000000006</v>
      </c>
      <c r="G256" s="9">
        <v>78.900000000000006</v>
      </c>
      <c r="H256" s="9">
        <v>34</v>
      </c>
      <c r="I256" s="9">
        <v>3.8</v>
      </c>
      <c r="J256" s="9">
        <v>0.19</v>
      </c>
      <c r="K256" s="9">
        <v>22</v>
      </c>
      <c r="L256" s="7">
        <v>22.2</v>
      </c>
      <c r="M256" s="7">
        <v>57.1</v>
      </c>
      <c r="N256" s="7">
        <v>2.7</v>
      </c>
      <c r="O256" s="7">
        <v>211</v>
      </c>
      <c r="P256" s="7" t="s">
        <v>28</v>
      </c>
      <c r="Q256" s="7" t="str">
        <f t="shared" si="12"/>
        <v>Moderate</v>
      </c>
      <c r="R256" s="7" t="str">
        <f t="shared" si="13"/>
        <v>Normal</v>
      </c>
      <c r="S256" s="7" t="str">
        <f t="shared" si="14"/>
        <v>Normal Humidity</v>
      </c>
      <c r="T256" s="7" t="str">
        <f t="shared" si="15"/>
        <v>Moderate Wind</v>
      </c>
    </row>
    <row r="257" spans="1:20" x14ac:dyDescent="0.25">
      <c r="A257" s="7" t="s">
        <v>314</v>
      </c>
      <c r="B257" s="10">
        <v>45937</v>
      </c>
      <c r="C257" s="11" t="s">
        <v>17</v>
      </c>
      <c r="D257" s="11" t="s">
        <v>18</v>
      </c>
      <c r="E257" s="7" t="s">
        <v>32</v>
      </c>
      <c r="F257" s="9">
        <v>18.2</v>
      </c>
      <c r="G257" s="9">
        <v>94.9</v>
      </c>
      <c r="H257" s="9">
        <v>30.1</v>
      </c>
      <c r="I257" s="9">
        <v>7.5</v>
      </c>
      <c r="J257" s="9">
        <v>1.17</v>
      </c>
      <c r="K257" s="9">
        <v>36.9</v>
      </c>
      <c r="L257" s="7">
        <v>29.4</v>
      </c>
      <c r="M257" s="7">
        <v>50</v>
      </c>
      <c r="N257" s="7">
        <v>0.6</v>
      </c>
      <c r="O257" s="7">
        <v>166</v>
      </c>
      <c r="P257" s="7" t="s">
        <v>33</v>
      </c>
      <c r="Q257" s="7" t="str">
        <f t="shared" si="12"/>
        <v>Moderate</v>
      </c>
      <c r="R257" s="7" t="str">
        <f t="shared" si="13"/>
        <v>Normal</v>
      </c>
      <c r="S257" s="7" t="str">
        <f t="shared" si="14"/>
        <v>Normal Humidity</v>
      </c>
      <c r="T257" s="7" t="str">
        <f t="shared" si="15"/>
        <v>Low Wind</v>
      </c>
    </row>
    <row r="258" spans="1:20" x14ac:dyDescent="0.25">
      <c r="A258" s="7" t="s">
        <v>315</v>
      </c>
      <c r="B258" s="10">
        <v>45853</v>
      </c>
      <c r="C258" s="11" t="s">
        <v>64</v>
      </c>
      <c r="D258" s="11" t="s">
        <v>36</v>
      </c>
      <c r="E258" s="7" t="s">
        <v>24</v>
      </c>
      <c r="F258" s="9">
        <v>15.1</v>
      </c>
      <c r="G258" s="9">
        <v>35.299999999999997</v>
      </c>
      <c r="H258" s="9">
        <v>31.7</v>
      </c>
      <c r="I258" s="9">
        <v>7.6</v>
      </c>
      <c r="J258" s="9">
        <v>1.35</v>
      </c>
      <c r="K258" s="9">
        <v>32.5</v>
      </c>
      <c r="L258" s="7">
        <v>29.9</v>
      </c>
      <c r="M258" s="7">
        <v>61.3</v>
      </c>
      <c r="N258" s="7">
        <v>1.1000000000000001</v>
      </c>
      <c r="O258" s="7">
        <v>126</v>
      </c>
      <c r="P258" s="7" t="s">
        <v>33</v>
      </c>
      <c r="Q258" s="7" t="str">
        <f t="shared" si="12"/>
        <v>Good</v>
      </c>
      <c r="R258" s="7" t="str">
        <f t="shared" si="13"/>
        <v>Normal</v>
      </c>
      <c r="S258" s="7" t="str">
        <f t="shared" si="14"/>
        <v>High Humidity</v>
      </c>
      <c r="T258" s="7" t="str">
        <f t="shared" si="15"/>
        <v>Low Wind</v>
      </c>
    </row>
    <row r="259" spans="1:20" x14ac:dyDescent="0.25">
      <c r="A259" s="7" t="s">
        <v>316</v>
      </c>
      <c r="B259" s="10">
        <v>45738</v>
      </c>
      <c r="C259" s="11" t="s">
        <v>38</v>
      </c>
      <c r="D259" s="11" t="s">
        <v>39</v>
      </c>
      <c r="E259" s="7" t="s">
        <v>70</v>
      </c>
      <c r="F259" s="9">
        <v>59.6</v>
      </c>
      <c r="G259" s="9">
        <v>105.2</v>
      </c>
      <c r="H259" s="9">
        <v>8.1</v>
      </c>
      <c r="I259" s="9">
        <v>2.8</v>
      </c>
      <c r="J259" s="9">
        <v>0.46</v>
      </c>
      <c r="K259" s="9">
        <v>40.5</v>
      </c>
      <c r="L259" s="7">
        <v>30.4</v>
      </c>
      <c r="M259" s="7">
        <v>70.099999999999994</v>
      </c>
      <c r="N259" s="7">
        <v>2.1</v>
      </c>
      <c r="O259" s="7">
        <v>202</v>
      </c>
      <c r="P259" s="7" t="s">
        <v>28</v>
      </c>
      <c r="Q259" s="7" t="str">
        <f t="shared" ref="Q259:Q322" si="16">IF(G259&lt;50,"Good",IF(G259&lt;=100,"Moderate",IF(G259&lt;=150,"Unhealthy","VeryUnhealthy")))</f>
        <v>Unhealthy</v>
      </c>
      <c r="R259" s="7" t="str">
        <f t="shared" ref="R259:R322" si="17">IF(L259&lt;20,"Cool",IF(L259&lt;=30,"Normal","Hot"))</f>
        <v>Hot</v>
      </c>
      <c r="S259" s="7" t="str">
        <f t="shared" ref="S259:S322" si="18">IF(M259&lt;30,"Low Humidity",IF(M259&lt;=60,"Normal Humidity","High Humidity"))</f>
        <v>High Humidity</v>
      </c>
      <c r="T259" s="7" t="str">
        <f t="shared" ref="T259:T322" si="19">IF(N259&lt;2,"Low Wind",IF(N259&lt;=5,"Moderate Wind","High Wind"))</f>
        <v>Moderate Wind</v>
      </c>
    </row>
    <row r="260" spans="1:20" x14ac:dyDescent="0.25">
      <c r="A260" s="7" t="s">
        <v>317</v>
      </c>
      <c r="B260" s="10">
        <v>45753</v>
      </c>
      <c r="C260" s="11" t="s">
        <v>35</v>
      </c>
      <c r="D260" s="11" t="s">
        <v>36</v>
      </c>
      <c r="E260" s="7" t="s">
        <v>19</v>
      </c>
      <c r="F260" s="9">
        <v>42.3</v>
      </c>
      <c r="G260" s="9">
        <v>149.5</v>
      </c>
      <c r="H260" s="9">
        <v>21.6</v>
      </c>
      <c r="I260" s="9">
        <v>23.8</v>
      </c>
      <c r="J260" s="9">
        <v>0.79</v>
      </c>
      <c r="K260" s="9">
        <v>17.8</v>
      </c>
      <c r="L260" s="7">
        <v>25.6</v>
      </c>
      <c r="M260" s="7">
        <v>63.2</v>
      </c>
      <c r="N260" s="7">
        <v>2.6</v>
      </c>
      <c r="O260" s="7">
        <v>227</v>
      </c>
      <c r="P260" s="7" t="s">
        <v>28</v>
      </c>
      <c r="Q260" s="7" t="str">
        <f t="shared" si="16"/>
        <v>Unhealthy</v>
      </c>
      <c r="R260" s="7" t="str">
        <f t="shared" si="17"/>
        <v>Normal</v>
      </c>
      <c r="S260" s="7" t="str">
        <f t="shared" si="18"/>
        <v>High Humidity</v>
      </c>
      <c r="T260" s="7" t="str">
        <f t="shared" si="19"/>
        <v>Moderate Wind</v>
      </c>
    </row>
    <row r="261" spans="1:20" x14ac:dyDescent="0.25">
      <c r="A261" s="7" t="s">
        <v>318</v>
      </c>
      <c r="B261" s="10">
        <v>45827</v>
      </c>
      <c r="C261" s="11" t="s">
        <v>81</v>
      </c>
      <c r="D261" s="11" t="s">
        <v>39</v>
      </c>
      <c r="E261" s="7" t="s">
        <v>91</v>
      </c>
      <c r="F261" s="9">
        <v>27.8</v>
      </c>
      <c r="G261" s="9">
        <v>143.19999999999999</v>
      </c>
      <c r="H261" s="9">
        <v>18.600000000000001</v>
      </c>
      <c r="I261" s="9">
        <v>15.4</v>
      </c>
      <c r="J261" s="9">
        <v>0.28999999999999998</v>
      </c>
      <c r="K261" s="9">
        <v>28.7</v>
      </c>
      <c r="L261" s="7">
        <v>20</v>
      </c>
      <c r="M261" s="7">
        <v>53.1</v>
      </c>
      <c r="N261" s="7">
        <v>4</v>
      </c>
      <c r="O261" s="7">
        <v>183</v>
      </c>
      <c r="P261" s="7" t="s">
        <v>33</v>
      </c>
      <c r="Q261" s="7" t="str">
        <f t="shared" si="16"/>
        <v>Unhealthy</v>
      </c>
      <c r="R261" s="7" t="str">
        <f t="shared" si="17"/>
        <v>Normal</v>
      </c>
      <c r="S261" s="7" t="str">
        <f t="shared" si="18"/>
        <v>Normal Humidity</v>
      </c>
      <c r="T261" s="7" t="str">
        <f t="shared" si="19"/>
        <v>Moderate Wind</v>
      </c>
    </row>
    <row r="262" spans="1:20" x14ac:dyDescent="0.25">
      <c r="A262" s="7" t="s">
        <v>319</v>
      </c>
      <c r="B262" s="10">
        <v>45708</v>
      </c>
      <c r="C262" s="11" t="s">
        <v>93</v>
      </c>
      <c r="D262" s="11" t="s">
        <v>36</v>
      </c>
      <c r="E262" s="7" t="s">
        <v>58</v>
      </c>
      <c r="F262" s="9">
        <v>52.3</v>
      </c>
      <c r="G262" s="9">
        <v>141.1</v>
      </c>
      <c r="H262" s="9">
        <v>40.299999999999997</v>
      </c>
      <c r="I262" s="9">
        <v>26.3</v>
      </c>
      <c r="J262" s="9">
        <v>1.08</v>
      </c>
      <c r="K262" s="9">
        <v>48.1</v>
      </c>
      <c r="L262" s="7">
        <v>28</v>
      </c>
      <c r="M262" s="7">
        <v>67.400000000000006</v>
      </c>
      <c r="N262" s="7">
        <v>2.9</v>
      </c>
      <c r="O262" s="7">
        <v>275</v>
      </c>
      <c r="P262" s="7" t="s">
        <v>28</v>
      </c>
      <c r="Q262" s="7" t="str">
        <f t="shared" si="16"/>
        <v>Unhealthy</v>
      </c>
      <c r="R262" s="7" t="str">
        <f t="shared" si="17"/>
        <v>Normal</v>
      </c>
      <c r="S262" s="7" t="str">
        <f t="shared" si="18"/>
        <v>High Humidity</v>
      </c>
      <c r="T262" s="7" t="str">
        <f t="shared" si="19"/>
        <v>Moderate Wind</v>
      </c>
    </row>
    <row r="263" spans="1:20" x14ac:dyDescent="0.25">
      <c r="A263" s="7" t="s">
        <v>320</v>
      </c>
      <c r="B263" s="10">
        <v>45824</v>
      </c>
      <c r="C263" s="11" t="s">
        <v>67</v>
      </c>
      <c r="D263" s="11" t="s">
        <v>18</v>
      </c>
      <c r="E263" s="7" t="s">
        <v>74</v>
      </c>
      <c r="F263" s="9">
        <v>29.2</v>
      </c>
      <c r="G263" s="9">
        <v>63.7</v>
      </c>
      <c r="H263" s="9">
        <v>19.8</v>
      </c>
      <c r="I263" s="9">
        <v>7.2</v>
      </c>
      <c r="J263" s="9">
        <v>0.17</v>
      </c>
      <c r="K263" s="9">
        <v>50.5</v>
      </c>
      <c r="L263" s="7">
        <v>24.5</v>
      </c>
      <c r="M263" s="7">
        <v>46.3</v>
      </c>
      <c r="N263" s="7">
        <v>3.1</v>
      </c>
      <c r="O263" s="7">
        <v>136</v>
      </c>
      <c r="P263" s="7" t="s">
        <v>33</v>
      </c>
      <c r="Q263" s="7" t="str">
        <f t="shared" si="16"/>
        <v>Moderate</v>
      </c>
      <c r="R263" s="7" t="str">
        <f t="shared" si="17"/>
        <v>Normal</v>
      </c>
      <c r="S263" s="7" t="str">
        <f t="shared" si="18"/>
        <v>Normal Humidity</v>
      </c>
      <c r="T263" s="7" t="str">
        <f t="shared" si="19"/>
        <v>Moderate Wind</v>
      </c>
    </row>
    <row r="264" spans="1:20" x14ac:dyDescent="0.25">
      <c r="A264" s="7" t="s">
        <v>321</v>
      </c>
      <c r="B264" s="10">
        <v>45715</v>
      </c>
      <c r="C264" s="11" t="s">
        <v>54</v>
      </c>
      <c r="D264" s="11" t="s">
        <v>18</v>
      </c>
      <c r="E264" s="7" t="s">
        <v>40</v>
      </c>
      <c r="F264" s="9">
        <v>20.8</v>
      </c>
      <c r="G264" s="9">
        <v>153.1</v>
      </c>
      <c r="H264" s="9">
        <v>24.2</v>
      </c>
      <c r="I264" s="9">
        <v>25.1</v>
      </c>
      <c r="J264" s="9">
        <v>0.94</v>
      </c>
      <c r="K264" s="9">
        <v>4.3</v>
      </c>
      <c r="L264" s="7">
        <v>22.4</v>
      </c>
      <c r="M264" s="7">
        <v>77</v>
      </c>
      <c r="N264" s="7">
        <v>2.2000000000000002</v>
      </c>
      <c r="O264" s="7">
        <v>195</v>
      </c>
      <c r="P264" s="7" t="s">
        <v>33</v>
      </c>
      <c r="Q264" s="7" t="str">
        <f t="shared" si="16"/>
        <v>VeryUnhealthy</v>
      </c>
      <c r="R264" s="7" t="str">
        <f t="shared" si="17"/>
        <v>Normal</v>
      </c>
      <c r="S264" s="7" t="str">
        <f t="shared" si="18"/>
        <v>High Humidity</v>
      </c>
      <c r="T264" s="7" t="str">
        <f t="shared" si="19"/>
        <v>Moderate Wind</v>
      </c>
    </row>
    <row r="265" spans="1:20" x14ac:dyDescent="0.25">
      <c r="A265" s="7" t="s">
        <v>322</v>
      </c>
      <c r="B265" s="10">
        <v>45906</v>
      </c>
      <c r="C265" s="11" t="s">
        <v>52</v>
      </c>
      <c r="D265" s="11" t="s">
        <v>31</v>
      </c>
      <c r="E265" s="7" t="s">
        <v>24</v>
      </c>
      <c r="F265" s="9">
        <v>10.3</v>
      </c>
      <c r="G265" s="9">
        <v>43.2</v>
      </c>
      <c r="H265" s="9">
        <v>19.3</v>
      </c>
      <c r="I265" s="9">
        <v>10.3</v>
      </c>
      <c r="J265" s="9">
        <v>0.3</v>
      </c>
      <c r="K265" s="9">
        <v>74.400000000000006</v>
      </c>
      <c r="L265" s="7">
        <v>28.2</v>
      </c>
      <c r="M265" s="7">
        <v>73.2</v>
      </c>
      <c r="N265" s="7">
        <v>2.7</v>
      </c>
      <c r="O265" s="7">
        <v>108</v>
      </c>
      <c r="P265" s="7" t="s">
        <v>33</v>
      </c>
      <c r="Q265" s="7" t="str">
        <f t="shared" si="16"/>
        <v>Good</v>
      </c>
      <c r="R265" s="7" t="str">
        <f t="shared" si="17"/>
        <v>Normal</v>
      </c>
      <c r="S265" s="7" t="str">
        <f t="shared" si="18"/>
        <v>High Humidity</v>
      </c>
      <c r="T265" s="7" t="str">
        <f t="shared" si="19"/>
        <v>Moderate Wind</v>
      </c>
    </row>
    <row r="266" spans="1:20" x14ac:dyDescent="0.25">
      <c r="A266" s="7" t="s">
        <v>323</v>
      </c>
      <c r="B266" s="10">
        <v>45924</v>
      </c>
      <c r="C266" s="11" t="s">
        <v>81</v>
      </c>
      <c r="D266" s="11" t="s">
        <v>39</v>
      </c>
      <c r="E266" s="7" t="s">
        <v>74</v>
      </c>
      <c r="F266" s="9">
        <v>79.3</v>
      </c>
      <c r="G266" s="9">
        <v>61.9</v>
      </c>
      <c r="H266" s="9">
        <v>8.9</v>
      </c>
      <c r="I266" s="9">
        <v>16.600000000000001</v>
      </c>
      <c r="J266" s="9">
        <v>0.15</v>
      </c>
      <c r="K266" s="9">
        <v>52.4</v>
      </c>
      <c r="L266" s="7">
        <v>29.5</v>
      </c>
      <c r="M266" s="7">
        <v>78.900000000000006</v>
      </c>
      <c r="N266" s="7">
        <v>3.4</v>
      </c>
      <c r="O266" s="7">
        <v>213</v>
      </c>
      <c r="P266" s="7" t="s">
        <v>28</v>
      </c>
      <c r="Q266" s="7" t="str">
        <f t="shared" si="16"/>
        <v>Moderate</v>
      </c>
      <c r="R266" s="7" t="str">
        <f t="shared" si="17"/>
        <v>Normal</v>
      </c>
      <c r="S266" s="7" t="str">
        <f t="shared" si="18"/>
        <v>High Humidity</v>
      </c>
      <c r="T266" s="7" t="str">
        <f t="shared" si="19"/>
        <v>Moderate Wind</v>
      </c>
    </row>
    <row r="267" spans="1:20" x14ac:dyDescent="0.25">
      <c r="A267" s="7" t="s">
        <v>324</v>
      </c>
      <c r="B267" s="10">
        <v>45972</v>
      </c>
      <c r="C267" s="11" t="s">
        <v>52</v>
      </c>
      <c r="D267" s="11" t="s">
        <v>31</v>
      </c>
      <c r="E267" s="7" t="s">
        <v>74</v>
      </c>
      <c r="F267" s="9">
        <v>86.3</v>
      </c>
      <c r="G267" s="9">
        <v>39.5</v>
      </c>
      <c r="H267" s="9">
        <v>11.7</v>
      </c>
      <c r="I267" s="9">
        <v>2.8</v>
      </c>
      <c r="J267" s="9">
        <v>2.4300000000000002</v>
      </c>
      <c r="K267" s="9">
        <v>37.799999999999997</v>
      </c>
      <c r="L267" s="7">
        <v>32.6</v>
      </c>
      <c r="M267" s="7">
        <v>52.7</v>
      </c>
      <c r="N267" s="7">
        <v>2</v>
      </c>
      <c r="O267" s="7">
        <v>253</v>
      </c>
      <c r="P267" s="7" t="s">
        <v>28</v>
      </c>
      <c r="Q267" s="7" t="str">
        <f t="shared" si="16"/>
        <v>Good</v>
      </c>
      <c r="R267" s="7" t="str">
        <f t="shared" si="17"/>
        <v>Hot</v>
      </c>
      <c r="S267" s="7" t="str">
        <f t="shared" si="18"/>
        <v>Normal Humidity</v>
      </c>
      <c r="T267" s="7" t="str">
        <f t="shared" si="19"/>
        <v>Moderate Wind</v>
      </c>
    </row>
    <row r="268" spans="1:20" x14ac:dyDescent="0.25">
      <c r="A268" s="7" t="s">
        <v>325</v>
      </c>
      <c r="B268" s="10">
        <v>45732</v>
      </c>
      <c r="C268" s="11" t="s">
        <v>38</v>
      </c>
      <c r="D268" s="11" t="s">
        <v>39</v>
      </c>
      <c r="E268" s="7" t="s">
        <v>58</v>
      </c>
      <c r="F268" s="9">
        <v>80.099999999999994</v>
      </c>
      <c r="G268" s="9">
        <v>47.2</v>
      </c>
      <c r="H268" s="9">
        <v>12.8</v>
      </c>
      <c r="I268" s="9">
        <v>7.2</v>
      </c>
      <c r="J268" s="9">
        <v>0.49</v>
      </c>
      <c r="K268" s="9">
        <v>65.400000000000006</v>
      </c>
      <c r="L268" s="7">
        <v>19</v>
      </c>
      <c r="M268" s="7">
        <v>56.5</v>
      </c>
      <c r="N268" s="7">
        <v>1.6</v>
      </c>
      <c r="O268" s="7">
        <v>216</v>
      </c>
      <c r="P268" s="7" t="s">
        <v>28</v>
      </c>
      <c r="Q268" s="7" t="str">
        <f t="shared" si="16"/>
        <v>Good</v>
      </c>
      <c r="R268" s="7" t="str">
        <f t="shared" si="17"/>
        <v>Cool</v>
      </c>
      <c r="S268" s="7" t="str">
        <f t="shared" si="18"/>
        <v>Normal Humidity</v>
      </c>
      <c r="T268" s="7" t="str">
        <f t="shared" si="19"/>
        <v>Low Wind</v>
      </c>
    </row>
    <row r="269" spans="1:20" x14ac:dyDescent="0.25">
      <c r="A269" s="7" t="s">
        <v>326</v>
      </c>
      <c r="B269" s="10">
        <v>45942</v>
      </c>
      <c r="C269" s="11" t="s">
        <v>54</v>
      </c>
      <c r="D269" s="11" t="s">
        <v>18</v>
      </c>
      <c r="E269" s="7" t="s">
        <v>24</v>
      </c>
      <c r="F269" s="9">
        <v>73.2</v>
      </c>
      <c r="G269" s="9">
        <v>25.1</v>
      </c>
      <c r="H269" s="9">
        <v>23.7</v>
      </c>
      <c r="I269" s="9">
        <v>13.9</v>
      </c>
      <c r="J269" s="9">
        <v>0.45</v>
      </c>
      <c r="K269" s="9">
        <v>30.4</v>
      </c>
      <c r="L269" s="7">
        <v>27.5</v>
      </c>
      <c r="M269" s="7">
        <v>48.1</v>
      </c>
      <c r="N269" s="7">
        <v>2.2000000000000002</v>
      </c>
      <c r="O269" s="7">
        <v>187</v>
      </c>
      <c r="P269" s="7" t="s">
        <v>33</v>
      </c>
      <c r="Q269" s="7" t="str">
        <f t="shared" si="16"/>
        <v>Good</v>
      </c>
      <c r="R269" s="7" t="str">
        <f t="shared" si="17"/>
        <v>Normal</v>
      </c>
      <c r="S269" s="7" t="str">
        <f t="shared" si="18"/>
        <v>Normal Humidity</v>
      </c>
      <c r="T269" s="7" t="str">
        <f t="shared" si="19"/>
        <v>Moderate Wind</v>
      </c>
    </row>
    <row r="270" spans="1:20" x14ac:dyDescent="0.25">
      <c r="A270" s="7" t="s">
        <v>327</v>
      </c>
      <c r="B270" s="10">
        <v>45958</v>
      </c>
      <c r="C270" s="11" t="s">
        <v>42</v>
      </c>
      <c r="D270" s="11" t="s">
        <v>23</v>
      </c>
      <c r="E270" s="7" t="s">
        <v>68</v>
      </c>
      <c r="F270" s="9">
        <v>39.200000000000003</v>
      </c>
      <c r="G270" s="9">
        <v>68.3</v>
      </c>
      <c r="H270" s="9">
        <v>66.400000000000006</v>
      </c>
      <c r="I270" s="9">
        <v>12.8</v>
      </c>
      <c r="J270" s="9">
        <v>0.41</v>
      </c>
      <c r="K270" s="9">
        <v>29.1</v>
      </c>
      <c r="L270" s="7">
        <v>26.4</v>
      </c>
      <c r="M270" s="7">
        <v>69.5</v>
      </c>
      <c r="N270" s="7">
        <v>1.7</v>
      </c>
      <c r="O270" s="7">
        <v>193</v>
      </c>
      <c r="P270" s="7" t="s">
        <v>33</v>
      </c>
      <c r="Q270" s="7" t="str">
        <f t="shared" si="16"/>
        <v>Moderate</v>
      </c>
      <c r="R270" s="7" t="str">
        <f t="shared" si="17"/>
        <v>Normal</v>
      </c>
      <c r="S270" s="7" t="str">
        <f t="shared" si="18"/>
        <v>High Humidity</v>
      </c>
      <c r="T270" s="7" t="str">
        <f t="shared" si="19"/>
        <v>Low Wind</v>
      </c>
    </row>
    <row r="271" spans="1:20" x14ac:dyDescent="0.25">
      <c r="A271" s="7" t="s">
        <v>328</v>
      </c>
      <c r="B271" s="10">
        <v>45735</v>
      </c>
      <c r="C271" s="11" t="s">
        <v>93</v>
      </c>
      <c r="D271" s="11" t="s">
        <v>36</v>
      </c>
      <c r="E271" s="7" t="s">
        <v>58</v>
      </c>
      <c r="F271" s="9">
        <v>114.3</v>
      </c>
      <c r="G271" s="9">
        <v>61.9</v>
      </c>
      <c r="H271" s="9">
        <v>22.2</v>
      </c>
      <c r="I271" s="9">
        <v>16.3</v>
      </c>
      <c r="J271" s="9">
        <v>0.63</v>
      </c>
      <c r="K271" s="9">
        <v>31.7</v>
      </c>
      <c r="L271" s="7">
        <v>30.3</v>
      </c>
      <c r="M271" s="7">
        <v>64.3</v>
      </c>
      <c r="N271" s="7">
        <v>0.8</v>
      </c>
      <c r="O271" s="7">
        <v>282</v>
      </c>
      <c r="P271" s="7" t="s">
        <v>28</v>
      </c>
      <c r="Q271" s="7" t="str">
        <f t="shared" si="16"/>
        <v>Moderate</v>
      </c>
      <c r="R271" s="7" t="str">
        <f t="shared" si="17"/>
        <v>Hot</v>
      </c>
      <c r="S271" s="7" t="str">
        <f t="shared" si="18"/>
        <v>High Humidity</v>
      </c>
      <c r="T271" s="7" t="str">
        <f t="shared" si="19"/>
        <v>Low Wind</v>
      </c>
    </row>
    <row r="272" spans="1:20" x14ac:dyDescent="0.25">
      <c r="A272" s="7" t="s">
        <v>329</v>
      </c>
      <c r="B272" s="10">
        <v>45981</v>
      </c>
      <c r="C272" s="11" t="s">
        <v>38</v>
      </c>
      <c r="D272" s="11" t="s">
        <v>39</v>
      </c>
      <c r="E272" s="7" t="s">
        <v>74</v>
      </c>
      <c r="F272" s="9">
        <v>31.5</v>
      </c>
      <c r="G272" s="9">
        <v>74</v>
      </c>
      <c r="H272" s="9">
        <v>46.6</v>
      </c>
      <c r="I272" s="9">
        <v>34.799999999999997</v>
      </c>
      <c r="J272" s="9">
        <v>1.2</v>
      </c>
      <c r="K272" s="9">
        <v>33.799999999999997</v>
      </c>
      <c r="L272" s="7">
        <v>25.5</v>
      </c>
      <c r="M272" s="7">
        <v>62.4</v>
      </c>
      <c r="N272" s="7">
        <v>0.7</v>
      </c>
      <c r="O272" s="7">
        <v>205</v>
      </c>
      <c r="P272" s="7" t="s">
        <v>28</v>
      </c>
      <c r="Q272" s="7" t="str">
        <f t="shared" si="16"/>
        <v>Moderate</v>
      </c>
      <c r="R272" s="7" t="str">
        <f t="shared" si="17"/>
        <v>Normal</v>
      </c>
      <c r="S272" s="7" t="str">
        <f t="shared" si="18"/>
        <v>High Humidity</v>
      </c>
      <c r="T272" s="7" t="str">
        <f t="shared" si="19"/>
        <v>Low Wind</v>
      </c>
    </row>
    <row r="273" spans="1:20" x14ac:dyDescent="0.25">
      <c r="A273" s="7" t="s">
        <v>330</v>
      </c>
      <c r="B273" s="10">
        <v>45741</v>
      </c>
      <c r="C273" s="11" t="s">
        <v>30</v>
      </c>
      <c r="D273" s="11" t="s">
        <v>31</v>
      </c>
      <c r="E273" s="7" t="s">
        <v>74</v>
      </c>
      <c r="F273" s="9">
        <v>74.2</v>
      </c>
      <c r="G273" s="9">
        <v>64.900000000000006</v>
      </c>
      <c r="H273" s="9">
        <v>36</v>
      </c>
      <c r="I273" s="9">
        <v>17.399999999999999</v>
      </c>
      <c r="J273" s="9">
        <v>0.35</v>
      </c>
      <c r="K273" s="9">
        <v>35.799999999999997</v>
      </c>
      <c r="L273" s="7">
        <v>13.1</v>
      </c>
      <c r="M273" s="7">
        <v>63.6</v>
      </c>
      <c r="N273" s="7">
        <v>3.4</v>
      </c>
      <c r="O273" s="7">
        <v>227</v>
      </c>
      <c r="P273" s="7" t="s">
        <v>28</v>
      </c>
      <c r="Q273" s="7" t="str">
        <f t="shared" si="16"/>
        <v>Moderate</v>
      </c>
      <c r="R273" s="7" t="str">
        <f t="shared" si="17"/>
        <v>Cool</v>
      </c>
      <c r="S273" s="7" t="str">
        <f t="shared" si="18"/>
        <v>High Humidity</v>
      </c>
      <c r="T273" s="7" t="str">
        <f t="shared" si="19"/>
        <v>Moderate Wind</v>
      </c>
    </row>
    <row r="274" spans="1:20" x14ac:dyDescent="0.25">
      <c r="A274" s="7" t="s">
        <v>331</v>
      </c>
      <c r="B274" s="10">
        <v>45762</v>
      </c>
      <c r="C274" s="11" t="s">
        <v>52</v>
      </c>
      <c r="D274" s="11" t="s">
        <v>31</v>
      </c>
      <c r="E274" s="7" t="s">
        <v>70</v>
      </c>
      <c r="F274" s="9">
        <v>64.900000000000006</v>
      </c>
      <c r="G274" s="9">
        <v>88.9</v>
      </c>
      <c r="H274" s="9">
        <v>50.3</v>
      </c>
      <c r="I274" s="9">
        <v>13.8</v>
      </c>
      <c r="J274" s="9">
        <v>0.68</v>
      </c>
      <c r="K274" s="9">
        <v>19.100000000000001</v>
      </c>
      <c r="L274" s="7">
        <v>20.399999999999999</v>
      </c>
      <c r="M274" s="7">
        <v>57.6</v>
      </c>
      <c r="N274" s="7">
        <v>1</v>
      </c>
      <c r="O274" s="7">
        <v>237</v>
      </c>
      <c r="P274" s="7" t="s">
        <v>28</v>
      </c>
      <c r="Q274" s="7" t="str">
        <f t="shared" si="16"/>
        <v>Moderate</v>
      </c>
      <c r="R274" s="7" t="str">
        <f t="shared" si="17"/>
        <v>Normal</v>
      </c>
      <c r="S274" s="7" t="str">
        <f t="shared" si="18"/>
        <v>Normal Humidity</v>
      </c>
      <c r="T274" s="7" t="str">
        <f t="shared" si="19"/>
        <v>Low Wind</v>
      </c>
    </row>
    <row r="275" spans="1:20" x14ac:dyDescent="0.25">
      <c r="A275" s="7" t="s">
        <v>332</v>
      </c>
      <c r="B275" s="10">
        <v>45814</v>
      </c>
      <c r="C275" s="11" t="s">
        <v>52</v>
      </c>
      <c r="D275" s="11" t="s">
        <v>31</v>
      </c>
      <c r="E275" s="7" t="s">
        <v>55</v>
      </c>
      <c r="F275" s="9">
        <v>40.1</v>
      </c>
      <c r="G275" s="9">
        <v>241.9</v>
      </c>
      <c r="H275" s="9">
        <v>23.5</v>
      </c>
      <c r="I275" s="9">
        <v>19.899999999999999</v>
      </c>
      <c r="J275" s="9">
        <v>1.41</v>
      </c>
      <c r="K275" s="9">
        <v>14.4</v>
      </c>
      <c r="L275" s="7">
        <v>24</v>
      </c>
      <c r="M275" s="7">
        <v>54.2</v>
      </c>
      <c r="N275" s="7">
        <v>1.6</v>
      </c>
      <c r="O275" s="7">
        <v>296</v>
      </c>
      <c r="P275" s="7" t="s">
        <v>28</v>
      </c>
      <c r="Q275" s="7" t="str">
        <f t="shared" si="16"/>
        <v>VeryUnhealthy</v>
      </c>
      <c r="R275" s="7" t="str">
        <f t="shared" si="17"/>
        <v>Normal</v>
      </c>
      <c r="S275" s="7" t="str">
        <f t="shared" si="18"/>
        <v>Normal Humidity</v>
      </c>
      <c r="T275" s="7" t="str">
        <f t="shared" si="19"/>
        <v>Low Wind</v>
      </c>
    </row>
    <row r="276" spans="1:20" x14ac:dyDescent="0.25">
      <c r="A276" s="7" t="s">
        <v>333</v>
      </c>
      <c r="B276" s="10">
        <v>45955</v>
      </c>
      <c r="C276" s="11" t="s">
        <v>67</v>
      </c>
      <c r="D276" s="11" t="s">
        <v>18</v>
      </c>
      <c r="E276" s="7" t="s">
        <v>27</v>
      </c>
      <c r="F276" s="9">
        <v>106</v>
      </c>
      <c r="G276" s="9">
        <v>48</v>
      </c>
      <c r="H276" s="9">
        <v>27.1</v>
      </c>
      <c r="I276" s="9">
        <v>20.2</v>
      </c>
      <c r="J276" s="9">
        <v>1.1399999999999999</v>
      </c>
      <c r="K276" s="9">
        <v>43.8</v>
      </c>
      <c r="L276" s="7">
        <v>22.9</v>
      </c>
      <c r="M276" s="7">
        <v>30.2</v>
      </c>
      <c r="N276" s="7">
        <v>1.7</v>
      </c>
      <c r="O276" s="7">
        <v>285</v>
      </c>
      <c r="P276" s="7" t="s">
        <v>28</v>
      </c>
      <c r="Q276" s="7" t="str">
        <f t="shared" si="16"/>
        <v>Good</v>
      </c>
      <c r="R276" s="7" t="str">
        <f t="shared" si="17"/>
        <v>Normal</v>
      </c>
      <c r="S276" s="7" t="str">
        <f t="shared" si="18"/>
        <v>Normal Humidity</v>
      </c>
      <c r="T276" s="7" t="str">
        <f t="shared" si="19"/>
        <v>Low Wind</v>
      </c>
    </row>
    <row r="277" spans="1:20" x14ac:dyDescent="0.25">
      <c r="A277" s="7" t="s">
        <v>334</v>
      </c>
      <c r="B277" s="10">
        <v>45791</v>
      </c>
      <c r="C277" s="11" t="s">
        <v>17</v>
      </c>
      <c r="D277" s="11" t="s">
        <v>18</v>
      </c>
      <c r="E277" s="7" t="s">
        <v>97</v>
      </c>
      <c r="F277" s="9">
        <v>87.8</v>
      </c>
      <c r="G277" s="9">
        <v>123.4</v>
      </c>
      <c r="H277" s="9">
        <v>14</v>
      </c>
      <c r="I277" s="9">
        <v>6.7</v>
      </c>
      <c r="J277" s="9">
        <v>0.7</v>
      </c>
      <c r="K277" s="9">
        <v>34.6</v>
      </c>
      <c r="L277" s="7">
        <v>23.3</v>
      </c>
      <c r="M277" s="7">
        <v>64.8</v>
      </c>
      <c r="N277" s="7">
        <v>1.4</v>
      </c>
      <c r="O277" s="7">
        <v>270</v>
      </c>
      <c r="P277" s="7" t="s">
        <v>28</v>
      </c>
      <c r="Q277" s="7" t="str">
        <f t="shared" si="16"/>
        <v>Unhealthy</v>
      </c>
      <c r="R277" s="7" t="str">
        <f t="shared" si="17"/>
        <v>Normal</v>
      </c>
      <c r="S277" s="7" t="str">
        <f t="shared" si="18"/>
        <v>High Humidity</v>
      </c>
      <c r="T277" s="7" t="str">
        <f t="shared" si="19"/>
        <v>Low Wind</v>
      </c>
    </row>
    <row r="278" spans="1:20" x14ac:dyDescent="0.25">
      <c r="A278" s="7" t="s">
        <v>335</v>
      </c>
      <c r="B278" s="10">
        <v>45952</v>
      </c>
      <c r="C278" s="11" t="s">
        <v>54</v>
      </c>
      <c r="D278" s="11" t="s">
        <v>18</v>
      </c>
      <c r="E278" s="7" t="s">
        <v>61</v>
      </c>
      <c r="F278" s="9">
        <v>65.400000000000006</v>
      </c>
      <c r="G278" s="9">
        <v>57.4</v>
      </c>
      <c r="H278" s="9">
        <v>35.799999999999997</v>
      </c>
      <c r="I278" s="9">
        <v>19.5</v>
      </c>
      <c r="J278" s="9">
        <v>0.16</v>
      </c>
      <c r="K278" s="9">
        <v>19.7</v>
      </c>
      <c r="L278" s="7">
        <v>27.3</v>
      </c>
      <c r="M278" s="7">
        <v>71</v>
      </c>
      <c r="N278" s="7">
        <v>0.8</v>
      </c>
      <c r="O278" s="7">
        <v>197</v>
      </c>
      <c r="P278" s="7" t="s">
        <v>33</v>
      </c>
      <c r="Q278" s="7" t="str">
        <f t="shared" si="16"/>
        <v>Moderate</v>
      </c>
      <c r="R278" s="7" t="str">
        <f t="shared" si="17"/>
        <v>Normal</v>
      </c>
      <c r="S278" s="7" t="str">
        <f t="shared" si="18"/>
        <v>High Humidity</v>
      </c>
      <c r="T278" s="7" t="str">
        <f t="shared" si="19"/>
        <v>Low Wind</v>
      </c>
    </row>
    <row r="279" spans="1:20" x14ac:dyDescent="0.25">
      <c r="A279" s="7" t="s">
        <v>336</v>
      </c>
      <c r="B279" s="10">
        <v>45920</v>
      </c>
      <c r="C279" s="11" t="s">
        <v>35</v>
      </c>
      <c r="D279" s="11" t="s">
        <v>36</v>
      </c>
      <c r="E279" s="7" t="s">
        <v>24</v>
      </c>
      <c r="F279" s="9">
        <v>48.1</v>
      </c>
      <c r="G279" s="9">
        <v>36.299999999999997</v>
      </c>
      <c r="H279" s="9">
        <v>33.1</v>
      </c>
      <c r="I279" s="9">
        <v>4.5</v>
      </c>
      <c r="J279" s="9">
        <v>0.42</v>
      </c>
      <c r="K279" s="9">
        <v>44.5</v>
      </c>
      <c r="L279" s="7">
        <v>28</v>
      </c>
      <c r="M279" s="7">
        <v>45</v>
      </c>
      <c r="N279" s="7">
        <v>2.8</v>
      </c>
      <c r="O279" s="7">
        <v>161</v>
      </c>
      <c r="P279" s="7" t="s">
        <v>33</v>
      </c>
      <c r="Q279" s="7" t="str">
        <f t="shared" si="16"/>
        <v>Good</v>
      </c>
      <c r="R279" s="7" t="str">
        <f t="shared" si="17"/>
        <v>Normal</v>
      </c>
      <c r="S279" s="7" t="str">
        <f t="shared" si="18"/>
        <v>Normal Humidity</v>
      </c>
      <c r="T279" s="7" t="str">
        <f t="shared" si="19"/>
        <v>Moderate Wind</v>
      </c>
    </row>
    <row r="280" spans="1:20" x14ac:dyDescent="0.25">
      <c r="A280" s="7" t="s">
        <v>337</v>
      </c>
      <c r="B280" s="10">
        <v>45870</v>
      </c>
      <c r="C280" s="11" t="s">
        <v>52</v>
      </c>
      <c r="D280" s="11" t="s">
        <v>31</v>
      </c>
      <c r="E280" s="7" t="s">
        <v>27</v>
      </c>
      <c r="F280" s="9">
        <v>30.3</v>
      </c>
      <c r="G280" s="9">
        <v>50.5</v>
      </c>
      <c r="H280" s="9">
        <v>22.6</v>
      </c>
      <c r="I280" s="9">
        <v>0.8</v>
      </c>
      <c r="J280" s="9">
        <v>0.25</v>
      </c>
      <c r="K280" s="9">
        <v>7.3</v>
      </c>
      <c r="L280" s="7">
        <v>26.4</v>
      </c>
      <c r="M280" s="7">
        <v>77.3</v>
      </c>
      <c r="N280" s="7">
        <v>2.4</v>
      </c>
      <c r="O280" s="7">
        <v>109</v>
      </c>
      <c r="P280" s="7" t="s">
        <v>33</v>
      </c>
      <c r="Q280" s="7" t="str">
        <f t="shared" si="16"/>
        <v>Moderate</v>
      </c>
      <c r="R280" s="7" t="str">
        <f t="shared" si="17"/>
        <v>Normal</v>
      </c>
      <c r="S280" s="7" t="str">
        <f t="shared" si="18"/>
        <v>High Humidity</v>
      </c>
      <c r="T280" s="7" t="str">
        <f t="shared" si="19"/>
        <v>Moderate Wind</v>
      </c>
    </row>
    <row r="281" spans="1:20" x14ac:dyDescent="0.25">
      <c r="A281" s="7" t="s">
        <v>338</v>
      </c>
      <c r="B281" s="10">
        <v>45857</v>
      </c>
      <c r="C281" s="11" t="s">
        <v>52</v>
      </c>
      <c r="D281" s="11" t="s">
        <v>31</v>
      </c>
      <c r="E281" s="7" t="s">
        <v>45</v>
      </c>
      <c r="F281" s="9">
        <v>34.1</v>
      </c>
      <c r="G281" s="9">
        <v>36.4</v>
      </c>
      <c r="H281" s="9">
        <v>47</v>
      </c>
      <c r="I281" s="9">
        <v>17.899999999999999</v>
      </c>
      <c r="J281" s="9">
        <v>0.3</v>
      </c>
      <c r="K281" s="9">
        <v>12</v>
      </c>
      <c r="L281" s="7">
        <v>28</v>
      </c>
      <c r="M281" s="7">
        <v>47.2</v>
      </c>
      <c r="N281" s="7">
        <v>2.7</v>
      </c>
      <c r="O281" s="7">
        <v>141</v>
      </c>
      <c r="P281" s="7" t="s">
        <v>33</v>
      </c>
      <c r="Q281" s="7" t="str">
        <f t="shared" si="16"/>
        <v>Good</v>
      </c>
      <c r="R281" s="7" t="str">
        <f t="shared" si="17"/>
        <v>Normal</v>
      </c>
      <c r="S281" s="7" t="str">
        <f t="shared" si="18"/>
        <v>Normal Humidity</v>
      </c>
      <c r="T281" s="7" t="str">
        <f t="shared" si="19"/>
        <v>Moderate Wind</v>
      </c>
    </row>
    <row r="282" spans="1:20" x14ac:dyDescent="0.25">
      <c r="A282" s="7" t="s">
        <v>339</v>
      </c>
      <c r="B282" s="10">
        <v>45838</v>
      </c>
      <c r="C282" s="11" t="s">
        <v>77</v>
      </c>
      <c r="D282" s="11" t="s">
        <v>39</v>
      </c>
      <c r="E282" s="7" t="s">
        <v>32</v>
      </c>
      <c r="F282" s="9">
        <v>16</v>
      </c>
      <c r="G282" s="9">
        <v>54.3</v>
      </c>
      <c r="H282" s="9">
        <v>50</v>
      </c>
      <c r="I282" s="9">
        <v>14.6</v>
      </c>
      <c r="J282" s="9">
        <v>1.1299999999999999</v>
      </c>
      <c r="K282" s="9">
        <v>38.200000000000003</v>
      </c>
      <c r="L282" s="7">
        <v>27</v>
      </c>
      <c r="M282" s="7">
        <v>53.5</v>
      </c>
      <c r="N282" s="7">
        <v>3.1</v>
      </c>
      <c r="O282" s="7">
        <v>157</v>
      </c>
      <c r="P282" s="7" t="s">
        <v>33</v>
      </c>
      <c r="Q282" s="7" t="str">
        <f t="shared" si="16"/>
        <v>Moderate</v>
      </c>
      <c r="R282" s="7" t="str">
        <f t="shared" si="17"/>
        <v>Normal</v>
      </c>
      <c r="S282" s="7" t="str">
        <f t="shared" si="18"/>
        <v>Normal Humidity</v>
      </c>
      <c r="T282" s="7" t="str">
        <f t="shared" si="19"/>
        <v>Moderate Wind</v>
      </c>
    </row>
    <row r="283" spans="1:20" x14ac:dyDescent="0.25">
      <c r="A283" s="7" t="s">
        <v>340</v>
      </c>
      <c r="B283" s="10">
        <v>45822</v>
      </c>
      <c r="C283" s="11" t="s">
        <v>77</v>
      </c>
      <c r="D283" s="11" t="s">
        <v>39</v>
      </c>
      <c r="E283" s="7" t="s">
        <v>40</v>
      </c>
      <c r="F283" s="9">
        <v>11.3</v>
      </c>
      <c r="G283" s="9">
        <v>32.4</v>
      </c>
      <c r="H283" s="9">
        <v>20</v>
      </c>
      <c r="I283" s="9">
        <v>6.1</v>
      </c>
      <c r="J283" s="9">
        <v>0.62</v>
      </c>
      <c r="K283" s="9">
        <v>51.3</v>
      </c>
      <c r="L283" s="7">
        <v>26.1</v>
      </c>
      <c r="M283" s="7">
        <v>35.799999999999997</v>
      </c>
      <c r="N283" s="7">
        <v>3</v>
      </c>
      <c r="O283" s="7">
        <v>98</v>
      </c>
      <c r="P283" s="7" t="s">
        <v>71</v>
      </c>
      <c r="Q283" s="7" t="str">
        <f t="shared" si="16"/>
        <v>Good</v>
      </c>
      <c r="R283" s="7" t="str">
        <f t="shared" si="17"/>
        <v>Normal</v>
      </c>
      <c r="S283" s="7" t="str">
        <f t="shared" si="18"/>
        <v>Normal Humidity</v>
      </c>
      <c r="T283" s="7" t="str">
        <f t="shared" si="19"/>
        <v>Moderate Wind</v>
      </c>
    </row>
    <row r="284" spans="1:20" x14ac:dyDescent="0.25">
      <c r="A284" s="7" t="s">
        <v>341</v>
      </c>
      <c r="B284" s="10">
        <v>45769</v>
      </c>
      <c r="C284" s="11" t="s">
        <v>81</v>
      </c>
      <c r="D284" s="11" t="s">
        <v>39</v>
      </c>
      <c r="E284" s="7" t="s">
        <v>91</v>
      </c>
      <c r="F284" s="9">
        <v>25.4</v>
      </c>
      <c r="G284" s="9">
        <v>102</v>
      </c>
      <c r="H284" s="9">
        <v>32.1</v>
      </c>
      <c r="I284" s="9">
        <v>18.8</v>
      </c>
      <c r="J284" s="9">
        <v>1.59</v>
      </c>
      <c r="K284" s="9">
        <v>39.799999999999997</v>
      </c>
      <c r="L284" s="7">
        <v>18.3</v>
      </c>
      <c r="M284" s="7">
        <v>58.3</v>
      </c>
      <c r="N284" s="7">
        <v>1.5</v>
      </c>
      <c r="O284" s="7">
        <v>203</v>
      </c>
      <c r="P284" s="7" t="s">
        <v>28</v>
      </c>
      <c r="Q284" s="7" t="str">
        <f t="shared" si="16"/>
        <v>Unhealthy</v>
      </c>
      <c r="R284" s="7" t="str">
        <f t="shared" si="17"/>
        <v>Cool</v>
      </c>
      <c r="S284" s="7" t="str">
        <f t="shared" si="18"/>
        <v>Normal Humidity</v>
      </c>
      <c r="T284" s="7" t="str">
        <f t="shared" si="19"/>
        <v>Low Wind</v>
      </c>
    </row>
    <row r="285" spans="1:20" x14ac:dyDescent="0.25">
      <c r="A285" s="7" t="s">
        <v>342</v>
      </c>
      <c r="B285" s="10">
        <v>45878</v>
      </c>
      <c r="C285" s="11" t="s">
        <v>99</v>
      </c>
      <c r="D285" s="11" t="s">
        <v>36</v>
      </c>
      <c r="E285" s="7" t="s">
        <v>58</v>
      </c>
      <c r="F285" s="9">
        <v>75.099999999999994</v>
      </c>
      <c r="G285" s="9">
        <v>96.6</v>
      </c>
      <c r="H285" s="9">
        <v>29.6</v>
      </c>
      <c r="I285" s="9">
        <v>7</v>
      </c>
      <c r="J285" s="9">
        <v>1.22</v>
      </c>
      <c r="K285" s="9">
        <v>29</v>
      </c>
      <c r="L285" s="7">
        <v>30.3</v>
      </c>
      <c r="M285" s="7">
        <v>49.5</v>
      </c>
      <c r="N285" s="7">
        <v>3</v>
      </c>
      <c r="O285" s="7">
        <v>255</v>
      </c>
      <c r="P285" s="7" t="s">
        <v>28</v>
      </c>
      <c r="Q285" s="7" t="str">
        <f t="shared" si="16"/>
        <v>Moderate</v>
      </c>
      <c r="R285" s="7" t="str">
        <f t="shared" si="17"/>
        <v>Hot</v>
      </c>
      <c r="S285" s="7" t="str">
        <f t="shared" si="18"/>
        <v>Normal Humidity</v>
      </c>
      <c r="T285" s="7" t="str">
        <f t="shared" si="19"/>
        <v>Moderate Wind</v>
      </c>
    </row>
    <row r="286" spans="1:20" x14ac:dyDescent="0.25">
      <c r="A286" s="7" t="s">
        <v>343</v>
      </c>
      <c r="B286" s="10">
        <v>45678</v>
      </c>
      <c r="C286" s="11" t="s">
        <v>22</v>
      </c>
      <c r="D286" s="11" t="s">
        <v>23</v>
      </c>
      <c r="E286" s="7" t="s">
        <v>61</v>
      </c>
      <c r="F286" s="9">
        <v>28.2</v>
      </c>
      <c r="G286" s="9">
        <v>101.4</v>
      </c>
      <c r="H286" s="9">
        <v>18.8</v>
      </c>
      <c r="I286" s="9">
        <v>25.8</v>
      </c>
      <c r="J286" s="9">
        <v>0.41</v>
      </c>
      <c r="K286" s="9">
        <v>33.700000000000003</v>
      </c>
      <c r="L286" s="7">
        <v>28.1</v>
      </c>
      <c r="M286" s="7">
        <v>71.900000000000006</v>
      </c>
      <c r="N286" s="7">
        <v>1.8</v>
      </c>
      <c r="O286" s="7">
        <v>170</v>
      </c>
      <c r="P286" s="7" t="s">
        <v>33</v>
      </c>
      <c r="Q286" s="7" t="str">
        <f t="shared" si="16"/>
        <v>Unhealthy</v>
      </c>
      <c r="R286" s="7" t="str">
        <f t="shared" si="17"/>
        <v>Normal</v>
      </c>
      <c r="S286" s="7" t="str">
        <f t="shared" si="18"/>
        <v>High Humidity</v>
      </c>
      <c r="T286" s="7" t="str">
        <f t="shared" si="19"/>
        <v>Low Wind</v>
      </c>
    </row>
    <row r="287" spans="1:20" x14ac:dyDescent="0.25">
      <c r="A287" s="7" t="s">
        <v>344</v>
      </c>
      <c r="B287" s="10">
        <v>45797</v>
      </c>
      <c r="C287" s="11" t="s">
        <v>42</v>
      </c>
      <c r="D287" s="11" t="s">
        <v>23</v>
      </c>
      <c r="E287" s="7" t="s">
        <v>61</v>
      </c>
      <c r="F287" s="9">
        <v>61.9</v>
      </c>
      <c r="G287" s="9">
        <v>48.2</v>
      </c>
      <c r="H287" s="9">
        <v>10.5</v>
      </c>
      <c r="I287" s="9">
        <v>12.7</v>
      </c>
      <c r="J287" s="9">
        <v>0.72</v>
      </c>
      <c r="K287" s="9">
        <v>66.599999999999994</v>
      </c>
      <c r="L287" s="7">
        <v>22.1</v>
      </c>
      <c r="M287" s="7">
        <v>70.5</v>
      </c>
      <c r="N287" s="7">
        <v>4</v>
      </c>
      <c r="O287" s="7">
        <v>196</v>
      </c>
      <c r="P287" s="7" t="s">
        <v>33</v>
      </c>
      <c r="Q287" s="7" t="str">
        <f t="shared" si="16"/>
        <v>Good</v>
      </c>
      <c r="R287" s="7" t="str">
        <f t="shared" si="17"/>
        <v>Normal</v>
      </c>
      <c r="S287" s="7" t="str">
        <f t="shared" si="18"/>
        <v>High Humidity</v>
      </c>
      <c r="T287" s="7" t="str">
        <f t="shared" si="19"/>
        <v>Moderate Wind</v>
      </c>
    </row>
    <row r="288" spans="1:20" x14ac:dyDescent="0.25">
      <c r="A288" s="7" t="s">
        <v>345</v>
      </c>
      <c r="B288" s="10">
        <v>45821</v>
      </c>
      <c r="C288" s="11" t="s">
        <v>26</v>
      </c>
      <c r="D288" s="11" t="s">
        <v>23</v>
      </c>
      <c r="E288" s="7" t="s">
        <v>97</v>
      </c>
      <c r="F288" s="9">
        <v>20.3</v>
      </c>
      <c r="G288" s="9">
        <v>193.1</v>
      </c>
      <c r="H288" s="9">
        <v>26.8</v>
      </c>
      <c r="I288" s="9">
        <v>7.5</v>
      </c>
      <c r="J288" s="9">
        <v>0.18</v>
      </c>
      <c r="K288" s="9">
        <v>50.2</v>
      </c>
      <c r="L288" s="7">
        <v>25.1</v>
      </c>
      <c r="M288" s="7">
        <v>66.400000000000006</v>
      </c>
      <c r="N288" s="7">
        <v>1.4</v>
      </c>
      <c r="O288" s="7">
        <v>212</v>
      </c>
      <c r="P288" s="7" t="s">
        <v>28</v>
      </c>
      <c r="Q288" s="7" t="str">
        <f t="shared" si="16"/>
        <v>VeryUnhealthy</v>
      </c>
      <c r="R288" s="7" t="str">
        <f t="shared" si="17"/>
        <v>Normal</v>
      </c>
      <c r="S288" s="7" t="str">
        <f t="shared" si="18"/>
        <v>High Humidity</v>
      </c>
      <c r="T288" s="7" t="str">
        <f t="shared" si="19"/>
        <v>Low Wind</v>
      </c>
    </row>
    <row r="289" spans="1:20" x14ac:dyDescent="0.25">
      <c r="A289" s="7" t="s">
        <v>346</v>
      </c>
      <c r="B289" s="10">
        <v>45971</v>
      </c>
      <c r="C289" s="11" t="s">
        <v>35</v>
      </c>
      <c r="D289" s="11" t="s">
        <v>36</v>
      </c>
      <c r="E289" s="7" t="s">
        <v>19</v>
      </c>
      <c r="F289" s="9">
        <v>47.3</v>
      </c>
      <c r="G289" s="9">
        <v>27.2</v>
      </c>
      <c r="H289" s="9">
        <v>15.5</v>
      </c>
      <c r="I289" s="9">
        <v>11.4</v>
      </c>
      <c r="J289" s="9">
        <v>0.56999999999999995</v>
      </c>
      <c r="K289" s="9">
        <v>59.4</v>
      </c>
      <c r="L289" s="7">
        <v>24.7</v>
      </c>
      <c r="M289" s="7">
        <v>60</v>
      </c>
      <c r="N289" s="7">
        <v>2.2000000000000002</v>
      </c>
      <c r="O289" s="7">
        <v>155</v>
      </c>
      <c r="P289" s="7" t="s">
        <v>33</v>
      </c>
      <c r="Q289" s="7" t="str">
        <f t="shared" si="16"/>
        <v>Good</v>
      </c>
      <c r="R289" s="7" t="str">
        <f t="shared" si="17"/>
        <v>Normal</v>
      </c>
      <c r="S289" s="7" t="str">
        <f t="shared" si="18"/>
        <v>Normal Humidity</v>
      </c>
      <c r="T289" s="7" t="str">
        <f t="shared" si="19"/>
        <v>Moderate Wind</v>
      </c>
    </row>
    <row r="290" spans="1:20" x14ac:dyDescent="0.25">
      <c r="A290" s="7" t="s">
        <v>347</v>
      </c>
      <c r="B290" s="10">
        <v>45983</v>
      </c>
      <c r="C290" s="11" t="s">
        <v>35</v>
      </c>
      <c r="D290" s="11" t="s">
        <v>36</v>
      </c>
      <c r="E290" s="7" t="s">
        <v>68</v>
      </c>
      <c r="F290" s="9">
        <v>104.8</v>
      </c>
      <c r="G290" s="9">
        <v>154.4</v>
      </c>
      <c r="H290" s="9">
        <v>35.4</v>
      </c>
      <c r="I290" s="9">
        <v>34.5</v>
      </c>
      <c r="J290" s="9">
        <v>1.94</v>
      </c>
      <c r="K290" s="9">
        <v>8.1999999999999993</v>
      </c>
      <c r="L290" s="7">
        <v>24.1</v>
      </c>
      <c r="M290" s="7">
        <v>63.6</v>
      </c>
      <c r="N290" s="7">
        <v>0.9</v>
      </c>
      <c r="O290" s="7">
        <v>373</v>
      </c>
      <c r="P290" s="7" t="s">
        <v>20</v>
      </c>
      <c r="Q290" s="7" t="str">
        <f t="shared" si="16"/>
        <v>VeryUnhealthy</v>
      </c>
      <c r="R290" s="7" t="str">
        <f t="shared" si="17"/>
        <v>Normal</v>
      </c>
      <c r="S290" s="7" t="str">
        <f t="shared" si="18"/>
        <v>High Humidity</v>
      </c>
      <c r="T290" s="7" t="str">
        <f t="shared" si="19"/>
        <v>Low Wind</v>
      </c>
    </row>
    <row r="291" spans="1:20" x14ac:dyDescent="0.25">
      <c r="A291" s="7" t="s">
        <v>348</v>
      </c>
      <c r="B291" s="10">
        <v>45930</v>
      </c>
      <c r="C291" s="11" t="s">
        <v>67</v>
      </c>
      <c r="D291" s="11" t="s">
        <v>18</v>
      </c>
      <c r="E291" s="7" t="s">
        <v>19</v>
      </c>
      <c r="F291" s="9">
        <v>29.4</v>
      </c>
      <c r="G291" s="9">
        <v>54.4</v>
      </c>
      <c r="H291" s="9">
        <v>60.7</v>
      </c>
      <c r="I291" s="9">
        <v>4</v>
      </c>
      <c r="J291" s="9">
        <v>0.76</v>
      </c>
      <c r="K291" s="9">
        <v>46.1</v>
      </c>
      <c r="L291" s="7">
        <v>27.5</v>
      </c>
      <c r="M291" s="7">
        <v>73.099999999999994</v>
      </c>
      <c r="N291" s="7">
        <v>2.2999999999999998</v>
      </c>
      <c r="O291" s="7">
        <v>174</v>
      </c>
      <c r="P291" s="7" t="s">
        <v>33</v>
      </c>
      <c r="Q291" s="7" t="str">
        <f t="shared" si="16"/>
        <v>Moderate</v>
      </c>
      <c r="R291" s="7" t="str">
        <f t="shared" si="17"/>
        <v>Normal</v>
      </c>
      <c r="S291" s="7" t="str">
        <f t="shared" si="18"/>
        <v>High Humidity</v>
      </c>
      <c r="T291" s="7" t="str">
        <f t="shared" si="19"/>
        <v>Moderate Wind</v>
      </c>
    </row>
    <row r="292" spans="1:20" x14ac:dyDescent="0.25">
      <c r="A292" s="7" t="s">
        <v>349</v>
      </c>
      <c r="B292" s="10">
        <v>45723</v>
      </c>
      <c r="C292" s="11" t="s">
        <v>93</v>
      </c>
      <c r="D292" s="11" t="s">
        <v>36</v>
      </c>
      <c r="E292" s="7" t="s">
        <v>97</v>
      </c>
      <c r="F292" s="9">
        <v>18.5</v>
      </c>
      <c r="G292" s="9">
        <v>130.80000000000001</v>
      </c>
      <c r="H292" s="9">
        <v>28.2</v>
      </c>
      <c r="I292" s="9">
        <v>15.4</v>
      </c>
      <c r="J292" s="9">
        <v>0.42</v>
      </c>
      <c r="K292" s="9">
        <v>15</v>
      </c>
      <c r="L292" s="7">
        <v>32.799999999999997</v>
      </c>
      <c r="M292" s="7">
        <v>49.8</v>
      </c>
      <c r="N292" s="7">
        <v>3.3</v>
      </c>
      <c r="O292" s="7">
        <v>165</v>
      </c>
      <c r="P292" s="7" t="s">
        <v>33</v>
      </c>
      <c r="Q292" s="7" t="str">
        <f t="shared" si="16"/>
        <v>Unhealthy</v>
      </c>
      <c r="R292" s="7" t="str">
        <f t="shared" si="17"/>
        <v>Hot</v>
      </c>
      <c r="S292" s="7" t="str">
        <f t="shared" si="18"/>
        <v>Normal Humidity</v>
      </c>
      <c r="T292" s="7" t="str">
        <f t="shared" si="19"/>
        <v>Moderate Wind</v>
      </c>
    </row>
    <row r="293" spans="1:20" x14ac:dyDescent="0.25">
      <c r="A293" s="7" t="s">
        <v>350</v>
      </c>
      <c r="B293" s="10">
        <v>45948</v>
      </c>
      <c r="C293" s="11" t="s">
        <v>93</v>
      </c>
      <c r="D293" s="11" t="s">
        <v>36</v>
      </c>
      <c r="E293" s="7" t="s">
        <v>55</v>
      </c>
      <c r="F293" s="9">
        <v>66.3</v>
      </c>
      <c r="G293" s="9">
        <v>155.80000000000001</v>
      </c>
      <c r="H293" s="9">
        <v>17.7</v>
      </c>
      <c r="I293" s="9">
        <v>3.5</v>
      </c>
      <c r="J293" s="9">
        <v>0.44</v>
      </c>
      <c r="K293" s="9">
        <v>29.6</v>
      </c>
      <c r="L293" s="7">
        <v>27.8</v>
      </c>
      <c r="M293" s="7">
        <v>69.599999999999994</v>
      </c>
      <c r="N293" s="7">
        <v>4.0999999999999996</v>
      </c>
      <c r="O293" s="7">
        <v>248</v>
      </c>
      <c r="P293" s="7" t="s">
        <v>28</v>
      </c>
      <c r="Q293" s="7" t="str">
        <f t="shared" si="16"/>
        <v>VeryUnhealthy</v>
      </c>
      <c r="R293" s="7" t="str">
        <f t="shared" si="17"/>
        <v>Normal</v>
      </c>
      <c r="S293" s="7" t="str">
        <f t="shared" si="18"/>
        <v>High Humidity</v>
      </c>
      <c r="T293" s="7" t="str">
        <f t="shared" si="19"/>
        <v>Moderate Wind</v>
      </c>
    </row>
    <row r="294" spans="1:20" x14ac:dyDescent="0.25">
      <c r="A294" s="7" t="s">
        <v>351</v>
      </c>
      <c r="B294" s="10">
        <v>45945</v>
      </c>
      <c r="C294" s="11" t="s">
        <v>26</v>
      </c>
      <c r="D294" s="11" t="s">
        <v>23</v>
      </c>
      <c r="E294" s="7" t="s">
        <v>32</v>
      </c>
      <c r="F294" s="9">
        <v>64.3</v>
      </c>
      <c r="G294" s="9">
        <v>102.6</v>
      </c>
      <c r="H294" s="9">
        <v>19.7</v>
      </c>
      <c r="I294" s="9">
        <v>14.3</v>
      </c>
      <c r="J294" s="9">
        <v>0.74</v>
      </c>
      <c r="K294" s="9">
        <v>22.8</v>
      </c>
      <c r="L294" s="7">
        <v>15.3</v>
      </c>
      <c r="M294" s="7">
        <v>58.9</v>
      </c>
      <c r="N294" s="7">
        <v>0.9</v>
      </c>
      <c r="O294" s="7">
        <v>224</v>
      </c>
      <c r="P294" s="7" t="s">
        <v>28</v>
      </c>
      <c r="Q294" s="7" t="str">
        <f t="shared" si="16"/>
        <v>Unhealthy</v>
      </c>
      <c r="R294" s="7" t="str">
        <f t="shared" si="17"/>
        <v>Cool</v>
      </c>
      <c r="S294" s="7" t="str">
        <f t="shared" si="18"/>
        <v>Normal Humidity</v>
      </c>
      <c r="T294" s="7" t="str">
        <f t="shared" si="19"/>
        <v>Low Wind</v>
      </c>
    </row>
    <row r="295" spans="1:20" x14ac:dyDescent="0.25">
      <c r="A295" s="7" t="s">
        <v>352</v>
      </c>
      <c r="B295" s="10">
        <v>46019</v>
      </c>
      <c r="C295" s="11" t="s">
        <v>42</v>
      </c>
      <c r="D295" s="11" t="s">
        <v>23</v>
      </c>
      <c r="E295" s="7" t="s">
        <v>74</v>
      </c>
      <c r="F295" s="9">
        <v>103.9</v>
      </c>
      <c r="G295" s="9">
        <v>81.900000000000006</v>
      </c>
      <c r="H295" s="9">
        <v>43.2</v>
      </c>
      <c r="I295" s="9">
        <v>22.7</v>
      </c>
      <c r="J295" s="9">
        <v>0.99</v>
      </c>
      <c r="K295" s="9">
        <v>38.700000000000003</v>
      </c>
      <c r="L295" s="7">
        <v>23.2</v>
      </c>
      <c r="M295" s="7">
        <v>45.6</v>
      </c>
      <c r="N295" s="7">
        <v>2.5</v>
      </c>
      <c r="O295" s="7">
        <v>312</v>
      </c>
      <c r="P295" s="7" t="s">
        <v>20</v>
      </c>
      <c r="Q295" s="7" t="str">
        <f t="shared" si="16"/>
        <v>Moderate</v>
      </c>
      <c r="R295" s="7" t="str">
        <f t="shared" si="17"/>
        <v>Normal</v>
      </c>
      <c r="S295" s="7" t="str">
        <f t="shared" si="18"/>
        <v>Normal Humidity</v>
      </c>
      <c r="T295" s="7" t="str">
        <f t="shared" si="19"/>
        <v>Moderate Wind</v>
      </c>
    </row>
    <row r="296" spans="1:20" x14ac:dyDescent="0.25">
      <c r="A296" s="7" t="s">
        <v>353</v>
      </c>
      <c r="B296" s="10">
        <v>45879</v>
      </c>
      <c r="C296" s="11" t="s">
        <v>30</v>
      </c>
      <c r="D296" s="11" t="s">
        <v>31</v>
      </c>
      <c r="E296" s="7" t="s">
        <v>61</v>
      </c>
      <c r="F296" s="9">
        <v>62.8</v>
      </c>
      <c r="G296" s="9">
        <v>25.3</v>
      </c>
      <c r="H296" s="9">
        <v>10.9</v>
      </c>
      <c r="I296" s="9">
        <v>12.4</v>
      </c>
      <c r="J296" s="9">
        <v>0.57999999999999996</v>
      </c>
      <c r="K296" s="9">
        <v>44.8</v>
      </c>
      <c r="L296" s="7">
        <v>28.3</v>
      </c>
      <c r="M296" s="7">
        <v>59.4</v>
      </c>
      <c r="N296" s="7">
        <v>2.6</v>
      </c>
      <c r="O296" s="7">
        <v>169</v>
      </c>
      <c r="P296" s="7" t="s">
        <v>33</v>
      </c>
      <c r="Q296" s="7" t="str">
        <f t="shared" si="16"/>
        <v>Good</v>
      </c>
      <c r="R296" s="7" t="str">
        <f t="shared" si="17"/>
        <v>Normal</v>
      </c>
      <c r="S296" s="7" t="str">
        <f t="shared" si="18"/>
        <v>Normal Humidity</v>
      </c>
      <c r="T296" s="7" t="str">
        <f t="shared" si="19"/>
        <v>Moderate Wind</v>
      </c>
    </row>
    <row r="297" spans="1:20" x14ac:dyDescent="0.25">
      <c r="A297" s="7" t="s">
        <v>354</v>
      </c>
      <c r="B297" s="10">
        <v>45908</v>
      </c>
      <c r="C297" s="11" t="s">
        <v>35</v>
      </c>
      <c r="D297" s="11" t="s">
        <v>36</v>
      </c>
      <c r="E297" s="7" t="s">
        <v>61</v>
      </c>
      <c r="F297" s="9">
        <v>43.2</v>
      </c>
      <c r="G297" s="9">
        <v>102.2</v>
      </c>
      <c r="H297" s="9">
        <v>17.399999999999999</v>
      </c>
      <c r="I297" s="9">
        <v>16.399999999999999</v>
      </c>
      <c r="J297" s="9">
        <v>0.21</v>
      </c>
      <c r="K297" s="9">
        <v>9.5</v>
      </c>
      <c r="L297" s="7">
        <v>27.5</v>
      </c>
      <c r="M297" s="7">
        <v>60.7</v>
      </c>
      <c r="N297" s="7">
        <v>2.2000000000000002</v>
      </c>
      <c r="O297" s="7">
        <v>170</v>
      </c>
      <c r="P297" s="7" t="s">
        <v>33</v>
      </c>
      <c r="Q297" s="7" t="str">
        <f t="shared" si="16"/>
        <v>Unhealthy</v>
      </c>
      <c r="R297" s="7" t="str">
        <f t="shared" si="17"/>
        <v>Normal</v>
      </c>
      <c r="S297" s="7" t="str">
        <f t="shared" si="18"/>
        <v>High Humidity</v>
      </c>
      <c r="T297" s="7" t="str">
        <f t="shared" si="19"/>
        <v>Moderate Wind</v>
      </c>
    </row>
    <row r="298" spans="1:20" x14ac:dyDescent="0.25">
      <c r="A298" s="7" t="s">
        <v>355</v>
      </c>
      <c r="B298" s="10">
        <v>45773</v>
      </c>
      <c r="C298" s="11" t="s">
        <v>77</v>
      </c>
      <c r="D298" s="11" t="s">
        <v>39</v>
      </c>
      <c r="E298" s="7" t="s">
        <v>97</v>
      </c>
      <c r="F298" s="9">
        <v>30.3</v>
      </c>
      <c r="G298" s="9">
        <v>54.7</v>
      </c>
      <c r="H298" s="9">
        <v>33.700000000000003</v>
      </c>
      <c r="I298" s="9">
        <v>3.4</v>
      </c>
      <c r="J298" s="9">
        <v>0.56000000000000005</v>
      </c>
      <c r="K298" s="9">
        <v>17</v>
      </c>
      <c r="L298" s="7">
        <v>23.6</v>
      </c>
      <c r="M298" s="7">
        <v>87.4</v>
      </c>
      <c r="N298" s="7">
        <v>2.9</v>
      </c>
      <c r="O298" s="7">
        <v>135</v>
      </c>
      <c r="P298" s="7" t="s">
        <v>33</v>
      </c>
      <c r="Q298" s="7" t="str">
        <f t="shared" si="16"/>
        <v>Moderate</v>
      </c>
      <c r="R298" s="7" t="str">
        <f t="shared" si="17"/>
        <v>Normal</v>
      </c>
      <c r="S298" s="7" t="str">
        <f t="shared" si="18"/>
        <v>High Humidity</v>
      </c>
      <c r="T298" s="7" t="str">
        <f t="shared" si="19"/>
        <v>Moderate Wind</v>
      </c>
    </row>
    <row r="299" spans="1:20" x14ac:dyDescent="0.25">
      <c r="A299" s="7" t="s">
        <v>356</v>
      </c>
      <c r="B299" s="10">
        <v>45896</v>
      </c>
      <c r="C299" s="11" t="s">
        <v>42</v>
      </c>
      <c r="D299" s="11" t="s">
        <v>23</v>
      </c>
      <c r="E299" s="7" t="s">
        <v>40</v>
      </c>
      <c r="F299" s="9">
        <v>81.7</v>
      </c>
      <c r="G299" s="9">
        <v>87.9</v>
      </c>
      <c r="H299" s="9">
        <v>32.4</v>
      </c>
      <c r="I299" s="9">
        <v>4.8</v>
      </c>
      <c r="J299" s="9">
        <v>0.22</v>
      </c>
      <c r="K299" s="9">
        <v>35.6</v>
      </c>
      <c r="L299" s="7">
        <v>25.8</v>
      </c>
      <c r="M299" s="7">
        <v>60</v>
      </c>
      <c r="N299" s="7">
        <v>1.7</v>
      </c>
      <c r="O299" s="7">
        <v>239</v>
      </c>
      <c r="P299" s="7" t="s">
        <v>28</v>
      </c>
      <c r="Q299" s="7" t="str">
        <f t="shared" si="16"/>
        <v>Moderate</v>
      </c>
      <c r="R299" s="7" t="str">
        <f t="shared" si="17"/>
        <v>Normal</v>
      </c>
      <c r="S299" s="7" t="str">
        <f t="shared" si="18"/>
        <v>Normal Humidity</v>
      </c>
      <c r="T299" s="7" t="str">
        <f t="shared" si="19"/>
        <v>Low Wind</v>
      </c>
    </row>
    <row r="300" spans="1:20" x14ac:dyDescent="0.25">
      <c r="A300" s="7" t="s">
        <v>357</v>
      </c>
      <c r="B300" s="10">
        <v>45840</v>
      </c>
      <c r="C300" s="11" t="s">
        <v>50</v>
      </c>
      <c r="D300" s="11" t="s">
        <v>31</v>
      </c>
      <c r="E300" s="7" t="s">
        <v>27</v>
      </c>
      <c r="F300" s="9">
        <v>3.4</v>
      </c>
      <c r="G300" s="9">
        <v>39.1</v>
      </c>
      <c r="H300" s="9">
        <v>23.2</v>
      </c>
      <c r="I300" s="9">
        <v>15.7</v>
      </c>
      <c r="J300" s="9">
        <v>0.68</v>
      </c>
      <c r="K300" s="9">
        <v>61</v>
      </c>
      <c r="L300" s="7">
        <v>25</v>
      </c>
      <c r="M300" s="7">
        <v>78.2</v>
      </c>
      <c r="N300" s="7">
        <v>0.9</v>
      </c>
      <c r="O300" s="7">
        <v>105</v>
      </c>
      <c r="P300" s="7" t="s">
        <v>33</v>
      </c>
      <c r="Q300" s="7" t="str">
        <f t="shared" si="16"/>
        <v>Good</v>
      </c>
      <c r="R300" s="7" t="str">
        <f t="shared" si="17"/>
        <v>Normal</v>
      </c>
      <c r="S300" s="7" t="str">
        <f t="shared" si="18"/>
        <v>High Humidity</v>
      </c>
      <c r="T300" s="7" t="str">
        <f t="shared" si="19"/>
        <v>Low Wind</v>
      </c>
    </row>
    <row r="301" spans="1:20" x14ac:dyDescent="0.25">
      <c r="A301" s="7" t="s">
        <v>358</v>
      </c>
      <c r="B301" s="10">
        <v>45937</v>
      </c>
      <c r="C301" s="11" t="s">
        <v>64</v>
      </c>
      <c r="D301" s="11" t="s">
        <v>36</v>
      </c>
      <c r="E301" s="7" t="s">
        <v>70</v>
      </c>
      <c r="F301" s="9">
        <v>8.9</v>
      </c>
      <c r="G301" s="9">
        <v>44.8</v>
      </c>
      <c r="H301" s="9">
        <v>43</v>
      </c>
      <c r="I301" s="9">
        <v>22.4</v>
      </c>
      <c r="J301" s="9">
        <v>0.99</v>
      </c>
      <c r="K301" s="9">
        <v>59.6</v>
      </c>
      <c r="L301" s="7">
        <v>19</v>
      </c>
      <c r="M301" s="7">
        <v>88</v>
      </c>
      <c r="N301" s="7">
        <v>1.6</v>
      </c>
      <c r="O301" s="7">
        <v>145</v>
      </c>
      <c r="P301" s="7" t="s">
        <v>33</v>
      </c>
      <c r="Q301" s="7" t="str">
        <f t="shared" si="16"/>
        <v>Good</v>
      </c>
      <c r="R301" s="7" t="str">
        <f t="shared" si="17"/>
        <v>Cool</v>
      </c>
      <c r="S301" s="7" t="str">
        <f t="shared" si="18"/>
        <v>High Humidity</v>
      </c>
      <c r="T301" s="7" t="str">
        <f t="shared" si="19"/>
        <v>Low Wind</v>
      </c>
    </row>
    <row r="302" spans="1:20" x14ac:dyDescent="0.25">
      <c r="A302" s="7" t="s">
        <v>359</v>
      </c>
      <c r="B302" s="10">
        <v>45679</v>
      </c>
      <c r="C302" s="11" t="s">
        <v>26</v>
      </c>
      <c r="D302" s="11" t="s">
        <v>23</v>
      </c>
      <c r="E302" s="7" t="s">
        <v>74</v>
      </c>
      <c r="F302" s="9">
        <v>51.8</v>
      </c>
      <c r="G302" s="9">
        <v>81</v>
      </c>
      <c r="H302" s="9">
        <v>31.8</v>
      </c>
      <c r="I302" s="9">
        <v>22.6</v>
      </c>
      <c r="J302" s="9">
        <v>0.54</v>
      </c>
      <c r="K302" s="9">
        <v>13.1</v>
      </c>
      <c r="L302" s="7">
        <v>21.2</v>
      </c>
      <c r="M302" s="7">
        <v>68.900000000000006</v>
      </c>
      <c r="N302" s="7">
        <v>3.4</v>
      </c>
      <c r="O302" s="7">
        <v>196</v>
      </c>
      <c r="P302" s="7" t="s">
        <v>33</v>
      </c>
      <c r="Q302" s="7" t="str">
        <f t="shared" si="16"/>
        <v>Moderate</v>
      </c>
      <c r="R302" s="7" t="str">
        <f t="shared" si="17"/>
        <v>Normal</v>
      </c>
      <c r="S302" s="7" t="str">
        <f t="shared" si="18"/>
        <v>High Humidity</v>
      </c>
      <c r="T302" s="7" t="str">
        <f t="shared" si="19"/>
        <v>Moderate Wind</v>
      </c>
    </row>
    <row r="303" spans="1:20" x14ac:dyDescent="0.25">
      <c r="A303" s="7" t="s">
        <v>360</v>
      </c>
      <c r="B303" s="10">
        <v>45888</v>
      </c>
      <c r="C303" s="11" t="s">
        <v>54</v>
      </c>
      <c r="D303" s="11" t="s">
        <v>18</v>
      </c>
      <c r="E303" s="7" t="s">
        <v>68</v>
      </c>
      <c r="F303" s="9">
        <v>78.5</v>
      </c>
      <c r="G303" s="9">
        <v>68.5</v>
      </c>
      <c r="H303" s="9">
        <v>50.9</v>
      </c>
      <c r="I303" s="9">
        <v>4.0999999999999996</v>
      </c>
      <c r="J303" s="9">
        <v>0.65</v>
      </c>
      <c r="K303" s="9">
        <v>17.8</v>
      </c>
      <c r="L303" s="7">
        <v>20.9</v>
      </c>
      <c r="M303" s="7">
        <v>70.3</v>
      </c>
      <c r="N303" s="7">
        <v>1.8</v>
      </c>
      <c r="O303" s="7">
        <v>238</v>
      </c>
      <c r="P303" s="7" t="s">
        <v>28</v>
      </c>
      <c r="Q303" s="7" t="str">
        <f t="shared" si="16"/>
        <v>Moderate</v>
      </c>
      <c r="R303" s="7" t="str">
        <f t="shared" si="17"/>
        <v>Normal</v>
      </c>
      <c r="S303" s="7" t="str">
        <f t="shared" si="18"/>
        <v>High Humidity</v>
      </c>
      <c r="T303" s="7" t="str">
        <f t="shared" si="19"/>
        <v>Low Wind</v>
      </c>
    </row>
    <row r="304" spans="1:20" x14ac:dyDescent="0.25">
      <c r="A304" s="7" t="s">
        <v>361</v>
      </c>
      <c r="B304" s="10">
        <v>45873</v>
      </c>
      <c r="C304" s="11" t="s">
        <v>35</v>
      </c>
      <c r="D304" s="11" t="s">
        <v>36</v>
      </c>
      <c r="E304" s="7" t="s">
        <v>91</v>
      </c>
      <c r="F304" s="9">
        <v>39</v>
      </c>
      <c r="G304" s="9">
        <v>75.099999999999994</v>
      </c>
      <c r="H304" s="9">
        <v>54.5</v>
      </c>
      <c r="I304" s="9">
        <v>20.399999999999999</v>
      </c>
      <c r="J304" s="9">
        <v>0.67</v>
      </c>
      <c r="K304" s="9">
        <v>36.299999999999997</v>
      </c>
      <c r="L304" s="7">
        <v>28.1</v>
      </c>
      <c r="M304" s="7">
        <v>64.3</v>
      </c>
      <c r="N304" s="7">
        <v>3.3</v>
      </c>
      <c r="O304" s="7">
        <v>202</v>
      </c>
      <c r="P304" s="7" t="s">
        <v>28</v>
      </c>
      <c r="Q304" s="7" t="str">
        <f t="shared" si="16"/>
        <v>Moderate</v>
      </c>
      <c r="R304" s="7" t="str">
        <f t="shared" si="17"/>
        <v>Normal</v>
      </c>
      <c r="S304" s="7" t="str">
        <f t="shared" si="18"/>
        <v>High Humidity</v>
      </c>
      <c r="T304" s="7" t="str">
        <f t="shared" si="19"/>
        <v>Moderate Wind</v>
      </c>
    </row>
    <row r="305" spans="1:20" x14ac:dyDescent="0.25">
      <c r="A305" s="7" t="s">
        <v>362</v>
      </c>
      <c r="B305" s="10">
        <v>46006</v>
      </c>
      <c r="C305" s="11" t="s">
        <v>35</v>
      </c>
      <c r="D305" s="11" t="s">
        <v>36</v>
      </c>
      <c r="E305" s="7" t="s">
        <v>70</v>
      </c>
      <c r="F305" s="9">
        <v>49.2</v>
      </c>
      <c r="G305" s="9">
        <v>70.5</v>
      </c>
      <c r="H305" s="9">
        <v>49.3</v>
      </c>
      <c r="I305" s="9">
        <v>4.7</v>
      </c>
      <c r="J305" s="9">
        <v>1.65</v>
      </c>
      <c r="K305" s="9">
        <v>29.6</v>
      </c>
      <c r="L305" s="7">
        <v>31.2</v>
      </c>
      <c r="M305" s="7">
        <v>50.5</v>
      </c>
      <c r="N305" s="7">
        <v>2.9</v>
      </c>
      <c r="O305" s="7">
        <v>222</v>
      </c>
      <c r="P305" s="7" t="s">
        <v>28</v>
      </c>
      <c r="Q305" s="7" t="str">
        <f t="shared" si="16"/>
        <v>Moderate</v>
      </c>
      <c r="R305" s="7" t="str">
        <f t="shared" si="17"/>
        <v>Hot</v>
      </c>
      <c r="S305" s="7" t="str">
        <f t="shared" si="18"/>
        <v>Normal Humidity</v>
      </c>
      <c r="T305" s="7" t="str">
        <f t="shared" si="19"/>
        <v>Moderate Wind</v>
      </c>
    </row>
    <row r="306" spans="1:20" x14ac:dyDescent="0.25">
      <c r="A306" s="7" t="s">
        <v>363</v>
      </c>
      <c r="B306" s="10">
        <v>46019</v>
      </c>
      <c r="C306" s="11" t="s">
        <v>26</v>
      </c>
      <c r="D306" s="11" t="s">
        <v>23</v>
      </c>
      <c r="E306" s="7" t="s">
        <v>91</v>
      </c>
      <c r="F306" s="9">
        <v>52.1</v>
      </c>
      <c r="G306" s="9">
        <v>166.3</v>
      </c>
      <c r="H306" s="9">
        <v>49.6</v>
      </c>
      <c r="I306" s="9">
        <v>24.8</v>
      </c>
      <c r="J306" s="9">
        <v>0.33</v>
      </c>
      <c r="K306" s="9">
        <v>22</v>
      </c>
      <c r="L306" s="7">
        <v>30.2</v>
      </c>
      <c r="M306" s="7">
        <v>74.599999999999994</v>
      </c>
      <c r="N306" s="7">
        <v>0.1</v>
      </c>
      <c r="O306" s="7">
        <v>267</v>
      </c>
      <c r="P306" s="7" t="s">
        <v>28</v>
      </c>
      <c r="Q306" s="7" t="str">
        <f t="shared" si="16"/>
        <v>VeryUnhealthy</v>
      </c>
      <c r="R306" s="7" t="str">
        <f t="shared" si="17"/>
        <v>Hot</v>
      </c>
      <c r="S306" s="7" t="str">
        <f t="shared" si="18"/>
        <v>High Humidity</v>
      </c>
      <c r="T306" s="7" t="str">
        <f t="shared" si="19"/>
        <v>Low Wind</v>
      </c>
    </row>
    <row r="307" spans="1:20" x14ac:dyDescent="0.25">
      <c r="A307" s="7" t="s">
        <v>364</v>
      </c>
      <c r="B307" s="10">
        <v>45806</v>
      </c>
      <c r="C307" s="11" t="s">
        <v>77</v>
      </c>
      <c r="D307" s="11" t="s">
        <v>39</v>
      </c>
      <c r="E307" s="7" t="s">
        <v>27</v>
      </c>
      <c r="F307" s="9">
        <v>88.3</v>
      </c>
      <c r="G307" s="9">
        <v>14.8</v>
      </c>
      <c r="H307" s="9">
        <v>18.899999999999999</v>
      </c>
      <c r="I307" s="9">
        <v>11.6</v>
      </c>
      <c r="J307" s="9">
        <v>0.32</v>
      </c>
      <c r="K307" s="9">
        <v>32.5</v>
      </c>
      <c r="L307" s="7">
        <v>27.7</v>
      </c>
      <c r="M307" s="7">
        <v>82.3</v>
      </c>
      <c r="N307" s="7">
        <v>1.3</v>
      </c>
      <c r="O307" s="7">
        <v>197</v>
      </c>
      <c r="P307" s="7" t="s">
        <v>33</v>
      </c>
      <c r="Q307" s="7" t="str">
        <f t="shared" si="16"/>
        <v>Good</v>
      </c>
      <c r="R307" s="7" t="str">
        <f t="shared" si="17"/>
        <v>Normal</v>
      </c>
      <c r="S307" s="7" t="str">
        <f t="shared" si="18"/>
        <v>High Humidity</v>
      </c>
      <c r="T307" s="7" t="str">
        <f t="shared" si="19"/>
        <v>Low Wind</v>
      </c>
    </row>
    <row r="308" spans="1:20" x14ac:dyDescent="0.25">
      <c r="A308" s="7" t="s">
        <v>365</v>
      </c>
      <c r="B308" s="10">
        <v>45849</v>
      </c>
      <c r="C308" s="11" t="s">
        <v>64</v>
      </c>
      <c r="D308" s="11" t="s">
        <v>36</v>
      </c>
      <c r="E308" s="7" t="s">
        <v>32</v>
      </c>
      <c r="F308" s="9">
        <v>70.8</v>
      </c>
      <c r="G308" s="9">
        <v>79.2</v>
      </c>
      <c r="H308" s="9">
        <v>38.5</v>
      </c>
      <c r="I308" s="9">
        <v>7.3</v>
      </c>
      <c r="J308" s="9">
        <v>0.7</v>
      </c>
      <c r="K308" s="9">
        <v>36.1</v>
      </c>
      <c r="L308" s="7">
        <v>39.799999999999997</v>
      </c>
      <c r="M308" s="7">
        <v>41.8</v>
      </c>
      <c r="N308" s="7">
        <v>2.6</v>
      </c>
      <c r="O308" s="7">
        <v>234</v>
      </c>
      <c r="P308" s="7" t="s">
        <v>28</v>
      </c>
      <c r="Q308" s="7" t="str">
        <f t="shared" si="16"/>
        <v>Moderate</v>
      </c>
      <c r="R308" s="7" t="str">
        <f t="shared" si="17"/>
        <v>Hot</v>
      </c>
      <c r="S308" s="7" t="str">
        <f t="shared" si="18"/>
        <v>Normal Humidity</v>
      </c>
      <c r="T308" s="7" t="str">
        <f t="shared" si="19"/>
        <v>Moderate Wind</v>
      </c>
    </row>
    <row r="309" spans="1:20" x14ac:dyDescent="0.25">
      <c r="A309" s="7" t="s">
        <v>366</v>
      </c>
      <c r="B309" s="10">
        <v>45792</v>
      </c>
      <c r="C309" s="11" t="s">
        <v>93</v>
      </c>
      <c r="D309" s="11" t="s">
        <v>36</v>
      </c>
      <c r="E309" s="7" t="s">
        <v>70</v>
      </c>
      <c r="F309" s="9">
        <v>59.7</v>
      </c>
      <c r="G309" s="9">
        <v>70.3</v>
      </c>
      <c r="H309" s="9">
        <v>22.1</v>
      </c>
      <c r="I309" s="9">
        <v>10.1</v>
      </c>
      <c r="J309" s="9">
        <v>0.62</v>
      </c>
      <c r="K309" s="9">
        <v>23.2</v>
      </c>
      <c r="L309" s="7">
        <v>25.7</v>
      </c>
      <c r="M309" s="7">
        <v>36.6</v>
      </c>
      <c r="N309" s="7">
        <v>2.6</v>
      </c>
      <c r="O309" s="7">
        <v>192</v>
      </c>
      <c r="P309" s="7" t="s">
        <v>33</v>
      </c>
      <c r="Q309" s="7" t="str">
        <f t="shared" si="16"/>
        <v>Moderate</v>
      </c>
      <c r="R309" s="7" t="str">
        <f t="shared" si="17"/>
        <v>Normal</v>
      </c>
      <c r="S309" s="7" t="str">
        <f t="shared" si="18"/>
        <v>Normal Humidity</v>
      </c>
      <c r="T309" s="7" t="str">
        <f t="shared" si="19"/>
        <v>Moderate Wind</v>
      </c>
    </row>
    <row r="310" spans="1:20" x14ac:dyDescent="0.25">
      <c r="A310" s="7" t="s">
        <v>367</v>
      </c>
      <c r="B310" s="10">
        <v>45675</v>
      </c>
      <c r="C310" s="11" t="s">
        <v>30</v>
      </c>
      <c r="D310" s="11" t="s">
        <v>31</v>
      </c>
      <c r="E310" s="7" t="s">
        <v>97</v>
      </c>
      <c r="F310" s="9">
        <v>25.4</v>
      </c>
      <c r="G310" s="9">
        <v>87.3</v>
      </c>
      <c r="H310" s="9">
        <v>31.3</v>
      </c>
      <c r="I310" s="9">
        <v>28.1</v>
      </c>
      <c r="J310" s="9">
        <v>1.41</v>
      </c>
      <c r="K310" s="9">
        <v>58.1</v>
      </c>
      <c r="L310" s="7">
        <v>19.5</v>
      </c>
      <c r="M310" s="7">
        <v>77.5</v>
      </c>
      <c r="N310" s="7">
        <v>3.6</v>
      </c>
      <c r="O310" s="7">
        <v>203</v>
      </c>
      <c r="P310" s="7" t="s">
        <v>28</v>
      </c>
      <c r="Q310" s="7" t="str">
        <f t="shared" si="16"/>
        <v>Moderate</v>
      </c>
      <c r="R310" s="7" t="str">
        <f t="shared" si="17"/>
        <v>Cool</v>
      </c>
      <c r="S310" s="7" t="str">
        <f t="shared" si="18"/>
        <v>High Humidity</v>
      </c>
      <c r="T310" s="7" t="str">
        <f t="shared" si="19"/>
        <v>Moderate Wind</v>
      </c>
    </row>
    <row r="311" spans="1:20" x14ac:dyDescent="0.25">
      <c r="A311" s="7" t="s">
        <v>368</v>
      </c>
      <c r="B311" s="10">
        <v>45689</v>
      </c>
      <c r="C311" s="11" t="s">
        <v>30</v>
      </c>
      <c r="D311" s="11" t="s">
        <v>31</v>
      </c>
      <c r="E311" s="7" t="s">
        <v>58</v>
      </c>
      <c r="F311" s="9">
        <v>73</v>
      </c>
      <c r="G311" s="9">
        <v>51.2</v>
      </c>
      <c r="H311" s="9">
        <v>51.5</v>
      </c>
      <c r="I311" s="9">
        <v>11</v>
      </c>
      <c r="J311" s="9">
        <v>0.74</v>
      </c>
      <c r="K311" s="9">
        <v>16.600000000000001</v>
      </c>
      <c r="L311" s="7">
        <v>16.3</v>
      </c>
      <c r="M311" s="7">
        <v>51.7</v>
      </c>
      <c r="N311" s="7">
        <v>2.6</v>
      </c>
      <c r="O311" s="7">
        <v>225</v>
      </c>
      <c r="P311" s="7" t="s">
        <v>28</v>
      </c>
      <c r="Q311" s="7" t="str">
        <f t="shared" si="16"/>
        <v>Moderate</v>
      </c>
      <c r="R311" s="7" t="str">
        <f t="shared" si="17"/>
        <v>Cool</v>
      </c>
      <c r="S311" s="7" t="str">
        <f t="shared" si="18"/>
        <v>Normal Humidity</v>
      </c>
      <c r="T311" s="7" t="str">
        <f t="shared" si="19"/>
        <v>Moderate Wind</v>
      </c>
    </row>
    <row r="312" spans="1:20" x14ac:dyDescent="0.25">
      <c r="A312" s="7" t="s">
        <v>369</v>
      </c>
      <c r="B312" s="10">
        <v>45692</v>
      </c>
      <c r="C312" s="11" t="s">
        <v>22</v>
      </c>
      <c r="D312" s="11" t="s">
        <v>23</v>
      </c>
      <c r="E312" s="7" t="s">
        <v>97</v>
      </c>
      <c r="F312" s="9">
        <v>70</v>
      </c>
      <c r="G312" s="9">
        <v>67.400000000000006</v>
      </c>
      <c r="H312" s="9">
        <v>14.6</v>
      </c>
      <c r="I312" s="9">
        <v>18.100000000000001</v>
      </c>
      <c r="J312" s="9">
        <v>0.39</v>
      </c>
      <c r="K312" s="9">
        <v>21.5</v>
      </c>
      <c r="L312" s="7">
        <v>36.4</v>
      </c>
      <c r="M312" s="7">
        <v>66</v>
      </c>
      <c r="N312" s="7">
        <v>3.8</v>
      </c>
      <c r="O312" s="7">
        <v>200</v>
      </c>
      <c r="P312" s="7" t="s">
        <v>33</v>
      </c>
      <c r="Q312" s="7" t="str">
        <f t="shared" si="16"/>
        <v>Moderate</v>
      </c>
      <c r="R312" s="7" t="str">
        <f t="shared" si="17"/>
        <v>Hot</v>
      </c>
      <c r="S312" s="7" t="str">
        <f t="shared" si="18"/>
        <v>High Humidity</v>
      </c>
      <c r="T312" s="7" t="str">
        <f t="shared" si="19"/>
        <v>Moderate Wind</v>
      </c>
    </row>
    <row r="313" spans="1:20" x14ac:dyDescent="0.25">
      <c r="A313" s="7" t="s">
        <v>370</v>
      </c>
      <c r="B313" s="10">
        <v>46002</v>
      </c>
      <c r="C313" s="11" t="s">
        <v>22</v>
      </c>
      <c r="D313" s="11" t="s">
        <v>23</v>
      </c>
      <c r="E313" s="7" t="s">
        <v>74</v>
      </c>
      <c r="F313" s="9">
        <v>46.1</v>
      </c>
      <c r="G313" s="9">
        <v>28.4</v>
      </c>
      <c r="H313" s="9">
        <v>20.5</v>
      </c>
      <c r="I313" s="9">
        <v>9.3000000000000007</v>
      </c>
      <c r="J313" s="9">
        <v>0.66</v>
      </c>
      <c r="K313" s="9">
        <v>87.4</v>
      </c>
      <c r="L313" s="7">
        <v>26.5</v>
      </c>
      <c r="M313" s="7">
        <v>68.7</v>
      </c>
      <c r="N313" s="7">
        <v>1.7</v>
      </c>
      <c r="O313" s="7">
        <v>171</v>
      </c>
      <c r="P313" s="7" t="s">
        <v>33</v>
      </c>
      <c r="Q313" s="7" t="str">
        <f t="shared" si="16"/>
        <v>Good</v>
      </c>
      <c r="R313" s="7" t="str">
        <f t="shared" si="17"/>
        <v>Normal</v>
      </c>
      <c r="S313" s="7" t="str">
        <f t="shared" si="18"/>
        <v>High Humidity</v>
      </c>
      <c r="T313" s="7" t="str">
        <f t="shared" si="19"/>
        <v>Low Wind</v>
      </c>
    </row>
    <row r="314" spans="1:20" x14ac:dyDescent="0.25">
      <c r="A314" s="7" t="s">
        <v>371</v>
      </c>
      <c r="B314" s="10">
        <v>45808</v>
      </c>
      <c r="C314" s="11" t="s">
        <v>93</v>
      </c>
      <c r="D314" s="11" t="s">
        <v>36</v>
      </c>
      <c r="E314" s="7" t="s">
        <v>68</v>
      </c>
      <c r="F314" s="9">
        <v>71.8</v>
      </c>
      <c r="G314" s="9">
        <v>90.5</v>
      </c>
      <c r="H314" s="9">
        <v>26.6</v>
      </c>
      <c r="I314" s="9">
        <v>12.5</v>
      </c>
      <c r="J314" s="9">
        <v>0.45</v>
      </c>
      <c r="K314" s="9">
        <v>20</v>
      </c>
      <c r="L314" s="7">
        <v>26</v>
      </c>
      <c r="M314" s="7">
        <v>40.299999999999997</v>
      </c>
      <c r="N314" s="7">
        <v>2.2999999999999998</v>
      </c>
      <c r="O314" s="7">
        <v>224</v>
      </c>
      <c r="P314" s="7" t="s">
        <v>28</v>
      </c>
      <c r="Q314" s="7" t="str">
        <f t="shared" si="16"/>
        <v>Moderate</v>
      </c>
      <c r="R314" s="7" t="str">
        <f t="shared" si="17"/>
        <v>Normal</v>
      </c>
      <c r="S314" s="7" t="str">
        <f t="shared" si="18"/>
        <v>Normal Humidity</v>
      </c>
      <c r="T314" s="7" t="str">
        <f t="shared" si="19"/>
        <v>Moderate Wind</v>
      </c>
    </row>
    <row r="315" spans="1:20" x14ac:dyDescent="0.25">
      <c r="A315" s="7" t="s">
        <v>372</v>
      </c>
      <c r="B315" s="10">
        <v>45687</v>
      </c>
      <c r="C315" s="11" t="s">
        <v>50</v>
      </c>
      <c r="D315" s="11" t="s">
        <v>31</v>
      </c>
      <c r="E315" s="7" t="s">
        <v>68</v>
      </c>
      <c r="F315" s="9">
        <v>20.5</v>
      </c>
      <c r="G315" s="9">
        <v>43.9</v>
      </c>
      <c r="H315" s="9">
        <v>18.5</v>
      </c>
      <c r="I315" s="9">
        <v>8.6</v>
      </c>
      <c r="J315" s="9">
        <v>0.51</v>
      </c>
      <c r="K315" s="9">
        <v>10.3</v>
      </c>
      <c r="L315" s="7">
        <v>25.8</v>
      </c>
      <c r="M315" s="7">
        <v>46.4</v>
      </c>
      <c r="N315" s="7">
        <v>2.9</v>
      </c>
      <c r="O315" s="7">
        <v>100</v>
      </c>
      <c r="P315" s="7" t="s">
        <v>71</v>
      </c>
      <c r="Q315" s="7" t="str">
        <f t="shared" si="16"/>
        <v>Good</v>
      </c>
      <c r="R315" s="7" t="str">
        <f t="shared" si="17"/>
        <v>Normal</v>
      </c>
      <c r="S315" s="7" t="str">
        <f t="shared" si="18"/>
        <v>Normal Humidity</v>
      </c>
      <c r="T315" s="7" t="str">
        <f t="shared" si="19"/>
        <v>Moderate Wind</v>
      </c>
    </row>
    <row r="316" spans="1:20" x14ac:dyDescent="0.25">
      <c r="A316" s="7" t="s">
        <v>373</v>
      </c>
      <c r="B316" s="10">
        <v>45758</v>
      </c>
      <c r="C316" s="11" t="s">
        <v>64</v>
      </c>
      <c r="D316" s="11" t="s">
        <v>36</v>
      </c>
      <c r="E316" s="7" t="s">
        <v>68</v>
      </c>
      <c r="F316" s="9">
        <v>53.3</v>
      </c>
      <c r="G316" s="9">
        <v>103.1</v>
      </c>
      <c r="H316" s="9">
        <v>22.3</v>
      </c>
      <c r="I316" s="9">
        <v>3</v>
      </c>
      <c r="J316" s="9">
        <v>1.69</v>
      </c>
      <c r="K316" s="9">
        <v>13.6</v>
      </c>
      <c r="L316" s="7">
        <v>31.7</v>
      </c>
      <c r="M316" s="7">
        <v>64.3</v>
      </c>
      <c r="N316" s="7">
        <v>2.4</v>
      </c>
      <c r="O316" s="7">
        <v>221</v>
      </c>
      <c r="P316" s="7" t="s">
        <v>28</v>
      </c>
      <c r="Q316" s="7" t="str">
        <f t="shared" si="16"/>
        <v>Unhealthy</v>
      </c>
      <c r="R316" s="7" t="str">
        <f t="shared" si="17"/>
        <v>Hot</v>
      </c>
      <c r="S316" s="7" t="str">
        <f t="shared" si="18"/>
        <v>High Humidity</v>
      </c>
      <c r="T316" s="7" t="str">
        <f t="shared" si="19"/>
        <v>Moderate Wind</v>
      </c>
    </row>
    <row r="317" spans="1:20" x14ac:dyDescent="0.25">
      <c r="A317" s="7" t="s">
        <v>374</v>
      </c>
      <c r="B317" s="10">
        <v>45990</v>
      </c>
      <c r="C317" s="11" t="s">
        <v>99</v>
      </c>
      <c r="D317" s="11" t="s">
        <v>36</v>
      </c>
      <c r="E317" s="7" t="s">
        <v>70</v>
      </c>
      <c r="F317" s="9">
        <v>72.900000000000006</v>
      </c>
      <c r="G317" s="9">
        <v>130.1</v>
      </c>
      <c r="H317" s="9">
        <v>20.8</v>
      </c>
      <c r="I317" s="9">
        <v>10.199999999999999</v>
      </c>
      <c r="J317" s="9">
        <v>0.94</v>
      </c>
      <c r="K317" s="9">
        <v>31.9</v>
      </c>
      <c r="L317" s="7">
        <v>30.3</v>
      </c>
      <c r="M317" s="7">
        <v>66.7</v>
      </c>
      <c r="N317" s="7">
        <v>2.8</v>
      </c>
      <c r="O317" s="7">
        <v>263</v>
      </c>
      <c r="P317" s="7" t="s">
        <v>28</v>
      </c>
      <c r="Q317" s="7" t="str">
        <f t="shared" si="16"/>
        <v>Unhealthy</v>
      </c>
      <c r="R317" s="7" t="str">
        <f t="shared" si="17"/>
        <v>Hot</v>
      </c>
      <c r="S317" s="7" t="str">
        <f t="shared" si="18"/>
        <v>High Humidity</v>
      </c>
      <c r="T317" s="7" t="str">
        <f t="shared" si="19"/>
        <v>Moderate Wind</v>
      </c>
    </row>
    <row r="318" spans="1:20" x14ac:dyDescent="0.25">
      <c r="A318" s="7" t="s">
        <v>375</v>
      </c>
      <c r="B318" s="10">
        <v>45930</v>
      </c>
      <c r="C318" s="11" t="s">
        <v>22</v>
      </c>
      <c r="D318" s="11" t="s">
        <v>23</v>
      </c>
      <c r="E318" s="7" t="s">
        <v>45</v>
      </c>
      <c r="F318" s="9">
        <v>54.3</v>
      </c>
      <c r="G318" s="9">
        <v>115.4</v>
      </c>
      <c r="H318" s="9">
        <v>33.700000000000003</v>
      </c>
      <c r="I318" s="9">
        <v>4.0999999999999996</v>
      </c>
      <c r="J318" s="9">
        <v>2.44</v>
      </c>
      <c r="K318" s="9">
        <v>29</v>
      </c>
      <c r="L318" s="7">
        <v>27.2</v>
      </c>
      <c r="M318" s="7">
        <v>70.900000000000006</v>
      </c>
      <c r="N318" s="7">
        <v>1.2</v>
      </c>
      <c r="O318" s="7">
        <v>266</v>
      </c>
      <c r="P318" s="7" t="s">
        <v>28</v>
      </c>
      <c r="Q318" s="7" t="str">
        <f t="shared" si="16"/>
        <v>Unhealthy</v>
      </c>
      <c r="R318" s="7" t="str">
        <f t="shared" si="17"/>
        <v>Normal</v>
      </c>
      <c r="S318" s="7" t="str">
        <f t="shared" si="18"/>
        <v>High Humidity</v>
      </c>
      <c r="T318" s="7" t="str">
        <f t="shared" si="19"/>
        <v>Low Wind</v>
      </c>
    </row>
    <row r="319" spans="1:20" x14ac:dyDescent="0.25">
      <c r="A319" s="7" t="s">
        <v>376</v>
      </c>
      <c r="B319" s="10">
        <v>45787</v>
      </c>
      <c r="C319" s="11" t="s">
        <v>22</v>
      </c>
      <c r="D319" s="11" t="s">
        <v>23</v>
      </c>
      <c r="E319" s="7" t="s">
        <v>74</v>
      </c>
      <c r="F319" s="9">
        <v>96.5</v>
      </c>
      <c r="G319" s="9">
        <v>89.7</v>
      </c>
      <c r="H319" s="9">
        <v>77.599999999999994</v>
      </c>
      <c r="I319" s="9">
        <v>11.8</v>
      </c>
      <c r="J319" s="9">
        <v>0.36</v>
      </c>
      <c r="K319" s="9">
        <v>43</v>
      </c>
      <c r="L319" s="7">
        <v>21.6</v>
      </c>
      <c r="M319" s="7">
        <v>39</v>
      </c>
      <c r="N319" s="7">
        <v>2.4</v>
      </c>
      <c r="O319" s="7">
        <v>311</v>
      </c>
      <c r="P319" s="7" t="s">
        <v>20</v>
      </c>
      <c r="Q319" s="7" t="str">
        <f t="shared" si="16"/>
        <v>Moderate</v>
      </c>
      <c r="R319" s="7" t="str">
        <f t="shared" si="17"/>
        <v>Normal</v>
      </c>
      <c r="S319" s="7" t="str">
        <f t="shared" si="18"/>
        <v>Normal Humidity</v>
      </c>
      <c r="T319" s="7" t="str">
        <f t="shared" si="19"/>
        <v>Moderate Wind</v>
      </c>
    </row>
    <row r="320" spans="1:20" x14ac:dyDescent="0.25">
      <c r="A320" s="7" t="s">
        <v>377</v>
      </c>
      <c r="B320" s="10">
        <v>45785</v>
      </c>
      <c r="C320" s="11" t="s">
        <v>30</v>
      </c>
      <c r="D320" s="11" t="s">
        <v>31</v>
      </c>
      <c r="E320" s="7" t="s">
        <v>24</v>
      </c>
      <c r="F320" s="9">
        <v>25</v>
      </c>
      <c r="G320" s="9">
        <v>92</v>
      </c>
      <c r="H320" s="9">
        <v>7.5</v>
      </c>
      <c r="I320" s="9">
        <v>3.7</v>
      </c>
      <c r="J320" s="9">
        <v>1.36</v>
      </c>
      <c r="K320" s="9">
        <v>32.200000000000003</v>
      </c>
      <c r="L320" s="7">
        <v>31.3</v>
      </c>
      <c r="M320" s="7">
        <v>64.7</v>
      </c>
      <c r="N320" s="7">
        <v>2.2999999999999998</v>
      </c>
      <c r="O320" s="7">
        <v>157</v>
      </c>
      <c r="P320" s="7" t="s">
        <v>33</v>
      </c>
      <c r="Q320" s="7" t="str">
        <f t="shared" si="16"/>
        <v>Moderate</v>
      </c>
      <c r="R320" s="7" t="str">
        <f t="shared" si="17"/>
        <v>Hot</v>
      </c>
      <c r="S320" s="7" t="str">
        <f t="shared" si="18"/>
        <v>High Humidity</v>
      </c>
      <c r="T320" s="7" t="str">
        <f t="shared" si="19"/>
        <v>Moderate Wind</v>
      </c>
    </row>
    <row r="321" spans="1:20" x14ac:dyDescent="0.25">
      <c r="A321" s="7" t="s">
        <v>378</v>
      </c>
      <c r="B321" s="10">
        <v>46019</v>
      </c>
      <c r="C321" s="11" t="s">
        <v>50</v>
      </c>
      <c r="D321" s="11" t="s">
        <v>31</v>
      </c>
      <c r="E321" s="7" t="s">
        <v>24</v>
      </c>
      <c r="F321" s="9">
        <v>39.5</v>
      </c>
      <c r="G321" s="9">
        <v>76.8</v>
      </c>
      <c r="H321" s="9">
        <v>17.399999999999999</v>
      </c>
      <c r="I321" s="9">
        <v>49.1</v>
      </c>
      <c r="J321" s="9">
        <v>0.75</v>
      </c>
      <c r="K321" s="9">
        <v>51.1</v>
      </c>
      <c r="L321" s="7">
        <v>16.3</v>
      </c>
      <c r="M321" s="7">
        <v>62.5</v>
      </c>
      <c r="N321" s="7">
        <v>2.6</v>
      </c>
      <c r="O321" s="7">
        <v>203</v>
      </c>
      <c r="P321" s="7" t="s">
        <v>28</v>
      </c>
      <c r="Q321" s="7" t="str">
        <f t="shared" si="16"/>
        <v>Moderate</v>
      </c>
      <c r="R321" s="7" t="str">
        <f t="shared" si="17"/>
        <v>Cool</v>
      </c>
      <c r="S321" s="7" t="str">
        <f t="shared" si="18"/>
        <v>High Humidity</v>
      </c>
      <c r="T321" s="7" t="str">
        <f t="shared" si="19"/>
        <v>Moderate Wind</v>
      </c>
    </row>
    <row r="322" spans="1:20" x14ac:dyDescent="0.25">
      <c r="A322" s="7" t="s">
        <v>379</v>
      </c>
      <c r="B322" s="10">
        <v>45810</v>
      </c>
      <c r="C322" s="11" t="s">
        <v>17</v>
      </c>
      <c r="D322" s="11" t="s">
        <v>18</v>
      </c>
      <c r="E322" s="7" t="s">
        <v>74</v>
      </c>
      <c r="F322" s="9">
        <v>83.2</v>
      </c>
      <c r="G322" s="9">
        <v>36.299999999999997</v>
      </c>
      <c r="H322" s="9">
        <v>21.4</v>
      </c>
      <c r="I322" s="9">
        <v>6.2</v>
      </c>
      <c r="J322" s="9">
        <v>0.4</v>
      </c>
      <c r="K322" s="9">
        <v>54.8</v>
      </c>
      <c r="L322" s="7">
        <v>24</v>
      </c>
      <c r="M322" s="7">
        <v>68.2</v>
      </c>
      <c r="N322" s="7">
        <v>1.4</v>
      </c>
      <c r="O322" s="7">
        <v>213</v>
      </c>
      <c r="P322" s="7" t="s">
        <v>28</v>
      </c>
      <c r="Q322" s="7" t="str">
        <f t="shared" si="16"/>
        <v>Good</v>
      </c>
      <c r="R322" s="7" t="str">
        <f t="shared" si="17"/>
        <v>Normal</v>
      </c>
      <c r="S322" s="7" t="str">
        <f t="shared" si="18"/>
        <v>High Humidity</v>
      </c>
      <c r="T322" s="7" t="str">
        <f t="shared" si="19"/>
        <v>Low Wind</v>
      </c>
    </row>
    <row r="323" spans="1:20" x14ac:dyDescent="0.25">
      <c r="A323" s="7" t="s">
        <v>380</v>
      </c>
      <c r="B323" s="10">
        <v>45705</v>
      </c>
      <c r="C323" s="11" t="s">
        <v>81</v>
      </c>
      <c r="D323" s="11" t="s">
        <v>39</v>
      </c>
      <c r="E323" s="7" t="s">
        <v>32</v>
      </c>
      <c r="F323" s="9">
        <v>61.6</v>
      </c>
      <c r="G323" s="9">
        <v>68.8</v>
      </c>
      <c r="H323" s="9">
        <v>25.4</v>
      </c>
      <c r="I323" s="9">
        <v>15.2</v>
      </c>
      <c r="J323" s="9">
        <v>0.63</v>
      </c>
      <c r="K323" s="9">
        <v>47.7</v>
      </c>
      <c r="L323" s="7">
        <v>32</v>
      </c>
      <c r="M323" s="7">
        <v>68.099999999999994</v>
      </c>
      <c r="N323" s="7">
        <v>3.5</v>
      </c>
      <c r="O323" s="7">
        <v>211</v>
      </c>
      <c r="P323" s="7" t="s">
        <v>28</v>
      </c>
      <c r="Q323" s="7" t="str">
        <f t="shared" ref="Q323:Q386" si="20">IF(G323&lt;50,"Good",IF(G323&lt;=100,"Moderate",IF(G323&lt;=150,"Unhealthy","VeryUnhealthy")))</f>
        <v>Moderate</v>
      </c>
      <c r="R323" s="7" t="str">
        <f t="shared" ref="R323:R386" si="21">IF(L323&lt;20,"Cool",IF(L323&lt;=30,"Normal","Hot"))</f>
        <v>Hot</v>
      </c>
      <c r="S323" s="7" t="str">
        <f t="shared" ref="S323:S386" si="22">IF(M323&lt;30,"Low Humidity",IF(M323&lt;=60,"Normal Humidity","High Humidity"))</f>
        <v>High Humidity</v>
      </c>
      <c r="T323" s="7" t="str">
        <f t="shared" ref="T323:T386" si="23">IF(N323&lt;2,"Low Wind",IF(N323&lt;=5,"Moderate Wind","High Wind"))</f>
        <v>Moderate Wind</v>
      </c>
    </row>
    <row r="324" spans="1:20" x14ac:dyDescent="0.25">
      <c r="A324" s="7" t="s">
        <v>381</v>
      </c>
      <c r="B324" s="10">
        <v>45903</v>
      </c>
      <c r="C324" s="11" t="s">
        <v>64</v>
      </c>
      <c r="D324" s="11" t="s">
        <v>36</v>
      </c>
      <c r="E324" s="7" t="s">
        <v>61</v>
      </c>
      <c r="F324" s="9">
        <v>24.3</v>
      </c>
      <c r="G324" s="9">
        <v>61</v>
      </c>
      <c r="H324" s="9">
        <v>10.9</v>
      </c>
      <c r="I324" s="9">
        <v>6.6</v>
      </c>
      <c r="J324" s="9">
        <v>1.01</v>
      </c>
      <c r="K324" s="9">
        <v>8.1999999999999993</v>
      </c>
      <c r="L324" s="7">
        <v>36.5</v>
      </c>
      <c r="M324" s="7">
        <v>63.9</v>
      </c>
      <c r="N324" s="7">
        <v>2.7</v>
      </c>
      <c r="O324" s="7">
        <v>121</v>
      </c>
      <c r="P324" s="7" t="s">
        <v>33</v>
      </c>
      <c r="Q324" s="7" t="str">
        <f t="shared" si="20"/>
        <v>Moderate</v>
      </c>
      <c r="R324" s="7" t="str">
        <f t="shared" si="21"/>
        <v>Hot</v>
      </c>
      <c r="S324" s="7" t="str">
        <f t="shared" si="22"/>
        <v>High Humidity</v>
      </c>
      <c r="T324" s="7" t="str">
        <f t="shared" si="23"/>
        <v>Moderate Wind</v>
      </c>
    </row>
    <row r="325" spans="1:20" x14ac:dyDescent="0.25">
      <c r="A325" s="7" t="s">
        <v>382</v>
      </c>
      <c r="B325" s="10">
        <v>45746</v>
      </c>
      <c r="C325" s="11" t="s">
        <v>38</v>
      </c>
      <c r="D325" s="11" t="s">
        <v>39</v>
      </c>
      <c r="E325" s="7" t="s">
        <v>91</v>
      </c>
      <c r="F325" s="9">
        <v>31.8</v>
      </c>
      <c r="G325" s="9">
        <v>83.5</v>
      </c>
      <c r="H325" s="9">
        <v>5.0999999999999996</v>
      </c>
      <c r="I325" s="9">
        <v>6.1</v>
      </c>
      <c r="J325" s="9">
        <v>0.17</v>
      </c>
      <c r="K325" s="9">
        <v>35.299999999999997</v>
      </c>
      <c r="L325" s="7">
        <v>34.9</v>
      </c>
      <c r="M325" s="7">
        <v>80.099999999999994</v>
      </c>
      <c r="N325" s="7">
        <v>1.3</v>
      </c>
      <c r="O325" s="7">
        <v>134</v>
      </c>
      <c r="P325" s="7" t="s">
        <v>33</v>
      </c>
      <c r="Q325" s="7" t="str">
        <f t="shared" si="20"/>
        <v>Moderate</v>
      </c>
      <c r="R325" s="7" t="str">
        <f t="shared" si="21"/>
        <v>Hot</v>
      </c>
      <c r="S325" s="7" t="str">
        <f t="shared" si="22"/>
        <v>High Humidity</v>
      </c>
      <c r="T325" s="7" t="str">
        <f t="shared" si="23"/>
        <v>Low Wind</v>
      </c>
    </row>
    <row r="326" spans="1:20" x14ac:dyDescent="0.25">
      <c r="A326" s="7" t="s">
        <v>383</v>
      </c>
      <c r="B326" s="10">
        <v>45890</v>
      </c>
      <c r="C326" s="11" t="s">
        <v>22</v>
      </c>
      <c r="D326" s="11" t="s">
        <v>23</v>
      </c>
      <c r="E326" s="7" t="s">
        <v>45</v>
      </c>
      <c r="F326" s="9">
        <v>5.3</v>
      </c>
      <c r="G326" s="9">
        <v>63.2</v>
      </c>
      <c r="H326" s="9">
        <v>32.4</v>
      </c>
      <c r="I326" s="9">
        <v>18</v>
      </c>
      <c r="J326" s="9">
        <v>0.18</v>
      </c>
      <c r="K326" s="9">
        <v>46.9</v>
      </c>
      <c r="L326" s="7">
        <v>32.700000000000003</v>
      </c>
      <c r="M326" s="7">
        <v>71.7</v>
      </c>
      <c r="N326" s="7">
        <v>3.1</v>
      </c>
      <c r="O326" s="7">
        <v>114</v>
      </c>
      <c r="P326" s="7" t="s">
        <v>33</v>
      </c>
      <c r="Q326" s="7" t="str">
        <f t="shared" si="20"/>
        <v>Moderate</v>
      </c>
      <c r="R326" s="7" t="str">
        <f t="shared" si="21"/>
        <v>Hot</v>
      </c>
      <c r="S326" s="7" t="str">
        <f t="shared" si="22"/>
        <v>High Humidity</v>
      </c>
      <c r="T326" s="7" t="str">
        <f t="shared" si="23"/>
        <v>Moderate Wind</v>
      </c>
    </row>
    <row r="327" spans="1:20" x14ac:dyDescent="0.25">
      <c r="A327" s="7" t="s">
        <v>384</v>
      </c>
      <c r="B327" s="10">
        <v>45946</v>
      </c>
      <c r="C327" s="11" t="s">
        <v>93</v>
      </c>
      <c r="D327" s="11" t="s">
        <v>36</v>
      </c>
      <c r="E327" s="7" t="s">
        <v>32</v>
      </c>
      <c r="F327" s="9">
        <v>38.700000000000003</v>
      </c>
      <c r="G327" s="9">
        <v>54.6</v>
      </c>
      <c r="H327" s="9">
        <v>22.5</v>
      </c>
      <c r="I327" s="9">
        <v>36.9</v>
      </c>
      <c r="J327" s="9">
        <v>1.5</v>
      </c>
      <c r="K327" s="9">
        <v>13.7</v>
      </c>
      <c r="L327" s="7">
        <v>33.6</v>
      </c>
      <c r="M327" s="7">
        <v>96.4</v>
      </c>
      <c r="N327" s="7">
        <v>2.2999999999999998</v>
      </c>
      <c r="O327" s="7">
        <v>185</v>
      </c>
      <c r="P327" s="7" t="s">
        <v>33</v>
      </c>
      <c r="Q327" s="7" t="str">
        <f t="shared" si="20"/>
        <v>Moderate</v>
      </c>
      <c r="R327" s="7" t="str">
        <f t="shared" si="21"/>
        <v>Hot</v>
      </c>
      <c r="S327" s="7" t="str">
        <f t="shared" si="22"/>
        <v>High Humidity</v>
      </c>
      <c r="T327" s="7" t="str">
        <f t="shared" si="23"/>
        <v>Moderate Wind</v>
      </c>
    </row>
    <row r="328" spans="1:20" x14ac:dyDescent="0.25">
      <c r="A328" s="7" t="s">
        <v>385</v>
      </c>
      <c r="B328" s="10">
        <v>45865</v>
      </c>
      <c r="C328" s="11" t="s">
        <v>38</v>
      </c>
      <c r="D328" s="11" t="s">
        <v>39</v>
      </c>
      <c r="E328" s="7" t="s">
        <v>24</v>
      </c>
      <c r="F328" s="9">
        <v>98.3</v>
      </c>
      <c r="G328" s="9">
        <v>32.6</v>
      </c>
      <c r="H328" s="9">
        <v>13.2</v>
      </c>
      <c r="I328" s="9">
        <v>10.9</v>
      </c>
      <c r="J328" s="9">
        <v>0.27</v>
      </c>
      <c r="K328" s="9">
        <v>72.400000000000006</v>
      </c>
      <c r="L328" s="7">
        <v>20</v>
      </c>
      <c r="M328" s="7">
        <v>62.3</v>
      </c>
      <c r="N328" s="7">
        <v>3</v>
      </c>
      <c r="O328" s="7">
        <v>236</v>
      </c>
      <c r="P328" s="7" t="s">
        <v>28</v>
      </c>
      <c r="Q328" s="7" t="str">
        <f t="shared" si="20"/>
        <v>Good</v>
      </c>
      <c r="R328" s="7" t="str">
        <f t="shared" si="21"/>
        <v>Normal</v>
      </c>
      <c r="S328" s="7" t="str">
        <f t="shared" si="22"/>
        <v>High Humidity</v>
      </c>
      <c r="T328" s="7" t="str">
        <f t="shared" si="23"/>
        <v>Moderate Wind</v>
      </c>
    </row>
    <row r="329" spans="1:20" x14ac:dyDescent="0.25">
      <c r="A329" s="7" t="s">
        <v>386</v>
      </c>
      <c r="B329" s="10">
        <v>45800</v>
      </c>
      <c r="C329" s="11" t="s">
        <v>50</v>
      </c>
      <c r="D329" s="11" t="s">
        <v>31</v>
      </c>
      <c r="E329" s="7" t="s">
        <v>19</v>
      </c>
      <c r="F329" s="9">
        <v>73.900000000000006</v>
      </c>
      <c r="G329" s="9">
        <v>99.8</v>
      </c>
      <c r="H329" s="9">
        <v>11.2</v>
      </c>
      <c r="I329" s="9">
        <v>11.2</v>
      </c>
      <c r="J329" s="9">
        <v>7.0000000000000007E-2</v>
      </c>
      <c r="K329" s="9">
        <v>11.2</v>
      </c>
      <c r="L329" s="7">
        <v>17</v>
      </c>
      <c r="M329" s="7">
        <v>48.9</v>
      </c>
      <c r="N329" s="7">
        <v>3.1</v>
      </c>
      <c r="O329" s="7">
        <v>207</v>
      </c>
      <c r="P329" s="7" t="s">
        <v>28</v>
      </c>
      <c r="Q329" s="7" t="str">
        <f t="shared" si="20"/>
        <v>Moderate</v>
      </c>
      <c r="R329" s="7" t="str">
        <f t="shared" si="21"/>
        <v>Cool</v>
      </c>
      <c r="S329" s="7" t="str">
        <f t="shared" si="22"/>
        <v>Normal Humidity</v>
      </c>
      <c r="T329" s="7" t="str">
        <f t="shared" si="23"/>
        <v>Moderate Wind</v>
      </c>
    </row>
    <row r="330" spans="1:20" x14ac:dyDescent="0.25">
      <c r="A330" s="7" t="s">
        <v>387</v>
      </c>
      <c r="B330" s="10">
        <v>45880</v>
      </c>
      <c r="C330" s="11" t="s">
        <v>64</v>
      </c>
      <c r="D330" s="11" t="s">
        <v>36</v>
      </c>
      <c r="E330" s="7" t="s">
        <v>24</v>
      </c>
      <c r="F330" s="9">
        <v>10.199999999999999</v>
      </c>
      <c r="G330" s="9">
        <v>39.1</v>
      </c>
      <c r="H330" s="9">
        <v>21.6</v>
      </c>
      <c r="I330" s="9">
        <v>22.1</v>
      </c>
      <c r="J330" s="9">
        <v>0.48</v>
      </c>
      <c r="K330" s="9">
        <v>23.9</v>
      </c>
      <c r="L330" s="7">
        <v>17.8</v>
      </c>
      <c r="M330" s="7">
        <v>74.099999999999994</v>
      </c>
      <c r="N330" s="7">
        <v>1.4</v>
      </c>
      <c r="O330" s="7">
        <v>97</v>
      </c>
      <c r="P330" s="7" t="s">
        <v>71</v>
      </c>
      <c r="Q330" s="7" t="str">
        <f t="shared" si="20"/>
        <v>Good</v>
      </c>
      <c r="R330" s="7" t="str">
        <f t="shared" si="21"/>
        <v>Cool</v>
      </c>
      <c r="S330" s="7" t="str">
        <f t="shared" si="22"/>
        <v>High Humidity</v>
      </c>
      <c r="T330" s="7" t="str">
        <f t="shared" si="23"/>
        <v>Low Wind</v>
      </c>
    </row>
    <row r="331" spans="1:20" x14ac:dyDescent="0.25">
      <c r="A331" s="7" t="s">
        <v>388</v>
      </c>
      <c r="B331" s="10">
        <v>45818</v>
      </c>
      <c r="C331" s="11" t="s">
        <v>35</v>
      </c>
      <c r="D331" s="11" t="s">
        <v>36</v>
      </c>
      <c r="E331" s="7" t="s">
        <v>74</v>
      </c>
      <c r="F331" s="9">
        <v>36.299999999999997</v>
      </c>
      <c r="G331" s="9">
        <v>104.7</v>
      </c>
      <c r="H331" s="9">
        <v>12.8</v>
      </c>
      <c r="I331" s="9">
        <v>10.3</v>
      </c>
      <c r="J331" s="9">
        <v>0.11</v>
      </c>
      <c r="K331" s="9">
        <v>31.2</v>
      </c>
      <c r="L331" s="7">
        <v>23</v>
      </c>
      <c r="M331" s="7">
        <v>63.9</v>
      </c>
      <c r="N331" s="7">
        <v>1.9</v>
      </c>
      <c r="O331" s="7">
        <v>160</v>
      </c>
      <c r="P331" s="7" t="s">
        <v>33</v>
      </c>
      <c r="Q331" s="7" t="str">
        <f t="shared" si="20"/>
        <v>Unhealthy</v>
      </c>
      <c r="R331" s="7" t="str">
        <f t="shared" si="21"/>
        <v>Normal</v>
      </c>
      <c r="S331" s="7" t="str">
        <f t="shared" si="22"/>
        <v>High Humidity</v>
      </c>
      <c r="T331" s="7" t="str">
        <f t="shared" si="23"/>
        <v>Low Wind</v>
      </c>
    </row>
    <row r="332" spans="1:20" x14ac:dyDescent="0.25">
      <c r="A332" s="7" t="s">
        <v>389</v>
      </c>
      <c r="B332" s="10">
        <v>45878</v>
      </c>
      <c r="C332" s="11" t="s">
        <v>26</v>
      </c>
      <c r="D332" s="11" t="s">
        <v>23</v>
      </c>
      <c r="E332" s="7" t="s">
        <v>24</v>
      </c>
      <c r="F332" s="9">
        <v>18.899999999999999</v>
      </c>
      <c r="G332" s="9">
        <v>46.7</v>
      </c>
      <c r="H332" s="9">
        <v>26.3</v>
      </c>
      <c r="I332" s="9">
        <v>14.3</v>
      </c>
      <c r="J332" s="9">
        <v>0.64</v>
      </c>
      <c r="K332" s="9">
        <v>15.3</v>
      </c>
      <c r="L332" s="7">
        <v>20.3</v>
      </c>
      <c r="M332" s="7">
        <v>62.5</v>
      </c>
      <c r="N332" s="7">
        <v>1.5</v>
      </c>
      <c r="O332" s="7">
        <v>115</v>
      </c>
      <c r="P332" s="7" t="s">
        <v>33</v>
      </c>
      <c r="Q332" s="7" t="str">
        <f t="shared" si="20"/>
        <v>Good</v>
      </c>
      <c r="R332" s="7" t="str">
        <f t="shared" si="21"/>
        <v>Normal</v>
      </c>
      <c r="S332" s="7" t="str">
        <f t="shared" si="22"/>
        <v>High Humidity</v>
      </c>
      <c r="T332" s="7" t="str">
        <f t="shared" si="23"/>
        <v>Low Wind</v>
      </c>
    </row>
    <row r="333" spans="1:20" x14ac:dyDescent="0.25">
      <c r="A333" s="7" t="s">
        <v>390</v>
      </c>
      <c r="B333" s="10">
        <v>45731</v>
      </c>
      <c r="C333" s="11" t="s">
        <v>26</v>
      </c>
      <c r="D333" s="11" t="s">
        <v>23</v>
      </c>
      <c r="E333" s="7" t="s">
        <v>61</v>
      </c>
      <c r="F333" s="9">
        <v>85.8</v>
      </c>
      <c r="G333" s="9">
        <v>135</v>
      </c>
      <c r="H333" s="9">
        <v>26</v>
      </c>
      <c r="I333" s="9">
        <v>25.3</v>
      </c>
      <c r="J333" s="9">
        <v>1.03</v>
      </c>
      <c r="K333" s="9">
        <v>37.6</v>
      </c>
      <c r="L333" s="7">
        <v>26.6</v>
      </c>
      <c r="M333" s="7">
        <v>92.3</v>
      </c>
      <c r="N333" s="7">
        <v>3.5</v>
      </c>
      <c r="O333" s="7">
        <v>306</v>
      </c>
      <c r="P333" s="7" t="s">
        <v>20</v>
      </c>
      <c r="Q333" s="7" t="str">
        <f t="shared" si="20"/>
        <v>Unhealthy</v>
      </c>
      <c r="R333" s="7" t="str">
        <f t="shared" si="21"/>
        <v>Normal</v>
      </c>
      <c r="S333" s="7" t="str">
        <f t="shared" si="22"/>
        <v>High Humidity</v>
      </c>
      <c r="T333" s="7" t="str">
        <f t="shared" si="23"/>
        <v>Moderate Wind</v>
      </c>
    </row>
    <row r="334" spans="1:20" x14ac:dyDescent="0.25">
      <c r="A334" s="7" t="s">
        <v>391</v>
      </c>
      <c r="B334" s="10">
        <v>45935</v>
      </c>
      <c r="C334" s="11" t="s">
        <v>81</v>
      </c>
      <c r="D334" s="11" t="s">
        <v>39</v>
      </c>
      <c r="E334" s="7" t="s">
        <v>61</v>
      </c>
      <c r="F334" s="9">
        <v>24.6</v>
      </c>
      <c r="G334" s="9">
        <v>93.1</v>
      </c>
      <c r="H334" s="9">
        <v>19.100000000000001</v>
      </c>
      <c r="I334" s="9">
        <v>10.1</v>
      </c>
      <c r="J334" s="9">
        <v>0.28999999999999998</v>
      </c>
      <c r="K334" s="9">
        <v>32</v>
      </c>
      <c r="L334" s="7">
        <v>38.9</v>
      </c>
      <c r="M334" s="7">
        <v>69</v>
      </c>
      <c r="N334" s="7">
        <v>2.5</v>
      </c>
      <c r="O334" s="7">
        <v>144</v>
      </c>
      <c r="P334" s="7" t="s">
        <v>33</v>
      </c>
      <c r="Q334" s="7" t="str">
        <f t="shared" si="20"/>
        <v>Moderate</v>
      </c>
      <c r="R334" s="7" t="str">
        <f t="shared" si="21"/>
        <v>Hot</v>
      </c>
      <c r="S334" s="7" t="str">
        <f t="shared" si="22"/>
        <v>High Humidity</v>
      </c>
      <c r="T334" s="7" t="str">
        <f t="shared" si="23"/>
        <v>Moderate Wind</v>
      </c>
    </row>
    <row r="335" spans="1:20" x14ac:dyDescent="0.25">
      <c r="A335" s="7" t="s">
        <v>392</v>
      </c>
      <c r="B335" s="10">
        <v>45715</v>
      </c>
      <c r="C335" s="11" t="s">
        <v>67</v>
      </c>
      <c r="D335" s="11" t="s">
        <v>18</v>
      </c>
      <c r="E335" s="7" t="s">
        <v>97</v>
      </c>
      <c r="F335" s="9">
        <v>149</v>
      </c>
      <c r="G335" s="9">
        <v>158.19999999999999</v>
      </c>
      <c r="H335" s="9">
        <v>30.1</v>
      </c>
      <c r="I335" s="9">
        <v>3.8</v>
      </c>
      <c r="J335" s="9">
        <v>1.3</v>
      </c>
      <c r="K335" s="9">
        <v>12.4</v>
      </c>
      <c r="L335" s="7">
        <v>25.8</v>
      </c>
      <c r="M335" s="7">
        <v>57.1</v>
      </c>
      <c r="N335" s="7">
        <v>2.8</v>
      </c>
      <c r="O335" s="7">
        <v>406</v>
      </c>
      <c r="P335" s="7" t="s">
        <v>20</v>
      </c>
      <c r="Q335" s="7" t="str">
        <f t="shared" si="20"/>
        <v>VeryUnhealthy</v>
      </c>
      <c r="R335" s="7" t="str">
        <f t="shared" si="21"/>
        <v>Normal</v>
      </c>
      <c r="S335" s="7" t="str">
        <f t="shared" si="22"/>
        <v>Normal Humidity</v>
      </c>
      <c r="T335" s="7" t="str">
        <f t="shared" si="23"/>
        <v>Moderate Wind</v>
      </c>
    </row>
    <row r="336" spans="1:20" x14ac:dyDescent="0.25">
      <c r="A336" s="7" t="s">
        <v>393</v>
      </c>
      <c r="B336" s="10">
        <v>45762</v>
      </c>
      <c r="C336" s="11" t="s">
        <v>77</v>
      </c>
      <c r="D336" s="11" t="s">
        <v>39</v>
      </c>
      <c r="E336" s="7" t="s">
        <v>32</v>
      </c>
      <c r="F336" s="9">
        <v>16.399999999999999</v>
      </c>
      <c r="G336" s="9">
        <v>98.2</v>
      </c>
      <c r="H336" s="9">
        <v>37.799999999999997</v>
      </c>
      <c r="I336" s="9">
        <v>20.2</v>
      </c>
      <c r="J336" s="9">
        <v>0.39</v>
      </c>
      <c r="K336" s="9">
        <v>18.399999999999999</v>
      </c>
      <c r="L336" s="7">
        <v>35.9</v>
      </c>
      <c r="M336" s="7">
        <v>59.5</v>
      </c>
      <c r="N336" s="7">
        <v>2.8</v>
      </c>
      <c r="O336" s="7">
        <v>152</v>
      </c>
      <c r="P336" s="7" t="s">
        <v>33</v>
      </c>
      <c r="Q336" s="7" t="str">
        <f t="shared" si="20"/>
        <v>Moderate</v>
      </c>
      <c r="R336" s="7" t="str">
        <f t="shared" si="21"/>
        <v>Hot</v>
      </c>
      <c r="S336" s="7" t="str">
        <f t="shared" si="22"/>
        <v>Normal Humidity</v>
      </c>
      <c r="T336" s="7" t="str">
        <f t="shared" si="23"/>
        <v>Moderate Wind</v>
      </c>
    </row>
    <row r="337" spans="1:20" x14ac:dyDescent="0.25">
      <c r="A337" s="7" t="s">
        <v>394</v>
      </c>
      <c r="B337" s="10">
        <v>45971</v>
      </c>
      <c r="C337" s="11" t="s">
        <v>26</v>
      </c>
      <c r="D337" s="11" t="s">
        <v>23</v>
      </c>
      <c r="E337" s="7" t="s">
        <v>24</v>
      </c>
      <c r="F337" s="9">
        <v>22.4</v>
      </c>
      <c r="G337" s="9">
        <v>134.30000000000001</v>
      </c>
      <c r="H337" s="9">
        <v>11.6</v>
      </c>
      <c r="I337" s="9">
        <v>4</v>
      </c>
      <c r="J337" s="9">
        <v>2.5</v>
      </c>
      <c r="K337" s="9">
        <v>22.3</v>
      </c>
      <c r="L337" s="7">
        <v>22</v>
      </c>
      <c r="M337" s="7">
        <v>64.599999999999994</v>
      </c>
      <c r="N337" s="7">
        <v>1.8</v>
      </c>
      <c r="O337" s="7">
        <v>208</v>
      </c>
      <c r="P337" s="7" t="s">
        <v>28</v>
      </c>
      <c r="Q337" s="7" t="str">
        <f t="shared" si="20"/>
        <v>Unhealthy</v>
      </c>
      <c r="R337" s="7" t="str">
        <f t="shared" si="21"/>
        <v>Normal</v>
      </c>
      <c r="S337" s="7" t="str">
        <f t="shared" si="22"/>
        <v>High Humidity</v>
      </c>
      <c r="T337" s="7" t="str">
        <f t="shared" si="23"/>
        <v>Low Wind</v>
      </c>
    </row>
    <row r="338" spans="1:20" x14ac:dyDescent="0.25">
      <c r="A338" s="7" t="s">
        <v>395</v>
      </c>
      <c r="B338" s="10">
        <v>45851</v>
      </c>
      <c r="C338" s="11" t="s">
        <v>77</v>
      </c>
      <c r="D338" s="11" t="s">
        <v>39</v>
      </c>
      <c r="E338" s="7" t="s">
        <v>74</v>
      </c>
      <c r="F338" s="9">
        <v>23.1</v>
      </c>
      <c r="G338" s="9">
        <v>96.8</v>
      </c>
      <c r="H338" s="9">
        <v>19.399999999999999</v>
      </c>
      <c r="I338" s="9">
        <v>57.9</v>
      </c>
      <c r="J338" s="9">
        <v>0.97</v>
      </c>
      <c r="K338" s="9">
        <v>24.7</v>
      </c>
      <c r="L338" s="7">
        <v>28</v>
      </c>
      <c r="M338" s="7">
        <v>65.7</v>
      </c>
      <c r="N338" s="7">
        <v>2.1</v>
      </c>
      <c r="O338" s="7">
        <v>191</v>
      </c>
      <c r="P338" s="7" t="s">
        <v>33</v>
      </c>
      <c r="Q338" s="7" t="str">
        <f t="shared" si="20"/>
        <v>Moderate</v>
      </c>
      <c r="R338" s="7" t="str">
        <f t="shared" si="21"/>
        <v>Normal</v>
      </c>
      <c r="S338" s="7" t="str">
        <f t="shared" si="22"/>
        <v>High Humidity</v>
      </c>
      <c r="T338" s="7" t="str">
        <f t="shared" si="23"/>
        <v>Moderate Wind</v>
      </c>
    </row>
    <row r="339" spans="1:20" x14ac:dyDescent="0.25">
      <c r="A339" s="7" t="s">
        <v>396</v>
      </c>
      <c r="B339" s="10">
        <v>45874</v>
      </c>
      <c r="C339" s="11" t="s">
        <v>42</v>
      </c>
      <c r="D339" s="11" t="s">
        <v>23</v>
      </c>
      <c r="E339" s="7" t="s">
        <v>43</v>
      </c>
      <c r="F339" s="9">
        <v>60</v>
      </c>
      <c r="G339" s="9">
        <v>40.200000000000003</v>
      </c>
      <c r="H339" s="9">
        <v>45.7</v>
      </c>
      <c r="I339" s="9">
        <v>9.6</v>
      </c>
      <c r="J339" s="9">
        <v>1.93</v>
      </c>
      <c r="K339" s="9">
        <v>61.6</v>
      </c>
      <c r="L339" s="7">
        <v>25.4</v>
      </c>
      <c r="M339" s="7">
        <v>48.7</v>
      </c>
      <c r="N339" s="7">
        <v>2.4</v>
      </c>
      <c r="O339" s="7">
        <v>241</v>
      </c>
      <c r="P339" s="7" t="s">
        <v>28</v>
      </c>
      <c r="Q339" s="7" t="str">
        <f t="shared" si="20"/>
        <v>Good</v>
      </c>
      <c r="R339" s="7" t="str">
        <f t="shared" si="21"/>
        <v>Normal</v>
      </c>
      <c r="S339" s="7" t="str">
        <f t="shared" si="22"/>
        <v>Normal Humidity</v>
      </c>
      <c r="T339" s="7" t="str">
        <f t="shared" si="23"/>
        <v>Moderate Wind</v>
      </c>
    </row>
    <row r="340" spans="1:20" x14ac:dyDescent="0.25">
      <c r="A340" s="7" t="s">
        <v>397</v>
      </c>
      <c r="B340" s="10">
        <v>45909</v>
      </c>
      <c r="C340" s="11" t="s">
        <v>52</v>
      </c>
      <c r="D340" s="11" t="s">
        <v>31</v>
      </c>
      <c r="E340" s="7" t="s">
        <v>40</v>
      </c>
      <c r="F340" s="9">
        <v>65.8</v>
      </c>
      <c r="G340" s="9">
        <v>85.2</v>
      </c>
      <c r="H340" s="9">
        <v>39.799999999999997</v>
      </c>
      <c r="I340" s="9">
        <v>13.6</v>
      </c>
      <c r="J340" s="9">
        <v>0.79</v>
      </c>
      <c r="K340" s="9">
        <v>14.8</v>
      </c>
      <c r="L340" s="7">
        <v>20.9</v>
      </c>
      <c r="M340" s="7">
        <v>47</v>
      </c>
      <c r="N340" s="7">
        <v>1.9</v>
      </c>
      <c r="O340" s="7">
        <v>228</v>
      </c>
      <c r="P340" s="7" t="s">
        <v>28</v>
      </c>
      <c r="Q340" s="7" t="str">
        <f t="shared" si="20"/>
        <v>Moderate</v>
      </c>
      <c r="R340" s="7" t="str">
        <f t="shared" si="21"/>
        <v>Normal</v>
      </c>
      <c r="S340" s="7" t="str">
        <f t="shared" si="22"/>
        <v>Normal Humidity</v>
      </c>
      <c r="T340" s="7" t="str">
        <f t="shared" si="23"/>
        <v>Low Wind</v>
      </c>
    </row>
    <row r="341" spans="1:20" x14ac:dyDescent="0.25">
      <c r="A341" s="7" t="s">
        <v>398</v>
      </c>
      <c r="B341" s="10">
        <v>45944</v>
      </c>
      <c r="C341" s="11" t="s">
        <v>38</v>
      </c>
      <c r="D341" s="11" t="s">
        <v>39</v>
      </c>
      <c r="E341" s="7" t="s">
        <v>40</v>
      </c>
      <c r="F341" s="9">
        <v>17.100000000000001</v>
      </c>
      <c r="G341" s="9">
        <v>50.7</v>
      </c>
      <c r="H341" s="9">
        <v>12.5</v>
      </c>
      <c r="I341" s="9">
        <v>3.3</v>
      </c>
      <c r="J341" s="9">
        <v>0.86</v>
      </c>
      <c r="K341" s="9">
        <v>37.700000000000003</v>
      </c>
      <c r="L341" s="7">
        <v>29.3</v>
      </c>
      <c r="M341" s="7">
        <v>59.8</v>
      </c>
      <c r="N341" s="7">
        <v>1.7</v>
      </c>
      <c r="O341" s="7">
        <v>111</v>
      </c>
      <c r="P341" s="7" t="s">
        <v>33</v>
      </c>
      <c r="Q341" s="7" t="str">
        <f t="shared" si="20"/>
        <v>Moderate</v>
      </c>
      <c r="R341" s="7" t="str">
        <f t="shared" si="21"/>
        <v>Normal</v>
      </c>
      <c r="S341" s="7" t="str">
        <f t="shared" si="22"/>
        <v>Normal Humidity</v>
      </c>
      <c r="T341" s="7" t="str">
        <f t="shared" si="23"/>
        <v>Low Wind</v>
      </c>
    </row>
    <row r="342" spans="1:20" x14ac:dyDescent="0.25">
      <c r="A342" s="7" t="s">
        <v>399</v>
      </c>
      <c r="B342" s="10">
        <v>45687</v>
      </c>
      <c r="C342" s="11" t="s">
        <v>35</v>
      </c>
      <c r="D342" s="11" t="s">
        <v>36</v>
      </c>
      <c r="E342" s="7" t="s">
        <v>70</v>
      </c>
      <c r="F342" s="9">
        <v>89</v>
      </c>
      <c r="G342" s="9">
        <v>88.7</v>
      </c>
      <c r="H342" s="9">
        <v>58</v>
      </c>
      <c r="I342" s="9">
        <v>26.7</v>
      </c>
      <c r="J342" s="9">
        <v>1.08</v>
      </c>
      <c r="K342" s="9">
        <v>25.3</v>
      </c>
      <c r="L342" s="7">
        <v>25.7</v>
      </c>
      <c r="M342" s="7">
        <v>63.6</v>
      </c>
      <c r="N342" s="7">
        <v>1.7</v>
      </c>
      <c r="O342" s="7">
        <v>304</v>
      </c>
      <c r="P342" s="7" t="s">
        <v>20</v>
      </c>
      <c r="Q342" s="7" t="str">
        <f t="shared" si="20"/>
        <v>Moderate</v>
      </c>
      <c r="R342" s="7" t="str">
        <f t="shared" si="21"/>
        <v>Normal</v>
      </c>
      <c r="S342" s="7" t="str">
        <f t="shared" si="22"/>
        <v>High Humidity</v>
      </c>
      <c r="T342" s="7" t="str">
        <f t="shared" si="23"/>
        <v>Low Wind</v>
      </c>
    </row>
    <row r="343" spans="1:20" x14ac:dyDescent="0.25">
      <c r="A343" s="7" t="s">
        <v>400</v>
      </c>
      <c r="B343" s="10">
        <v>45791</v>
      </c>
      <c r="C343" s="11" t="s">
        <v>93</v>
      </c>
      <c r="D343" s="11" t="s">
        <v>36</v>
      </c>
      <c r="E343" s="7" t="s">
        <v>19</v>
      </c>
      <c r="F343" s="9">
        <v>46.3</v>
      </c>
      <c r="G343" s="9">
        <v>199.6</v>
      </c>
      <c r="H343" s="9">
        <v>62.5</v>
      </c>
      <c r="I343" s="9">
        <v>12.9</v>
      </c>
      <c r="J343" s="9">
        <v>0.19</v>
      </c>
      <c r="K343" s="9">
        <v>42.7</v>
      </c>
      <c r="L343" s="7">
        <v>24.7</v>
      </c>
      <c r="M343" s="7">
        <v>62.9</v>
      </c>
      <c r="N343" s="7">
        <v>1.1000000000000001</v>
      </c>
      <c r="O343" s="7">
        <v>287</v>
      </c>
      <c r="P343" s="7" t="s">
        <v>28</v>
      </c>
      <c r="Q343" s="7" t="str">
        <f t="shared" si="20"/>
        <v>VeryUnhealthy</v>
      </c>
      <c r="R343" s="7" t="str">
        <f t="shared" si="21"/>
        <v>Normal</v>
      </c>
      <c r="S343" s="7" t="str">
        <f t="shared" si="22"/>
        <v>High Humidity</v>
      </c>
      <c r="T343" s="7" t="str">
        <f t="shared" si="23"/>
        <v>Low Wind</v>
      </c>
    </row>
    <row r="344" spans="1:20" x14ac:dyDescent="0.25">
      <c r="A344" s="7" t="s">
        <v>401</v>
      </c>
      <c r="B344" s="10">
        <v>45926</v>
      </c>
      <c r="C344" s="11" t="s">
        <v>22</v>
      </c>
      <c r="D344" s="11" t="s">
        <v>23</v>
      </c>
      <c r="E344" s="7" t="s">
        <v>40</v>
      </c>
      <c r="F344" s="9">
        <v>52.7</v>
      </c>
      <c r="G344" s="9">
        <v>52.7</v>
      </c>
      <c r="H344" s="9">
        <v>70.900000000000006</v>
      </c>
      <c r="I344" s="9">
        <v>15</v>
      </c>
      <c r="J344" s="9">
        <v>1.8</v>
      </c>
      <c r="K344" s="9">
        <v>36.6</v>
      </c>
      <c r="L344" s="7">
        <v>26.9</v>
      </c>
      <c r="M344" s="7">
        <v>54.5</v>
      </c>
      <c r="N344" s="7">
        <v>1.4</v>
      </c>
      <c r="O344" s="7">
        <v>247</v>
      </c>
      <c r="P344" s="7" t="s">
        <v>28</v>
      </c>
      <c r="Q344" s="7" t="str">
        <f t="shared" si="20"/>
        <v>Moderate</v>
      </c>
      <c r="R344" s="7" t="str">
        <f t="shared" si="21"/>
        <v>Normal</v>
      </c>
      <c r="S344" s="7" t="str">
        <f t="shared" si="22"/>
        <v>Normal Humidity</v>
      </c>
      <c r="T344" s="7" t="str">
        <f t="shared" si="23"/>
        <v>Low Wind</v>
      </c>
    </row>
    <row r="345" spans="1:20" x14ac:dyDescent="0.25">
      <c r="A345" s="7" t="s">
        <v>402</v>
      </c>
      <c r="B345" s="10">
        <v>45835</v>
      </c>
      <c r="C345" s="11" t="s">
        <v>35</v>
      </c>
      <c r="D345" s="11" t="s">
        <v>36</v>
      </c>
      <c r="E345" s="7" t="s">
        <v>61</v>
      </c>
      <c r="F345" s="9">
        <v>48</v>
      </c>
      <c r="G345" s="9">
        <v>45.6</v>
      </c>
      <c r="H345" s="9">
        <v>34.299999999999997</v>
      </c>
      <c r="I345" s="9">
        <v>23.7</v>
      </c>
      <c r="J345" s="9">
        <v>1.1200000000000001</v>
      </c>
      <c r="K345" s="9">
        <v>24.7</v>
      </c>
      <c r="L345" s="7">
        <v>28</v>
      </c>
      <c r="M345" s="7">
        <v>41.5</v>
      </c>
      <c r="N345" s="7">
        <v>2.1</v>
      </c>
      <c r="O345" s="7">
        <v>190</v>
      </c>
      <c r="P345" s="7" t="s">
        <v>33</v>
      </c>
      <c r="Q345" s="7" t="str">
        <f t="shared" si="20"/>
        <v>Good</v>
      </c>
      <c r="R345" s="7" t="str">
        <f t="shared" si="21"/>
        <v>Normal</v>
      </c>
      <c r="S345" s="7" t="str">
        <f t="shared" si="22"/>
        <v>Normal Humidity</v>
      </c>
      <c r="T345" s="7" t="str">
        <f t="shared" si="23"/>
        <v>Moderate Wind</v>
      </c>
    </row>
    <row r="346" spans="1:20" x14ac:dyDescent="0.25">
      <c r="A346" s="7" t="s">
        <v>403</v>
      </c>
      <c r="B346" s="10">
        <v>45825</v>
      </c>
      <c r="C346" s="11" t="s">
        <v>38</v>
      </c>
      <c r="D346" s="11" t="s">
        <v>39</v>
      </c>
      <c r="E346" s="7" t="s">
        <v>19</v>
      </c>
      <c r="F346" s="9">
        <v>12.2</v>
      </c>
      <c r="G346" s="9">
        <v>95.6</v>
      </c>
      <c r="H346" s="9">
        <v>6.9</v>
      </c>
      <c r="I346" s="9">
        <v>3.8</v>
      </c>
      <c r="J346" s="9">
        <v>0.76</v>
      </c>
      <c r="K346" s="9">
        <v>80.599999999999994</v>
      </c>
      <c r="L346" s="7">
        <v>25.5</v>
      </c>
      <c r="M346" s="7">
        <v>65.099999999999994</v>
      </c>
      <c r="N346" s="7">
        <v>0.7</v>
      </c>
      <c r="O346" s="7">
        <v>145</v>
      </c>
      <c r="P346" s="7" t="s">
        <v>33</v>
      </c>
      <c r="Q346" s="7" t="str">
        <f t="shared" si="20"/>
        <v>Moderate</v>
      </c>
      <c r="R346" s="7" t="str">
        <f t="shared" si="21"/>
        <v>Normal</v>
      </c>
      <c r="S346" s="7" t="str">
        <f t="shared" si="22"/>
        <v>High Humidity</v>
      </c>
      <c r="T346" s="7" t="str">
        <f t="shared" si="23"/>
        <v>Low Wind</v>
      </c>
    </row>
    <row r="347" spans="1:20" x14ac:dyDescent="0.25">
      <c r="A347" s="7" t="s">
        <v>404</v>
      </c>
      <c r="B347" s="10">
        <v>45992</v>
      </c>
      <c r="C347" s="11" t="s">
        <v>77</v>
      </c>
      <c r="D347" s="11" t="s">
        <v>39</v>
      </c>
      <c r="E347" s="7" t="s">
        <v>45</v>
      </c>
      <c r="F347" s="9">
        <v>39.4</v>
      </c>
      <c r="G347" s="9">
        <v>61.7</v>
      </c>
      <c r="H347" s="9">
        <v>82</v>
      </c>
      <c r="I347" s="9">
        <v>14.5</v>
      </c>
      <c r="J347" s="9">
        <v>0.51</v>
      </c>
      <c r="K347" s="9">
        <v>38.200000000000003</v>
      </c>
      <c r="L347" s="7">
        <v>25.2</v>
      </c>
      <c r="M347" s="7">
        <v>74</v>
      </c>
      <c r="N347" s="7">
        <v>2.6</v>
      </c>
      <c r="O347" s="7">
        <v>209</v>
      </c>
      <c r="P347" s="7" t="s">
        <v>28</v>
      </c>
      <c r="Q347" s="7" t="str">
        <f t="shared" si="20"/>
        <v>Moderate</v>
      </c>
      <c r="R347" s="7" t="str">
        <f t="shared" si="21"/>
        <v>Normal</v>
      </c>
      <c r="S347" s="7" t="str">
        <f t="shared" si="22"/>
        <v>High Humidity</v>
      </c>
      <c r="T347" s="7" t="str">
        <f t="shared" si="23"/>
        <v>Moderate Wind</v>
      </c>
    </row>
    <row r="348" spans="1:20" x14ac:dyDescent="0.25">
      <c r="A348" s="7" t="s">
        <v>405</v>
      </c>
      <c r="B348" s="10">
        <v>46010</v>
      </c>
      <c r="C348" s="11" t="s">
        <v>52</v>
      </c>
      <c r="D348" s="11" t="s">
        <v>31</v>
      </c>
      <c r="E348" s="7" t="s">
        <v>40</v>
      </c>
      <c r="F348" s="9">
        <v>6.7</v>
      </c>
      <c r="G348" s="9">
        <v>139.5</v>
      </c>
      <c r="H348" s="9">
        <v>16.100000000000001</v>
      </c>
      <c r="I348" s="9">
        <v>17.5</v>
      </c>
      <c r="J348" s="9">
        <v>0.75</v>
      </c>
      <c r="K348" s="9">
        <v>43</v>
      </c>
      <c r="L348" s="7">
        <v>14.6</v>
      </c>
      <c r="M348" s="7">
        <v>68</v>
      </c>
      <c r="N348" s="7">
        <v>2.9</v>
      </c>
      <c r="O348" s="7">
        <v>165</v>
      </c>
      <c r="P348" s="7" t="s">
        <v>33</v>
      </c>
      <c r="Q348" s="7" t="str">
        <f t="shared" si="20"/>
        <v>Unhealthy</v>
      </c>
      <c r="R348" s="7" t="str">
        <f t="shared" si="21"/>
        <v>Cool</v>
      </c>
      <c r="S348" s="7" t="str">
        <f t="shared" si="22"/>
        <v>High Humidity</v>
      </c>
      <c r="T348" s="7" t="str">
        <f t="shared" si="23"/>
        <v>Moderate Wind</v>
      </c>
    </row>
    <row r="349" spans="1:20" x14ac:dyDescent="0.25">
      <c r="A349" s="7" t="s">
        <v>406</v>
      </c>
      <c r="B349" s="10">
        <v>45988</v>
      </c>
      <c r="C349" s="11" t="s">
        <v>67</v>
      </c>
      <c r="D349" s="11" t="s">
        <v>18</v>
      </c>
      <c r="E349" s="7" t="s">
        <v>58</v>
      </c>
      <c r="F349" s="9">
        <v>51.6</v>
      </c>
      <c r="G349" s="9">
        <v>127.8</v>
      </c>
      <c r="H349" s="9">
        <v>27.1</v>
      </c>
      <c r="I349" s="9">
        <v>13.5</v>
      </c>
      <c r="J349" s="9">
        <v>1.39</v>
      </c>
      <c r="K349" s="9">
        <v>21.8</v>
      </c>
      <c r="L349" s="7">
        <v>25.6</v>
      </c>
      <c r="M349" s="7">
        <v>61.8</v>
      </c>
      <c r="N349" s="7">
        <v>1.2</v>
      </c>
      <c r="O349" s="7">
        <v>241</v>
      </c>
      <c r="P349" s="7" t="s">
        <v>28</v>
      </c>
      <c r="Q349" s="7" t="str">
        <f t="shared" si="20"/>
        <v>Unhealthy</v>
      </c>
      <c r="R349" s="7" t="str">
        <f t="shared" si="21"/>
        <v>Normal</v>
      </c>
      <c r="S349" s="7" t="str">
        <f t="shared" si="22"/>
        <v>High Humidity</v>
      </c>
      <c r="T349" s="7" t="str">
        <f t="shared" si="23"/>
        <v>Low Wind</v>
      </c>
    </row>
    <row r="350" spans="1:20" x14ac:dyDescent="0.25">
      <c r="A350" s="7" t="s">
        <v>407</v>
      </c>
      <c r="B350" s="10">
        <v>45677</v>
      </c>
      <c r="C350" s="11" t="s">
        <v>26</v>
      </c>
      <c r="D350" s="11" t="s">
        <v>23</v>
      </c>
      <c r="E350" s="7" t="s">
        <v>91</v>
      </c>
      <c r="F350" s="9">
        <v>48.2</v>
      </c>
      <c r="G350" s="9">
        <v>147.5</v>
      </c>
      <c r="H350" s="9">
        <v>38.299999999999997</v>
      </c>
      <c r="I350" s="9">
        <v>13.6</v>
      </c>
      <c r="J350" s="9">
        <v>1.46</v>
      </c>
      <c r="K350" s="9">
        <v>33.5</v>
      </c>
      <c r="L350" s="7">
        <v>24.7</v>
      </c>
      <c r="M350" s="7">
        <v>63.9</v>
      </c>
      <c r="N350" s="7">
        <v>2.1</v>
      </c>
      <c r="O350" s="7">
        <v>265</v>
      </c>
      <c r="P350" s="7" t="s">
        <v>28</v>
      </c>
      <c r="Q350" s="7" t="str">
        <f t="shared" si="20"/>
        <v>Unhealthy</v>
      </c>
      <c r="R350" s="7" t="str">
        <f t="shared" si="21"/>
        <v>Normal</v>
      </c>
      <c r="S350" s="7" t="str">
        <f t="shared" si="22"/>
        <v>High Humidity</v>
      </c>
      <c r="T350" s="7" t="str">
        <f t="shared" si="23"/>
        <v>Moderate Wind</v>
      </c>
    </row>
    <row r="351" spans="1:20" x14ac:dyDescent="0.25">
      <c r="A351" s="7" t="s">
        <v>408</v>
      </c>
      <c r="B351" s="10">
        <v>45875</v>
      </c>
      <c r="C351" s="11" t="s">
        <v>54</v>
      </c>
      <c r="D351" s="11" t="s">
        <v>18</v>
      </c>
      <c r="E351" s="7" t="s">
        <v>55</v>
      </c>
      <c r="F351" s="9">
        <v>62.2</v>
      </c>
      <c r="G351" s="9">
        <v>24.9</v>
      </c>
      <c r="H351" s="9">
        <v>54.5</v>
      </c>
      <c r="I351" s="9">
        <v>10.6</v>
      </c>
      <c r="J351" s="9">
        <v>1.95</v>
      </c>
      <c r="K351" s="9">
        <v>51.6</v>
      </c>
      <c r="L351" s="7">
        <v>26.5</v>
      </c>
      <c r="M351" s="7">
        <v>69.3</v>
      </c>
      <c r="N351" s="7">
        <v>2.7</v>
      </c>
      <c r="O351" s="7">
        <v>239</v>
      </c>
      <c r="P351" s="7" t="s">
        <v>28</v>
      </c>
      <c r="Q351" s="7" t="str">
        <f t="shared" si="20"/>
        <v>Good</v>
      </c>
      <c r="R351" s="7" t="str">
        <f t="shared" si="21"/>
        <v>Normal</v>
      </c>
      <c r="S351" s="7" t="str">
        <f t="shared" si="22"/>
        <v>High Humidity</v>
      </c>
      <c r="T351" s="7" t="str">
        <f t="shared" si="23"/>
        <v>Moderate Wind</v>
      </c>
    </row>
    <row r="352" spans="1:20" x14ac:dyDescent="0.25">
      <c r="A352" s="7" t="s">
        <v>409</v>
      </c>
      <c r="B352" s="10">
        <v>45706</v>
      </c>
      <c r="C352" s="11" t="s">
        <v>81</v>
      </c>
      <c r="D352" s="11" t="s">
        <v>39</v>
      </c>
      <c r="E352" s="7" t="s">
        <v>43</v>
      </c>
      <c r="F352" s="9">
        <v>51.5</v>
      </c>
      <c r="G352" s="9">
        <v>165.2</v>
      </c>
      <c r="H352" s="9">
        <v>45.4</v>
      </c>
      <c r="I352" s="9">
        <v>9</v>
      </c>
      <c r="J352" s="9">
        <v>0.8</v>
      </c>
      <c r="K352" s="9">
        <v>51.9</v>
      </c>
      <c r="L352" s="7">
        <v>34.4</v>
      </c>
      <c r="M352" s="7">
        <v>44.9</v>
      </c>
      <c r="N352" s="7">
        <v>1</v>
      </c>
      <c r="O352" s="7">
        <v>276</v>
      </c>
      <c r="P352" s="7" t="s">
        <v>28</v>
      </c>
      <c r="Q352" s="7" t="str">
        <f t="shared" si="20"/>
        <v>VeryUnhealthy</v>
      </c>
      <c r="R352" s="7" t="str">
        <f t="shared" si="21"/>
        <v>Hot</v>
      </c>
      <c r="S352" s="7" t="str">
        <f t="shared" si="22"/>
        <v>Normal Humidity</v>
      </c>
      <c r="T352" s="7" t="str">
        <f t="shared" si="23"/>
        <v>Low Wind</v>
      </c>
    </row>
    <row r="353" spans="1:20" x14ac:dyDescent="0.25">
      <c r="A353" s="7" t="s">
        <v>410</v>
      </c>
      <c r="B353" s="10">
        <v>45906</v>
      </c>
      <c r="C353" s="11" t="s">
        <v>42</v>
      </c>
      <c r="D353" s="11" t="s">
        <v>23</v>
      </c>
      <c r="E353" s="7" t="s">
        <v>43</v>
      </c>
      <c r="F353" s="9">
        <v>105.5</v>
      </c>
      <c r="G353" s="9">
        <v>142</v>
      </c>
      <c r="H353" s="9">
        <v>28.9</v>
      </c>
      <c r="I353" s="9">
        <v>4.4000000000000004</v>
      </c>
      <c r="J353" s="9">
        <v>1.4</v>
      </c>
      <c r="K353" s="9">
        <v>11.9</v>
      </c>
      <c r="L353" s="7">
        <v>28.9</v>
      </c>
      <c r="M353" s="7">
        <v>61.6</v>
      </c>
      <c r="N353" s="7">
        <v>4.8</v>
      </c>
      <c r="O353" s="7">
        <v>328</v>
      </c>
      <c r="P353" s="7" t="s">
        <v>20</v>
      </c>
      <c r="Q353" s="7" t="str">
        <f t="shared" si="20"/>
        <v>Unhealthy</v>
      </c>
      <c r="R353" s="7" t="str">
        <f t="shared" si="21"/>
        <v>Normal</v>
      </c>
      <c r="S353" s="7" t="str">
        <f t="shared" si="22"/>
        <v>High Humidity</v>
      </c>
      <c r="T353" s="7" t="str">
        <f t="shared" si="23"/>
        <v>Moderate Wind</v>
      </c>
    </row>
    <row r="354" spans="1:20" x14ac:dyDescent="0.25">
      <c r="A354" s="7" t="s">
        <v>411</v>
      </c>
      <c r="B354" s="10">
        <v>45748</v>
      </c>
      <c r="C354" s="11" t="s">
        <v>17</v>
      </c>
      <c r="D354" s="11" t="s">
        <v>18</v>
      </c>
      <c r="E354" s="7" t="s">
        <v>19</v>
      </c>
      <c r="F354" s="9">
        <v>40.1</v>
      </c>
      <c r="G354" s="9">
        <v>41.6</v>
      </c>
      <c r="H354" s="9">
        <v>24.8</v>
      </c>
      <c r="I354" s="9">
        <v>26.9</v>
      </c>
      <c r="J354" s="9">
        <v>0.75</v>
      </c>
      <c r="K354" s="9">
        <v>17.100000000000001</v>
      </c>
      <c r="L354" s="7">
        <v>31.5</v>
      </c>
      <c r="M354" s="7">
        <v>98</v>
      </c>
      <c r="N354" s="7">
        <v>2.7</v>
      </c>
      <c r="O354" s="7">
        <v>156</v>
      </c>
      <c r="P354" s="7" t="s">
        <v>33</v>
      </c>
      <c r="Q354" s="7" t="str">
        <f t="shared" si="20"/>
        <v>Good</v>
      </c>
      <c r="R354" s="7" t="str">
        <f t="shared" si="21"/>
        <v>Hot</v>
      </c>
      <c r="S354" s="7" t="str">
        <f t="shared" si="22"/>
        <v>High Humidity</v>
      </c>
      <c r="T354" s="7" t="str">
        <f t="shared" si="23"/>
        <v>Moderate Wind</v>
      </c>
    </row>
    <row r="355" spans="1:20" x14ac:dyDescent="0.25">
      <c r="A355" s="7" t="s">
        <v>412</v>
      </c>
      <c r="B355" s="10">
        <v>45685</v>
      </c>
      <c r="C355" s="11" t="s">
        <v>17</v>
      </c>
      <c r="D355" s="11" t="s">
        <v>18</v>
      </c>
      <c r="E355" s="7" t="s">
        <v>24</v>
      </c>
      <c r="F355" s="9">
        <v>47.6</v>
      </c>
      <c r="G355" s="9">
        <v>43.6</v>
      </c>
      <c r="H355" s="9">
        <v>52.4</v>
      </c>
      <c r="I355" s="9">
        <v>34.4</v>
      </c>
      <c r="J355" s="9">
        <v>1.8</v>
      </c>
      <c r="K355" s="9">
        <v>53.3</v>
      </c>
      <c r="L355" s="7">
        <v>23</v>
      </c>
      <c r="M355" s="7">
        <v>37.9</v>
      </c>
      <c r="N355" s="7">
        <v>2.8</v>
      </c>
      <c r="O355" s="7">
        <v>239</v>
      </c>
      <c r="P355" s="7" t="s">
        <v>28</v>
      </c>
      <c r="Q355" s="7" t="str">
        <f t="shared" si="20"/>
        <v>Good</v>
      </c>
      <c r="R355" s="7" t="str">
        <f t="shared" si="21"/>
        <v>Normal</v>
      </c>
      <c r="S355" s="7" t="str">
        <f t="shared" si="22"/>
        <v>Normal Humidity</v>
      </c>
      <c r="T355" s="7" t="str">
        <f t="shared" si="23"/>
        <v>Moderate Wind</v>
      </c>
    </row>
    <row r="356" spans="1:20" x14ac:dyDescent="0.25">
      <c r="A356" s="7" t="s">
        <v>413</v>
      </c>
      <c r="B356" s="10">
        <v>45895</v>
      </c>
      <c r="C356" s="11" t="s">
        <v>64</v>
      </c>
      <c r="D356" s="11" t="s">
        <v>36</v>
      </c>
      <c r="E356" s="7" t="s">
        <v>19</v>
      </c>
      <c r="F356" s="9">
        <v>105.9</v>
      </c>
      <c r="G356" s="9">
        <v>69.7</v>
      </c>
      <c r="H356" s="9">
        <v>53</v>
      </c>
      <c r="I356" s="9">
        <v>12.1</v>
      </c>
      <c r="J356" s="9">
        <v>0.68</v>
      </c>
      <c r="K356" s="9">
        <v>29.2</v>
      </c>
      <c r="L356" s="7">
        <v>26.5</v>
      </c>
      <c r="M356" s="7">
        <v>80.5</v>
      </c>
      <c r="N356" s="7">
        <v>3.8</v>
      </c>
      <c r="O356" s="7">
        <v>296</v>
      </c>
      <c r="P356" s="7" t="s">
        <v>28</v>
      </c>
      <c r="Q356" s="7" t="str">
        <f t="shared" si="20"/>
        <v>Moderate</v>
      </c>
      <c r="R356" s="7" t="str">
        <f t="shared" si="21"/>
        <v>Normal</v>
      </c>
      <c r="S356" s="7" t="str">
        <f t="shared" si="22"/>
        <v>High Humidity</v>
      </c>
      <c r="T356" s="7" t="str">
        <f t="shared" si="23"/>
        <v>Moderate Wind</v>
      </c>
    </row>
    <row r="357" spans="1:20" x14ac:dyDescent="0.25">
      <c r="A357" s="7" t="s">
        <v>414</v>
      </c>
      <c r="B357" s="10">
        <v>45783</v>
      </c>
      <c r="C357" s="11" t="s">
        <v>22</v>
      </c>
      <c r="D357" s="11" t="s">
        <v>23</v>
      </c>
      <c r="E357" s="7" t="s">
        <v>32</v>
      </c>
      <c r="F357" s="9">
        <v>57.2</v>
      </c>
      <c r="G357" s="9">
        <v>107.9</v>
      </c>
      <c r="H357" s="9">
        <v>30.1</v>
      </c>
      <c r="I357" s="9">
        <v>37.5</v>
      </c>
      <c r="J357" s="9">
        <v>0.59</v>
      </c>
      <c r="K357" s="9">
        <v>71.8</v>
      </c>
      <c r="L357" s="7">
        <v>23.6</v>
      </c>
      <c r="M357" s="7">
        <v>59</v>
      </c>
      <c r="N357" s="7">
        <v>3.3</v>
      </c>
      <c r="O357" s="7">
        <v>259</v>
      </c>
      <c r="P357" s="7" t="s">
        <v>28</v>
      </c>
      <c r="Q357" s="7" t="str">
        <f t="shared" si="20"/>
        <v>Unhealthy</v>
      </c>
      <c r="R357" s="7" t="str">
        <f t="shared" si="21"/>
        <v>Normal</v>
      </c>
      <c r="S357" s="7" t="str">
        <f t="shared" si="22"/>
        <v>Normal Humidity</v>
      </c>
      <c r="T357" s="7" t="str">
        <f t="shared" si="23"/>
        <v>Moderate Wind</v>
      </c>
    </row>
    <row r="358" spans="1:20" x14ac:dyDescent="0.25">
      <c r="A358" s="7" t="s">
        <v>415</v>
      </c>
      <c r="B358" s="10">
        <v>45997</v>
      </c>
      <c r="C358" s="11" t="s">
        <v>64</v>
      </c>
      <c r="D358" s="11" t="s">
        <v>36</v>
      </c>
      <c r="E358" s="7" t="s">
        <v>24</v>
      </c>
      <c r="F358" s="9">
        <v>51.1</v>
      </c>
      <c r="G358" s="9">
        <v>67.400000000000006</v>
      </c>
      <c r="H358" s="9">
        <v>24.9</v>
      </c>
      <c r="I358" s="9">
        <v>14.8</v>
      </c>
      <c r="J358" s="9">
        <v>0.56000000000000005</v>
      </c>
      <c r="K358" s="9">
        <v>55</v>
      </c>
      <c r="L358" s="7">
        <v>16.7</v>
      </c>
      <c r="M358" s="7">
        <v>82.4</v>
      </c>
      <c r="N358" s="7">
        <v>2.9</v>
      </c>
      <c r="O358" s="7">
        <v>195</v>
      </c>
      <c r="P358" s="7" t="s">
        <v>33</v>
      </c>
      <c r="Q358" s="7" t="str">
        <f t="shared" si="20"/>
        <v>Moderate</v>
      </c>
      <c r="R358" s="7" t="str">
        <f t="shared" si="21"/>
        <v>Cool</v>
      </c>
      <c r="S358" s="7" t="str">
        <f t="shared" si="22"/>
        <v>High Humidity</v>
      </c>
      <c r="T358" s="7" t="str">
        <f t="shared" si="23"/>
        <v>Moderate Wind</v>
      </c>
    </row>
    <row r="359" spans="1:20" x14ac:dyDescent="0.25">
      <c r="A359" s="7" t="s">
        <v>416</v>
      </c>
      <c r="B359" s="10">
        <v>45865</v>
      </c>
      <c r="C359" s="11" t="s">
        <v>50</v>
      </c>
      <c r="D359" s="11" t="s">
        <v>31</v>
      </c>
      <c r="E359" s="7" t="s">
        <v>58</v>
      </c>
      <c r="F359" s="9">
        <v>77.2</v>
      </c>
      <c r="G359" s="9">
        <v>76.7</v>
      </c>
      <c r="H359" s="9">
        <v>11.2</v>
      </c>
      <c r="I359" s="9">
        <v>0.6</v>
      </c>
      <c r="J359" s="9">
        <v>0.59</v>
      </c>
      <c r="K359" s="9">
        <v>16.7</v>
      </c>
      <c r="L359" s="7">
        <v>20.7</v>
      </c>
      <c r="M359" s="7">
        <v>75.8</v>
      </c>
      <c r="N359" s="7">
        <v>3</v>
      </c>
      <c r="O359" s="7">
        <v>205</v>
      </c>
      <c r="P359" s="7" t="s">
        <v>28</v>
      </c>
      <c r="Q359" s="7" t="str">
        <f t="shared" si="20"/>
        <v>Moderate</v>
      </c>
      <c r="R359" s="7" t="str">
        <f t="shared" si="21"/>
        <v>Normal</v>
      </c>
      <c r="S359" s="7" t="str">
        <f t="shared" si="22"/>
        <v>High Humidity</v>
      </c>
      <c r="T359" s="7" t="str">
        <f t="shared" si="23"/>
        <v>Moderate Wind</v>
      </c>
    </row>
    <row r="360" spans="1:20" x14ac:dyDescent="0.25">
      <c r="A360" s="7" t="s">
        <v>417</v>
      </c>
      <c r="B360" s="10">
        <v>45694</v>
      </c>
      <c r="C360" s="11" t="s">
        <v>54</v>
      </c>
      <c r="D360" s="11" t="s">
        <v>18</v>
      </c>
      <c r="E360" s="7" t="s">
        <v>43</v>
      </c>
      <c r="F360" s="9">
        <v>25.9</v>
      </c>
      <c r="G360" s="9">
        <v>39.299999999999997</v>
      </c>
      <c r="H360" s="9">
        <v>16.600000000000001</v>
      </c>
      <c r="I360" s="9">
        <v>5.9</v>
      </c>
      <c r="J360" s="9">
        <v>0.77</v>
      </c>
      <c r="K360" s="9">
        <v>27.2</v>
      </c>
      <c r="L360" s="7">
        <v>23.5</v>
      </c>
      <c r="M360" s="7">
        <v>83.1</v>
      </c>
      <c r="N360" s="7">
        <v>3.1</v>
      </c>
      <c r="O360" s="7">
        <v>116</v>
      </c>
      <c r="P360" s="7" t="s">
        <v>33</v>
      </c>
      <c r="Q360" s="7" t="str">
        <f t="shared" si="20"/>
        <v>Good</v>
      </c>
      <c r="R360" s="7" t="str">
        <f t="shared" si="21"/>
        <v>Normal</v>
      </c>
      <c r="S360" s="7" t="str">
        <f t="shared" si="22"/>
        <v>High Humidity</v>
      </c>
      <c r="T360" s="7" t="str">
        <f t="shared" si="23"/>
        <v>Moderate Wind</v>
      </c>
    </row>
    <row r="361" spans="1:20" x14ac:dyDescent="0.25">
      <c r="A361" s="7" t="s">
        <v>418</v>
      </c>
      <c r="B361" s="10">
        <v>45819</v>
      </c>
      <c r="C361" s="11" t="s">
        <v>64</v>
      </c>
      <c r="D361" s="11" t="s">
        <v>36</v>
      </c>
      <c r="E361" s="7" t="s">
        <v>74</v>
      </c>
      <c r="F361" s="9">
        <v>31.4</v>
      </c>
      <c r="G361" s="9">
        <v>42.1</v>
      </c>
      <c r="H361" s="9">
        <v>29.6</v>
      </c>
      <c r="I361" s="9">
        <v>33.5</v>
      </c>
      <c r="J361" s="9">
        <v>0.79</v>
      </c>
      <c r="K361" s="9">
        <v>43.1</v>
      </c>
      <c r="L361" s="7">
        <v>27.4</v>
      </c>
      <c r="M361" s="7">
        <v>54.9</v>
      </c>
      <c r="N361" s="7">
        <v>1.7</v>
      </c>
      <c r="O361" s="7">
        <v>164</v>
      </c>
      <c r="P361" s="7" t="s">
        <v>33</v>
      </c>
      <c r="Q361" s="7" t="str">
        <f t="shared" si="20"/>
        <v>Good</v>
      </c>
      <c r="R361" s="7" t="str">
        <f t="shared" si="21"/>
        <v>Normal</v>
      </c>
      <c r="S361" s="7" t="str">
        <f t="shared" si="22"/>
        <v>Normal Humidity</v>
      </c>
      <c r="T361" s="7" t="str">
        <f t="shared" si="23"/>
        <v>Low Wind</v>
      </c>
    </row>
    <row r="362" spans="1:20" x14ac:dyDescent="0.25">
      <c r="A362" s="7" t="s">
        <v>419</v>
      </c>
      <c r="B362" s="10">
        <v>45962</v>
      </c>
      <c r="C362" s="11" t="s">
        <v>38</v>
      </c>
      <c r="D362" s="11" t="s">
        <v>39</v>
      </c>
      <c r="E362" s="7" t="s">
        <v>45</v>
      </c>
      <c r="F362" s="9">
        <v>39</v>
      </c>
      <c r="G362" s="9">
        <v>25.5</v>
      </c>
      <c r="H362" s="9">
        <v>19.2</v>
      </c>
      <c r="I362" s="9">
        <v>8.4</v>
      </c>
      <c r="J362" s="9">
        <v>0.49</v>
      </c>
      <c r="K362" s="9">
        <v>21.6</v>
      </c>
      <c r="L362" s="7">
        <v>34.1</v>
      </c>
      <c r="M362" s="7">
        <v>43</v>
      </c>
      <c r="N362" s="7">
        <v>2.2999999999999998</v>
      </c>
      <c r="O362" s="7">
        <v>122</v>
      </c>
      <c r="P362" s="7" t="s">
        <v>33</v>
      </c>
      <c r="Q362" s="7" t="str">
        <f t="shared" si="20"/>
        <v>Good</v>
      </c>
      <c r="R362" s="7" t="str">
        <f t="shared" si="21"/>
        <v>Hot</v>
      </c>
      <c r="S362" s="7" t="str">
        <f t="shared" si="22"/>
        <v>Normal Humidity</v>
      </c>
      <c r="T362" s="7" t="str">
        <f t="shared" si="23"/>
        <v>Moderate Wind</v>
      </c>
    </row>
    <row r="363" spans="1:20" x14ac:dyDescent="0.25">
      <c r="A363" s="7" t="s">
        <v>420</v>
      </c>
      <c r="B363" s="10">
        <v>45770</v>
      </c>
      <c r="C363" s="11" t="s">
        <v>52</v>
      </c>
      <c r="D363" s="11" t="s">
        <v>31</v>
      </c>
      <c r="E363" s="7" t="s">
        <v>45</v>
      </c>
      <c r="F363" s="9">
        <v>54.6</v>
      </c>
      <c r="G363" s="9">
        <v>75.3</v>
      </c>
      <c r="H363" s="9">
        <v>77.8</v>
      </c>
      <c r="I363" s="9">
        <v>7.6</v>
      </c>
      <c r="J363" s="9">
        <v>0.09</v>
      </c>
      <c r="K363" s="9">
        <v>33.299999999999997</v>
      </c>
      <c r="L363" s="7">
        <v>21.1</v>
      </c>
      <c r="M363" s="7">
        <v>49.8</v>
      </c>
      <c r="N363" s="7">
        <v>1.7</v>
      </c>
      <c r="O363" s="7">
        <v>221</v>
      </c>
      <c r="P363" s="7" t="s">
        <v>28</v>
      </c>
      <c r="Q363" s="7" t="str">
        <f t="shared" si="20"/>
        <v>Moderate</v>
      </c>
      <c r="R363" s="7" t="str">
        <f t="shared" si="21"/>
        <v>Normal</v>
      </c>
      <c r="S363" s="7" t="str">
        <f t="shared" si="22"/>
        <v>Normal Humidity</v>
      </c>
      <c r="T363" s="7" t="str">
        <f t="shared" si="23"/>
        <v>Low Wind</v>
      </c>
    </row>
    <row r="364" spans="1:20" x14ac:dyDescent="0.25">
      <c r="A364" s="7" t="s">
        <v>421</v>
      </c>
      <c r="B364" s="10">
        <v>45902</v>
      </c>
      <c r="C364" s="11" t="s">
        <v>22</v>
      </c>
      <c r="D364" s="11" t="s">
        <v>23</v>
      </c>
      <c r="E364" s="7" t="s">
        <v>55</v>
      </c>
      <c r="F364" s="9">
        <v>61.4</v>
      </c>
      <c r="G364" s="9">
        <v>63.1</v>
      </c>
      <c r="H364" s="9">
        <v>27.6</v>
      </c>
      <c r="I364" s="9">
        <v>5.0999999999999996</v>
      </c>
      <c r="J364" s="9">
        <v>0.4</v>
      </c>
      <c r="K364" s="9">
        <v>25.4</v>
      </c>
      <c r="L364" s="7">
        <v>28.5</v>
      </c>
      <c r="M364" s="7">
        <v>63.1</v>
      </c>
      <c r="N364" s="7">
        <v>1.9</v>
      </c>
      <c r="O364" s="7">
        <v>186</v>
      </c>
      <c r="P364" s="7" t="s">
        <v>33</v>
      </c>
      <c r="Q364" s="7" t="str">
        <f t="shared" si="20"/>
        <v>Moderate</v>
      </c>
      <c r="R364" s="7" t="str">
        <f t="shared" si="21"/>
        <v>Normal</v>
      </c>
      <c r="S364" s="7" t="str">
        <f t="shared" si="22"/>
        <v>High Humidity</v>
      </c>
      <c r="T364" s="7" t="str">
        <f t="shared" si="23"/>
        <v>Low Wind</v>
      </c>
    </row>
    <row r="365" spans="1:20" x14ac:dyDescent="0.25">
      <c r="A365" s="7" t="s">
        <v>422</v>
      </c>
      <c r="B365" s="10">
        <v>45914</v>
      </c>
      <c r="C365" s="11" t="s">
        <v>52</v>
      </c>
      <c r="D365" s="11" t="s">
        <v>31</v>
      </c>
      <c r="E365" s="7" t="s">
        <v>40</v>
      </c>
      <c r="F365" s="9">
        <v>37.200000000000003</v>
      </c>
      <c r="G365" s="9">
        <v>63.1</v>
      </c>
      <c r="H365" s="9">
        <v>48.3</v>
      </c>
      <c r="I365" s="9">
        <v>7.3</v>
      </c>
      <c r="J365" s="9">
        <v>0.28000000000000003</v>
      </c>
      <c r="K365" s="9">
        <v>22.3</v>
      </c>
      <c r="L365" s="7">
        <v>27.8</v>
      </c>
      <c r="M365" s="7">
        <v>56.8</v>
      </c>
      <c r="N365" s="7">
        <v>2.6</v>
      </c>
      <c r="O365" s="7">
        <v>161</v>
      </c>
      <c r="P365" s="7" t="s">
        <v>33</v>
      </c>
      <c r="Q365" s="7" t="str">
        <f t="shared" si="20"/>
        <v>Moderate</v>
      </c>
      <c r="R365" s="7" t="str">
        <f t="shared" si="21"/>
        <v>Normal</v>
      </c>
      <c r="S365" s="7" t="str">
        <f t="shared" si="22"/>
        <v>Normal Humidity</v>
      </c>
      <c r="T365" s="7" t="str">
        <f t="shared" si="23"/>
        <v>Moderate Wind</v>
      </c>
    </row>
    <row r="366" spans="1:20" x14ac:dyDescent="0.25">
      <c r="A366" s="7" t="s">
        <v>423</v>
      </c>
      <c r="B366" s="10">
        <v>45765</v>
      </c>
      <c r="C366" s="11" t="s">
        <v>93</v>
      </c>
      <c r="D366" s="11" t="s">
        <v>36</v>
      </c>
      <c r="E366" s="7" t="s">
        <v>27</v>
      </c>
      <c r="F366" s="9">
        <v>97.3</v>
      </c>
      <c r="G366" s="9">
        <v>101.3</v>
      </c>
      <c r="H366" s="9">
        <v>21.1</v>
      </c>
      <c r="I366" s="9">
        <v>17.5</v>
      </c>
      <c r="J366" s="9">
        <v>0.66</v>
      </c>
      <c r="K366" s="9">
        <v>23</v>
      </c>
      <c r="L366" s="7">
        <v>17.7</v>
      </c>
      <c r="M366" s="7">
        <v>75.7</v>
      </c>
      <c r="N366" s="7">
        <v>0.6</v>
      </c>
      <c r="O366" s="7">
        <v>278</v>
      </c>
      <c r="P366" s="7" t="s">
        <v>28</v>
      </c>
      <c r="Q366" s="7" t="str">
        <f t="shared" si="20"/>
        <v>Unhealthy</v>
      </c>
      <c r="R366" s="7" t="str">
        <f t="shared" si="21"/>
        <v>Cool</v>
      </c>
      <c r="S366" s="7" t="str">
        <f t="shared" si="22"/>
        <v>High Humidity</v>
      </c>
      <c r="T366" s="7" t="str">
        <f t="shared" si="23"/>
        <v>Low Wind</v>
      </c>
    </row>
    <row r="367" spans="1:20" x14ac:dyDescent="0.25">
      <c r="A367" s="7" t="s">
        <v>424</v>
      </c>
      <c r="B367" s="10">
        <v>45744</v>
      </c>
      <c r="C367" s="11" t="s">
        <v>17</v>
      </c>
      <c r="D367" s="11" t="s">
        <v>18</v>
      </c>
      <c r="E367" s="7" t="s">
        <v>70</v>
      </c>
      <c r="F367" s="9">
        <v>19.8</v>
      </c>
      <c r="G367" s="9">
        <v>47</v>
      </c>
      <c r="H367" s="9">
        <v>30.9</v>
      </c>
      <c r="I367" s="9">
        <v>25.9</v>
      </c>
      <c r="J367" s="9">
        <v>0.39</v>
      </c>
      <c r="K367" s="9">
        <v>45</v>
      </c>
      <c r="L367" s="7">
        <v>32.5</v>
      </c>
      <c r="M367" s="7">
        <v>71.3</v>
      </c>
      <c r="N367" s="7">
        <v>2.4</v>
      </c>
      <c r="O367" s="7">
        <v>135</v>
      </c>
      <c r="P367" s="7" t="s">
        <v>33</v>
      </c>
      <c r="Q367" s="7" t="str">
        <f t="shared" si="20"/>
        <v>Good</v>
      </c>
      <c r="R367" s="7" t="str">
        <f t="shared" si="21"/>
        <v>Hot</v>
      </c>
      <c r="S367" s="7" t="str">
        <f t="shared" si="22"/>
        <v>High Humidity</v>
      </c>
      <c r="T367" s="7" t="str">
        <f t="shared" si="23"/>
        <v>Moderate Wind</v>
      </c>
    </row>
    <row r="368" spans="1:20" x14ac:dyDescent="0.25">
      <c r="A368" s="7" t="s">
        <v>425</v>
      </c>
      <c r="B368" s="10">
        <v>45929</v>
      </c>
      <c r="C368" s="11" t="s">
        <v>22</v>
      </c>
      <c r="D368" s="11" t="s">
        <v>23</v>
      </c>
      <c r="E368" s="7" t="s">
        <v>43</v>
      </c>
      <c r="F368" s="9">
        <v>42.8</v>
      </c>
      <c r="G368" s="9">
        <v>62</v>
      </c>
      <c r="H368" s="9">
        <v>4.4000000000000004</v>
      </c>
      <c r="I368" s="9">
        <v>34</v>
      </c>
      <c r="J368" s="9">
        <v>0.84</v>
      </c>
      <c r="K368" s="9">
        <v>44.7</v>
      </c>
      <c r="L368" s="7">
        <v>38</v>
      </c>
      <c r="M368" s="7">
        <v>51.1</v>
      </c>
      <c r="N368" s="7">
        <v>2.7</v>
      </c>
      <c r="O368" s="7">
        <v>177</v>
      </c>
      <c r="P368" s="7" t="s">
        <v>33</v>
      </c>
      <c r="Q368" s="7" t="str">
        <f t="shared" si="20"/>
        <v>Moderate</v>
      </c>
      <c r="R368" s="7" t="str">
        <f t="shared" si="21"/>
        <v>Hot</v>
      </c>
      <c r="S368" s="7" t="str">
        <f t="shared" si="22"/>
        <v>Normal Humidity</v>
      </c>
      <c r="T368" s="7" t="str">
        <f t="shared" si="23"/>
        <v>Moderate Wind</v>
      </c>
    </row>
    <row r="369" spans="1:20" x14ac:dyDescent="0.25">
      <c r="A369" s="7" t="s">
        <v>426</v>
      </c>
      <c r="B369" s="10">
        <v>45990</v>
      </c>
      <c r="C369" s="11" t="s">
        <v>67</v>
      </c>
      <c r="D369" s="11" t="s">
        <v>18</v>
      </c>
      <c r="E369" s="7" t="s">
        <v>74</v>
      </c>
      <c r="F369" s="9">
        <v>13.5</v>
      </c>
      <c r="G369" s="9">
        <v>111.7</v>
      </c>
      <c r="H369" s="9">
        <v>29.5</v>
      </c>
      <c r="I369" s="9">
        <v>9</v>
      </c>
      <c r="J369" s="9">
        <v>1.25</v>
      </c>
      <c r="K369" s="9">
        <v>17.899999999999999</v>
      </c>
      <c r="L369" s="7">
        <v>24.6</v>
      </c>
      <c r="M369" s="7">
        <v>57.5</v>
      </c>
      <c r="N369" s="7">
        <v>2.4</v>
      </c>
      <c r="O369" s="7">
        <v>163</v>
      </c>
      <c r="P369" s="7" t="s">
        <v>33</v>
      </c>
      <c r="Q369" s="7" t="str">
        <f t="shared" si="20"/>
        <v>Unhealthy</v>
      </c>
      <c r="R369" s="7" t="str">
        <f t="shared" si="21"/>
        <v>Normal</v>
      </c>
      <c r="S369" s="7" t="str">
        <f t="shared" si="22"/>
        <v>Normal Humidity</v>
      </c>
      <c r="T369" s="7" t="str">
        <f t="shared" si="23"/>
        <v>Moderate Wind</v>
      </c>
    </row>
    <row r="370" spans="1:20" x14ac:dyDescent="0.25">
      <c r="A370" s="7" t="s">
        <v>427</v>
      </c>
      <c r="B370" s="10">
        <v>45804</v>
      </c>
      <c r="C370" s="11" t="s">
        <v>52</v>
      </c>
      <c r="D370" s="11" t="s">
        <v>31</v>
      </c>
      <c r="E370" s="7" t="s">
        <v>24</v>
      </c>
      <c r="F370" s="9">
        <v>21.1</v>
      </c>
      <c r="G370" s="9">
        <v>230.5</v>
      </c>
      <c r="H370" s="9">
        <v>16.5</v>
      </c>
      <c r="I370" s="9">
        <v>8</v>
      </c>
      <c r="J370" s="9">
        <v>0.48</v>
      </c>
      <c r="K370" s="9">
        <v>32.700000000000003</v>
      </c>
      <c r="L370" s="7">
        <v>32.700000000000003</v>
      </c>
      <c r="M370" s="7">
        <v>32.700000000000003</v>
      </c>
      <c r="N370" s="7">
        <v>0.8</v>
      </c>
      <c r="O370" s="7">
        <v>229</v>
      </c>
      <c r="P370" s="7" t="s">
        <v>28</v>
      </c>
      <c r="Q370" s="7" t="str">
        <f t="shared" si="20"/>
        <v>VeryUnhealthy</v>
      </c>
      <c r="R370" s="7" t="str">
        <f t="shared" si="21"/>
        <v>Hot</v>
      </c>
      <c r="S370" s="7" t="str">
        <f t="shared" si="22"/>
        <v>Normal Humidity</v>
      </c>
      <c r="T370" s="7" t="str">
        <f t="shared" si="23"/>
        <v>Low Wind</v>
      </c>
    </row>
    <row r="371" spans="1:20" x14ac:dyDescent="0.25">
      <c r="A371" s="7" t="s">
        <v>428</v>
      </c>
      <c r="B371" s="10">
        <v>45733</v>
      </c>
      <c r="C371" s="11" t="s">
        <v>64</v>
      </c>
      <c r="D371" s="11" t="s">
        <v>36</v>
      </c>
      <c r="E371" s="7" t="s">
        <v>24</v>
      </c>
      <c r="F371" s="9">
        <v>18.3</v>
      </c>
      <c r="G371" s="9">
        <v>35.200000000000003</v>
      </c>
      <c r="H371" s="9">
        <v>14.4</v>
      </c>
      <c r="I371" s="9">
        <v>16.8</v>
      </c>
      <c r="J371" s="9">
        <v>2.06</v>
      </c>
      <c r="K371" s="9">
        <v>16.7</v>
      </c>
      <c r="L371" s="7">
        <v>18</v>
      </c>
      <c r="M371" s="7">
        <v>66.2</v>
      </c>
      <c r="N371" s="7">
        <v>2.2999999999999998</v>
      </c>
      <c r="O371" s="7">
        <v>134</v>
      </c>
      <c r="P371" s="7" t="s">
        <v>33</v>
      </c>
      <c r="Q371" s="7" t="str">
        <f t="shared" si="20"/>
        <v>Good</v>
      </c>
      <c r="R371" s="7" t="str">
        <f t="shared" si="21"/>
        <v>Cool</v>
      </c>
      <c r="S371" s="7" t="str">
        <f t="shared" si="22"/>
        <v>High Humidity</v>
      </c>
      <c r="T371" s="7" t="str">
        <f t="shared" si="23"/>
        <v>Moderate Wind</v>
      </c>
    </row>
    <row r="372" spans="1:20" x14ac:dyDescent="0.25">
      <c r="A372" s="7" t="s">
        <v>430</v>
      </c>
      <c r="B372" s="10">
        <v>45847</v>
      </c>
      <c r="C372" s="11" t="s">
        <v>50</v>
      </c>
      <c r="D372" s="11" t="s">
        <v>31</v>
      </c>
      <c r="E372" s="7" t="s">
        <v>68</v>
      </c>
      <c r="F372" s="9">
        <v>48.8</v>
      </c>
      <c r="G372" s="9">
        <v>21.9</v>
      </c>
      <c r="H372" s="9">
        <v>60</v>
      </c>
      <c r="I372" s="9">
        <v>5.5</v>
      </c>
      <c r="J372" s="9">
        <v>0.11</v>
      </c>
      <c r="K372" s="9">
        <v>19.8</v>
      </c>
      <c r="L372" s="7">
        <v>30.2</v>
      </c>
      <c r="M372" s="7">
        <v>65.7</v>
      </c>
      <c r="N372" s="7">
        <v>3.4</v>
      </c>
      <c r="O372" s="7">
        <v>156</v>
      </c>
      <c r="P372" s="7" t="s">
        <v>33</v>
      </c>
      <c r="Q372" s="7" t="str">
        <f t="shared" si="20"/>
        <v>Good</v>
      </c>
      <c r="R372" s="7" t="str">
        <f t="shared" si="21"/>
        <v>Hot</v>
      </c>
      <c r="S372" s="7" t="str">
        <f t="shared" si="22"/>
        <v>High Humidity</v>
      </c>
      <c r="T372" s="7" t="str">
        <f t="shared" si="23"/>
        <v>Moderate Wind</v>
      </c>
    </row>
    <row r="373" spans="1:20" x14ac:dyDescent="0.25">
      <c r="A373" s="7" t="s">
        <v>431</v>
      </c>
      <c r="B373" s="10">
        <v>45920</v>
      </c>
      <c r="C373" s="11" t="s">
        <v>30</v>
      </c>
      <c r="D373" s="11" t="s">
        <v>31</v>
      </c>
      <c r="E373" s="7" t="s">
        <v>32</v>
      </c>
      <c r="F373" s="9">
        <v>65.5</v>
      </c>
      <c r="G373" s="9">
        <v>192.5</v>
      </c>
      <c r="H373" s="9">
        <v>49.9</v>
      </c>
      <c r="I373" s="9">
        <v>20.2</v>
      </c>
      <c r="J373" s="9">
        <v>0.93</v>
      </c>
      <c r="K373" s="9">
        <v>82.1</v>
      </c>
      <c r="L373" s="7">
        <v>19.2</v>
      </c>
      <c r="M373" s="7">
        <v>65.900000000000006</v>
      </c>
      <c r="N373" s="7">
        <v>3.4</v>
      </c>
      <c r="O373" s="7">
        <v>344</v>
      </c>
      <c r="P373" s="7" t="s">
        <v>20</v>
      </c>
      <c r="Q373" s="7" t="str">
        <f t="shared" si="20"/>
        <v>VeryUnhealthy</v>
      </c>
      <c r="R373" s="7" t="str">
        <f t="shared" si="21"/>
        <v>Cool</v>
      </c>
      <c r="S373" s="7" t="str">
        <f t="shared" si="22"/>
        <v>High Humidity</v>
      </c>
      <c r="T373" s="7" t="str">
        <f t="shared" si="23"/>
        <v>Moderate Wind</v>
      </c>
    </row>
    <row r="374" spans="1:20" x14ac:dyDescent="0.25">
      <c r="A374" s="7" t="s">
        <v>432</v>
      </c>
      <c r="B374" s="10">
        <v>45875</v>
      </c>
      <c r="C374" s="11" t="s">
        <v>38</v>
      </c>
      <c r="D374" s="11" t="s">
        <v>39</v>
      </c>
      <c r="E374" s="7" t="s">
        <v>24</v>
      </c>
      <c r="F374" s="9">
        <v>59</v>
      </c>
      <c r="G374" s="9">
        <v>69</v>
      </c>
      <c r="H374" s="9">
        <v>75.7</v>
      </c>
      <c r="I374" s="9">
        <v>6.5</v>
      </c>
      <c r="J374" s="9">
        <v>0.54</v>
      </c>
      <c r="K374" s="9">
        <v>23.9</v>
      </c>
      <c r="L374" s="7">
        <v>31.9</v>
      </c>
      <c r="M374" s="7">
        <v>41.3</v>
      </c>
      <c r="N374" s="7">
        <v>2.2999999999999998</v>
      </c>
      <c r="O374" s="7">
        <v>229</v>
      </c>
      <c r="P374" s="7" t="s">
        <v>28</v>
      </c>
      <c r="Q374" s="7" t="str">
        <f t="shared" si="20"/>
        <v>Moderate</v>
      </c>
      <c r="R374" s="7" t="str">
        <f t="shared" si="21"/>
        <v>Hot</v>
      </c>
      <c r="S374" s="7" t="str">
        <f t="shared" si="22"/>
        <v>Normal Humidity</v>
      </c>
      <c r="T374" s="7" t="str">
        <f t="shared" si="23"/>
        <v>Moderate Wind</v>
      </c>
    </row>
    <row r="375" spans="1:20" x14ac:dyDescent="0.25">
      <c r="A375" s="7" t="s">
        <v>433</v>
      </c>
      <c r="B375" s="10">
        <v>45838</v>
      </c>
      <c r="C375" s="11" t="s">
        <v>52</v>
      </c>
      <c r="D375" s="11" t="s">
        <v>31</v>
      </c>
      <c r="E375" s="7" t="s">
        <v>45</v>
      </c>
      <c r="F375" s="9">
        <v>67.5</v>
      </c>
      <c r="G375" s="9">
        <v>119</v>
      </c>
      <c r="H375" s="9">
        <v>10.8</v>
      </c>
      <c r="I375" s="9">
        <v>13.1</v>
      </c>
      <c r="J375" s="9">
        <v>1.31</v>
      </c>
      <c r="K375" s="9">
        <v>11.9</v>
      </c>
      <c r="L375" s="7">
        <v>36.4</v>
      </c>
      <c r="M375" s="7">
        <v>45.1</v>
      </c>
      <c r="N375" s="7">
        <v>0.9</v>
      </c>
      <c r="O375" s="7">
        <v>241</v>
      </c>
      <c r="P375" s="7" t="s">
        <v>28</v>
      </c>
      <c r="Q375" s="7" t="str">
        <f t="shared" si="20"/>
        <v>Unhealthy</v>
      </c>
      <c r="R375" s="7" t="str">
        <f t="shared" si="21"/>
        <v>Hot</v>
      </c>
      <c r="S375" s="7" t="str">
        <f t="shared" si="22"/>
        <v>Normal Humidity</v>
      </c>
      <c r="T375" s="7" t="str">
        <f t="shared" si="23"/>
        <v>Low Wind</v>
      </c>
    </row>
    <row r="376" spans="1:20" x14ac:dyDescent="0.25">
      <c r="A376" s="7" t="s">
        <v>434</v>
      </c>
      <c r="B376" s="10">
        <v>45730</v>
      </c>
      <c r="C376" s="11" t="s">
        <v>52</v>
      </c>
      <c r="D376" s="11" t="s">
        <v>31</v>
      </c>
      <c r="E376" s="7" t="s">
        <v>27</v>
      </c>
      <c r="F376" s="9">
        <v>63.9</v>
      </c>
      <c r="G376" s="9">
        <v>58.1</v>
      </c>
      <c r="H376" s="9">
        <v>46.1</v>
      </c>
      <c r="I376" s="9">
        <v>22.7</v>
      </c>
      <c r="J376" s="9">
        <v>1.05</v>
      </c>
      <c r="K376" s="9">
        <v>24.4</v>
      </c>
      <c r="L376" s="7">
        <v>20</v>
      </c>
      <c r="M376" s="7">
        <v>83.1</v>
      </c>
      <c r="N376" s="7">
        <v>2.2000000000000002</v>
      </c>
      <c r="O376" s="7">
        <v>230</v>
      </c>
      <c r="P376" s="7" t="s">
        <v>28</v>
      </c>
      <c r="Q376" s="7" t="str">
        <f t="shared" si="20"/>
        <v>Moderate</v>
      </c>
      <c r="R376" s="7" t="str">
        <f t="shared" si="21"/>
        <v>Normal</v>
      </c>
      <c r="S376" s="7" t="str">
        <f t="shared" si="22"/>
        <v>High Humidity</v>
      </c>
      <c r="T376" s="7" t="str">
        <f t="shared" si="23"/>
        <v>Moderate Wind</v>
      </c>
    </row>
    <row r="377" spans="1:20" x14ac:dyDescent="0.25">
      <c r="A377" s="7" t="s">
        <v>435</v>
      </c>
      <c r="B377" s="10">
        <v>45925</v>
      </c>
      <c r="C377" s="11" t="s">
        <v>42</v>
      </c>
      <c r="D377" s="11" t="s">
        <v>23</v>
      </c>
      <c r="E377" s="7" t="s">
        <v>55</v>
      </c>
      <c r="F377" s="9">
        <v>61.4</v>
      </c>
      <c r="G377" s="9">
        <v>138.69999999999999</v>
      </c>
      <c r="H377" s="9">
        <v>12.3</v>
      </c>
      <c r="I377" s="9">
        <v>25.6</v>
      </c>
      <c r="J377" s="9">
        <v>0.68</v>
      </c>
      <c r="K377" s="9">
        <v>12.1</v>
      </c>
      <c r="L377" s="7">
        <v>19.8</v>
      </c>
      <c r="M377" s="7">
        <v>61.4</v>
      </c>
      <c r="N377" s="7">
        <v>0.8</v>
      </c>
      <c r="O377" s="7">
        <v>239</v>
      </c>
      <c r="P377" s="7" t="s">
        <v>28</v>
      </c>
      <c r="Q377" s="7" t="str">
        <f t="shared" si="20"/>
        <v>Unhealthy</v>
      </c>
      <c r="R377" s="7" t="str">
        <f t="shared" si="21"/>
        <v>Cool</v>
      </c>
      <c r="S377" s="7" t="str">
        <f t="shared" si="22"/>
        <v>High Humidity</v>
      </c>
      <c r="T377" s="7" t="str">
        <f t="shared" si="23"/>
        <v>Low Wind</v>
      </c>
    </row>
    <row r="378" spans="1:20" x14ac:dyDescent="0.25">
      <c r="A378" s="7" t="s">
        <v>436</v>
      </c>
      <c r="B378" s="10">
        <v>45863</v>
      </c>
      <c r="C378" s="11" t="s">
        <v>93</v>
      </c>
      <c r="D378" s="11" t="s">
        <v>36</v>
      </c>
      <c r="E378" s="7" t="s">
        <v>74</v>
      </c>
      <c r="F378" s="9">
        <v>22.5</v>
      </c>
      <c r="G378" s="9">
        <v>159.6</v>
      </c>
      <c r="H378" s="9">
        <v>23.5</v>
      </c>
      <c r="I378" s="9">
        <v>21.5</v>
      </c>
      <c r="J378" s="9">
        <v>0.54</v>
      </c>
      <c r="K378" s="9">
        <v>4.4000000000000004</v>
      </c>
      <c r="L378" s="7">
        <v>37.1</v>
      </c>
      <c r="M378" s="7">
        <v>68.8</v>
      </c>
      <c r="N378" s="7">
        <v>2.4</v>
      </c>
      <c r="O378" s="7">
        <v>189</v>
      </c>
      <c r="P378" s="7" t="s">
        <v>33</v>
      </c>
      <c r="Q378" s="7" t="str">
        <f t="shared" si="20"/>
        <v>VeryUnhealthy</v>
      </c>
      <c r="R378" s="7" t="str">
        <f t="shared" si="21"/>
        <v>Hot</v>
      </c>
      <c r="S378" s="7" t="str">
        <f t="shared" si="22"/>
        <v>High Humidity</v>
      </c>
      <c r="T378" s="7" t="str">
        <f t="shared" si="23"/>
        <v>Moderate Wind</v>
      </c>
    </row>
    <row r="379" spans="1:20" x14ac:dyDescent="0.25">
      <c r="A379" s="7" t="s">
        <v>437</v>
      </c>
      <c r="B379" s="10">
        <v>45806</v>
      </c>
      <c r="C379" s="11" t="s">
        <v>30</v>
      </c>
      <c r="D379" s="11" t="s">
        <v>31</v>
      </c>
      <c r="E379" s="7" t="s">
        <v>24</v>
      </c>
      <c r="F379" s="9">
        <v>67.900000000000006</v>
      </c>
      <c r="G379" s="9">
        <v>55.1</v>
      </c>
      <c r="H379" s="9">
        <v>22.8</v>
      </c>
      <c r="I379" s="9">
        <v>7.3</v>
      </c>
      <c r="J379" s="9">
        <v>2.06</v>
      </c>
      <c r="K379" s="9">
        <v>58.4</v>
      </c>
      <c r="L379" s="7">
        <v>35.299999999999997</v>
      </c>
      <c r="M379" s="7">
        <v>85.2</v>
      </c>
      <c r="N379" s="7">
        <v>1.5</v>
      </c>
      <c r="O379" s="7">
        <v>246</v>
      </c>
      <c r="P379" s="7" t="s">
        <v>28</v>
      </c>
      <c r="Q379" s="7" t="str">
        <f t="shared" si="20"/>
        <v>Moderate</v>
      </c>
      <c r="R379" s="7" t="str">
        <f t="shared" si="21"/>
        <v>Hot</v>
      </c>
      <c r="S379" s="7" t="str">
        <f t="shared" si="22"/>
        <v>High Humidity</v>
      </c>
      <c r="T379" s="7" t="str">
        <f t="shared" si="23"/>
        <v>Low Wind</v>
      </c>
    </row>
    <row r="380" spans="1:20" x14ac:dyDescent="0.25">
      <c r="A380" s="7" t="s">
        <v>438</v>
      </c>
      <c r="B380" s="10">
        <v>45899</v>
      </c>
      <c r="C380" s="11" t="s">
        <v>99</v>
      </c>
      <c r="D380" s="11" t="s">
        <v>36</v>
      </c>
      <c r="E380" s="7" t="s">
        <v>61</v>
      </c>
      <c r="F380" s="9">
        <v>11</v>
      </c>
      <c r="G380" s="9">
        <v>201.4</v>
      </c>
      <c r="H380" s="9">
        <v>51.5</v>
      </c>
      <c r="I380" s="9">
        <v>32.200000000000003</v>
      </c>
      <c r="J380" s="9">
        <v>0.23</v>
      </c>
      <c r="K380" s="9">
        <v>51.1</v>
      </c>
      <c r="L380" s="7">
        <v>39.5</v>
      </c>
      <c r="M380" s="7">
        <v>69.7</v>
      </c>
      <c r="N380" s="7">
        <v>2.4</v>
      </c>
      <c r="O380" s="7">
        <v>241</v>
      </c>
      <c r="P380" s="7" t="s">
        <v>28</v>
      </c>
      <c r="Q380" s="7" t="str">
        <f t="shared" si="20"/>
        <v>VeryUnhealthy</v>
      </c>
      <c r="R380" s="7" t="str">
        <f t="shared" si="21"/>
        <v>Hot</v>
      </c>
      <c r="S380" s="7" t="str">
        <f t="shared" si="22"/>
        <v>High Humidity</v>
      </c>
      <c r="T380" s="7" t="str">
        <f t="shared" si="23"/>
        <v>Moderate Wind</v>
      </c>
    </row>
    <row r="381" spans="1:20" x14ac:dyDescent="0.25">
      <c r="A381" s="7" t="s">
        <v>439</v>
      </c>
      <c r="B381" s="10">
        <v>45787</v>
      </c>
      <c r="C381" s="11" t="s">
        <v>35</v>
      </c>
      <c r="D381" s="11" t="s">
        <v>36</v>
      </c>
      <c r="E381" s="7" t="s">
        <v>58</v>
      </c>
      <c r="F381" s="9">
        <v>92.4</v>
      </c>
      <c r="G381" s="9">
        <v>93.5</v>
      </c>
      <c r="H381" s="9">
        <v>48.4</v>
      </c>
      <c r="I381" s="9">
        <v>11</v>
      </c>
      <c r="J381" s="9">
        <v>0.72</v>
      </c>
      <c r="K381" s="9">
        <v>8.1999999999999993</v>
      </c>
      <c r="L381" s="7">
        <v>29.2</v>
      </c>
      <c r="M381" s="7">
        <v>52.1</v>
      </c>
      <c r="N381" s="7">
        <v>1.2</v>
      </c>
      <c r="O381" s="7">
        <v>277</v>
      </c>
      <c r="P381" s="7" t="s">
        <v>28</v>
      </c>
      <c r="Q381" s="7" t="str">
        <f t="shared" si="20"/>
        <v>Moderate</v>
      </c>
      <c r="R381" s="7" t="str">
        <f t="shared" si="21"/>
        <v>Normal</v>
      </c>
      <c r="S381" s="7" t="str">
        <f t="shared" si="22"/>
        <v>Normal Humidity</v>
      </c>
      <c r="T381" s="7" t="str">
        <f t="shared" si="23"/>
        <v>Low Wind</v>
      </c>
    </row>
    <row r="382" spans="1:20" x14ac:dyDescent="0.25">
      <c r="A382" s="7" t="s">
        <v>440</v>
      </c>
      <c r="B382" s="10">
        <v>45719</v>
      </c>
      <c r="C382" s="11" t="s">
        <v>81</v>
      </c>
      <c r="D382" s="11" t="s">
        <v>39</v>
      </c>
      <c r="E382" s="7" t="s">
        <v>68</v>
      </c>
      <c r="F382" s="9">
        <v>162.30000000000001</v>
      </c>
      <c r="G382" s="9">
        <v>136.69999999999999</v>
      </c>
      <c r="H382" s="9">
        <v>18.399999999999999</v>
      </c>
      <c r="I382" s="9">
        <v>16.3</v>
      </c>
      <c r="J382" s="9">
        <v>2.11</v>
      </c>
      <c r="K382" s="9">
        <v>23.4</v>
      </c>
      <c r="L382" s="7">
        <v>34.9</v>
      </c>
      <c r="M382" s="7">
        <v>54.1</v>
      </c>
      <c r="N382" s="7">
        <v>2.6</v>
      </c>
      <c r="O382" s="7">
        <v>438</v>
      </c>
      <c r="P382" s="7" t="s">
        <v>20</v>
      </c>
      <c r="Q382" s="7" t="str">
        <f t="shared" si="20"/>
        <v>Unhealthy</v>
      </c>
      <c r="R382" s="7" t="str">
        <f t="shared" si="21"/>
        <v>Hot</v>
      </c>
      <c r="S382" s="7" t="str">
        <f t="shared" si="22"/>
        <v>Normal Humidity</v>
      </c>
      <c r="T382" s="7" t="str">
        <f t="shared" si="23"/>
        <v>Moderate Wind</v>
      </c>
    </row>
    <row r="383" spans="1:20" x14ac:dyDescent="0.25">
      <c r="A383" s="7" t="s">
        <v>441</v>
      </c>
      <c r="B383" s="10">
        <v>45893</v>
      </c>
      <c r="C383" s="11" t="s">
        <v>22</v>
      </c>
      <c r="D383" s="11" t="s">
        <v>23</v>
      </c>
      <c r="E383" s="7" t="s">
        <v>74</v>
      </c>
      <c r="F383" s="9">
        <v>19.399999999999999</v>
      </c>
      <c r="G383" s="9">
        <v>13.8</v>
      </c>
      <c r="H383" s="9">
        <v>33.9</v>
      </c>
      <c r="I383" s="9">
        <v>3.5</v>
      </c>
      <c r="J383" s="9">
        <v>0.88</v>
      </c>
      <c r="K383" s="9">
        <v>22.6</v>
      </c>
      <c r="L383" s="7">
        <v>22.6</v>
      </c>
      <c r="M383" s="7">
        <v>47.4</v>
      </c>
      <c r="N383" s="7">
        <v>2.2000000000000002</v>
      </c>
      <c r="O383" s="7">
        <v>102</v>
      </c>
      <c r="P383" s="7" t="s">
        <v>33</v>
      </c>
      <c r="Q383" s="7" t="str">
        <f t="shared" si="20"/>
        <v>Good</v>
      </c>
      <c r="R383" s="7" t="str">
        <f t="shared" si="21"/>
        <v>Normal</v>
      </c>
      <c r="S383" s="7" t="str">
        <f t="shared" si="22"/>
        <v>Normal Humidity</v>
      </c>
      <c r="T383" s="7" t="str">
        <f t="shared" si="23"/>
        <v>Moderate Wind</v>
      </c>
    </row>
    <row r="384" spans="1:20" x14ac:dyDescent="0.25">
      <c r="A384" s="7" t="s">
        <v>442</v>
      </c>
      <c r="B384" s="10">
        <v>45756</v>
      </c>
      <c r="C384" s="11" t="s">
        <v>67</v>
      </c>
      <c r="D384" s="11" t="s">
        <v>18</v>
      </c>
      <c r="E384" s="7" t="s">
        <v>40</v>
      </c>
      <c r="F384" s="9">
        <v>103</v>
      </c>
      <c r="G384" s="9">
        <v>36.9</v>
      </c>
      <c r="H384" s="9">
        <v>55.8</v>
      </c>
      <c r="I384" s="9">
        <v>4.2</v>
      </c>
      <c r="J384" s="9">
        <v>1.54</v>
      </c>
      <c r="K384" s="9">
        <v>31.8</v>
      </c>
      <c r="L384" s="7">
        <v>32.200000000000003</v>
      </c>
      <c r="M384" s="7">
        <v>61.6</v>
      </c>
      <c r="N384" s="7">
        <v>1.2</v>
      </c>
      <c r="O384" s="7">
        <v>289</v>
      </c>
      <c r="P384" s="7" t="s">
        <v>28</v>
      </c>
      <c r="Q384" s="7" t="str">
        <f t="shared" si="20"/>
        <v>Good</v>
      </c>
      <c r="R384" s="7" t="str">
        <f t="shared" si="21"/>
        <v>Hot</v>
      </c>
      <c r="S384" s="7" t="str">
        <f t="shared" si="22"/>
        <v>High Humidity</v>
      </c>
      <c r="T384" s="7" t="str">
        <f t="shared" si="23"/>
        <v>Low Wind</v>
      </c>
    </row>
    <row r="385" spans="1:20" x14ac:dyDescent="0.25">
      <c r="A385" s="7" t="s">
        <v>443</v>
      </c>
      <c r="B385" s="10">
        <v>46009</v>
      </c>
      <c r="C385" s="11" t="s">
        <v>81</v>
      </c>
      <c r="D385" s="11" t="s">
        <v>39</v>
      </c>
      <c r="E385" s="7" t="s">
        <v>40</v>
      </c>
      <c r="F385" s="9">
        <v>47.2</v>
      </c>
      <c r="G385" s="9">
        <v>93.3</v>
      </c>
      <c r="H385" s="9">
        <v>9</v>
      </c>
      <c r="I385" s="9">
        <v>44</v>
      </c>
      <c r="J385" s="9">
        <v>0.62</v>
      </c>
      <c r="K385" s="9">
        <v>40.4</v>
      </c>
      <c r="L385" s="7">
        <v>33.799999999999997</v>
      </c>
      <c r="M385" s="7">
        <v>66.8</v>
      </c>
      <c r="N385" s="7">
        <v>3.4</v>
      </c>
      <c r="O385" s="7">
        <v>208</v>
      </c>
      <c r="P385" s="7" t="s">
        <v>28</v>
      </c>
      <c r="Q385" s="7" t="str">
        <f t="shared" si="20"/>
        <v>Moderate</v>
      </c>
      <c r="R385" s="7" t="str">
        <f t="shared" si="21"/>
        <v>Hot</v>
      </c>
      <c r="S385" s="7" t="str">
        <f t="shared" si="22"/>
        <v>High Humidity</v>
      </c>
      <c r="T385" s="7" t="str">
        <f t="shared" si="23"/>
        <v>Moderate Wind</v>
      </c>
    </row>
    <row r="386" spans="1:20" x14ac:dyDescent="0.25">
      <c r="A386" s="7" t="s">
        <v>444</v>
      </c>
      <c r="B386" s="10">
        <v>45776</v>
      </c>
      <c r="C386" s="11" t="s">
        <v>26</v>
      </c>
      <c r="D386" s="11" t="s">
        <v>23</v>
      </c>
      <c r="E386" s="7" t="s">
        <v>70</v>
      </c>
      <c r="F386" s="9">
        <v>58.8</v>
      </c>
      <c r="G386" s="9">
        <v>55.3</v>
      </c>
      <c r="H386" s="9">
        <v>38.200000000000003</v>
      </c>
      <c r="I386" s="9">
        <v>8.6</v>
      </c>
      <c r="J386" s="9">
        <v>0.18</v>
      </c>
      <c r="K386" s="9">
        <v>28.8</v>
      </c>
      <c r="L386" s="7">
        <v>35.4</v>
      </c>
      <c r="M386" s="7">
        <v>98</v>
      </c>
      <c r="N386" s="7">
        <v>1.3</v>
      </c>
      <c r="O386" s="7">
        <v>184</v>
      </c>
      <c r="P386" s="7" t="s">
        <v>33</v>
      </c>
      <c r="Q386" s="7" t="str">
        <f t="shared" si="20"/>
        <v>Moderate</v>
      </c>
      <c r="R386" s="7" t="str">
        <f t="shared" si="21"/>
        <v>Hot</v>
      </c>
      <c r="S386" s="7" t="str">
        <f t="shared" si="22"/>
        <v>High Humidity</v>
      </c>
      <c r="T386" s="7" t="str">
        <f t="shared" si="23"/>
        <v>Low Wind</v>
      </c>
    </row>
    <row r="387" spans="1:20" x14ac:dyDescent="0.25">
      <c r="A387" s="7" t="s">
        <v>445</v>
      </c>
      <c r="B387" s="10">
        <v>45909</v>
      </c>
      <c r="C387" s="11" t="s">
        <v>38</v>
      </c>
      <c r="D387" s="11" t="s">
        <v>39</v>
      </c>
      <c r="E387" s="7" t="s">
        <v>58</v>
      </c>
      <c r="F387" s="9">
        <v>37.6</v>
      </c>
      <c r="G387" s="9">
        <v>74.3</v>
      </c>
      <c r="H387" s="9">
        <v>15.5</v>
      </c>
      <c r="I387" s="9">
        <v>24.6</v>
      </c>
      <c r="J387" s="9">
        <v>0.57999999999999996</v>
      </c>
      <c r="K387" s="9">
        <v>19.2</v>
      </c>
      <c r="L387" s="7">
        <v>26.8</v>
      </c>
      <c r="M387" s="7">
        <v>55.7</v>
      </c>
      <c r="N387" s="7">
        <v>3.1</v>
      </c>
      <c r="O387" s="7">
        <v>161</v>
      </c>
      <c r="P387" s="7" t="s">
        <v>33</v>
      </c>
      <c r="Q387" s="7" t="str">
        <f t="shared" ref="Q387:Q450" si="24">IF(G387&lt;50,"Good",IF(G387&lt;=100,"Moderate",IF(G387&lt;=150,"Unhealthy","VeryUnhealthy")))</f>
        <v>Moderate</v>
      </c>
      <c r="R387" s="7" t="str">
        <f t="shared" ref="R387:R450" si="25">IF(L387&lt;20,"Cool",IF(L387&lt;=30,"Normal","Hot"))</f>
        <v>Normal</v>
      </c>
      <c r="S387" s="7" t="str">
        <f t="shared" ref="S387:S450" si="26">IF(M387&lt;30,"Low Humidity",IF(M387&lt;=60,"Normal Humidity","High Humidity"))</f>
        <v>Normal Humidity</v>
      </c>
      <c r="T387" s="7" t="str">
        <f t="shared" ref="T387:T450" si="27">IF(N387&lt;2,"Low Wind",IF(N387&lt;=5,"Moderate Wind","High Wind"))</f>
        <v>Moderate Wind</v>
      </c>
    </row>
    <row r="388" spans="1:20" x14ac:dyDescent="0.25">
      <c r="A388" s="7" t="s">
        <v>446</v>
      </c>
      <c r="B388" s="10">
        <v>45729</v>
      </c>
      <c r="C388" s="11" t="s">
        <v>52</v>
      </c>
      <c r="D388" s="11" t="s">
        <v>31</v>
      </c>
      <c r="E388" s="7" t="s">
        <v>70</v>
      </c>
      <c r="F388" s="9">
        <v>71.5</v>
      </c>
      <c r="G388" s="9">
        <v>64.400000000000006</v>
      </c>
      <c r="H388" s="9">
        <v>39.5</v>
      </c>
      <c r="I388" s="9">
        <v>9.9</v>
      </c>
      <c r="J388" s="9">
        <v>1.08</v>
      </c>
      <c r="K388" s="9">
        <v>26.3</v>
      </c>
      <c r="L388" s="7">
        <v>28.9</v>
      </c>
      <c r="M388" s="7">
        <v>53.8</v>
      </c>
      <c r="N388" s="7">
        <v>1</v>
      </c>
      <c r="O388" s="7">
        <v>234</v>
      </c>
      <c r="P388" s="7" t="s">
        <v>28</v>
      </c>
      <c r="Q388" s="7" t="str">
        <f t="shared" si="24"/>
        <v>Moderate</v>
      </c>
      <c r="R388" s="7" t="str">
        <f t="shared" si="25"/>
        <v>Normal</v>
      </c>
      <c r="S388" s="7" t="str">
        <f t="shared" si="26"/>
        <v>Normal Humidity</v>
      </c>
      <c r="T388" s="7" t="str">
        <f t="shared" si="27"/>
        <v>Low Wind</v>
      </c>
    </row>
    <row r="389" spans="1:20" x14ac:dyDescent="0.25">
      <c r="A389" s="7" t="s">
        <v>447</v>
      </c>
      <c r="B389" s="10">
        <v>45663</v>
      </c>
      <c r="C389" s="11" t="s">
        <v>77</v>
      </c>
      <c r="D389" s="11" t="s">
        <v>39</v>
      </c>
      <c r="E389" s="7" t="s">
        <v>58</v>
      </c>
      <c r="F389" s="9">
        <v>49.5</v>
      </c>
      <c r="G389" s="9">
        <v>110</v>
      </c>
      <c r="H389" s="9">
        <v>52.1</v>
      </c>
      <c r="I389" s="9">
        <v>12.2</v>
      </c>
      <c r="J389" s="9">
        <v>0.5</v>
      </c>
      <c r="K389" s="9">
        <v>49.6</v>
      </c>
      <c r="L389" s="7">
        <v>34.1</v>
      </c>
      <c r="M389" s="7">
        <v>42.2</v>
      </c>
      <c r="N389" s="7">
        <v>0.6</v>
      </c>
      <c r="O389" s="7">
        <v>236</v>
      </c>
      <c r="P389" s="7" t="s">
        <v>28</v>
      </c>
      <c r="Q389" s="7" t="str">
        <f t="shared" si="24"/>
        <v>Unhealthy</v>
      </c>
      <c r="R389" s="7" t="str">
        <f t="shared" si="25"/>
        <v>Hot</v>
      </c>
      <c r="S389" s="7" t="str">
        <f t="shared" si="26"/>
        <v>Normal Humidity</v>
      </c>
      <c r="T389" s="7" t="str">
        <f t="shared" si="27"/>
        <v>Low Wind</v>
      </c>
    </row>
    <row r="390" spans="1:20" x14ac:dyDescent="0.25">
      <c r="A390" s="7" t="s">
        <v>448</v>
      </c>
      <c r="B390" s="10">
        <v>46017</v>
      </c>
      <c r="C390" s="11" t="s">
        <v>81</v>
      </c>
      <c r="D390" s="11" t="s">
        <v>39</v>
      </c>
      <c r="E390" s="7" t="s">
        <v>45</v>
      </c>
      <c r="F390" s="9">
        <v>94.6</v>
      </c>
      <c r="G390" s="9">
        <v>119.9</v>
      </c>
      <c r="H390" s="9">
        <v>21.1</v>
      </c>
      <c r="I390" s="9">
        <v>15.1</v>
      </c>
      <c r="J390" s="9">
        <v>0.21</v>
      </c>
      <c r="K390" s="9">
        <v>39.299999999999997</v>
      </c>
      <c r="L390" s="7">
        <v>34.6</v>
      </c>
      <c r="M390" s="7">
        <v>58.1</v>
      </c>
      <c r="N390" s="7">
        <v>1.8</v>
      </c>
      <c r="O390" s="7">
        <v>280</v>
      </c>
      <c r="P390" s="7" t="s">
        <v>28</v>
      </c>
      <c r="Q390" s="7" t="str">
        <f t="shared" si="24"/>
        <v>Unhealthy</v>
      </c>
      <c r="R390" s="7" t="str">
        <f t="shared" si="25"/>
        <v>Hot</v>
      </c>
      <c r="S390" s="7" t="str">
        <f t="shared" si="26"/>
        <v>Normal Humidity</v>
      </c>
      <c r="T390" s="7" t="str">
        <f t="shared" si="27"/>
        <v>Low Wind</v>
      </c>
    </row>
    <row r="391" spans="1:20" x14ac:dyDescent="0.25">
      <c r="A391" s="7" t="s">
        <v>449</v>
      </c>
      <c r="B391" s="10">
        <v>45669</v>
      </c>
      <c r="C391" s="11" t="s">
        <v>30</v>
      </c>
      <c r="D391" s="11" t="s">
        <v>31</v>
      </c>
      <c r="E391" s="7" t="s">
        <v>55</v>
      </c>
      <c r="F391" s="9">
        <v>33.5</v>
      </c>
      <c r="G391" s="9">
        <v>127.8</v>
      </c>
      <c r="H391" s="9">
        <v>16.3</v>
      </c>
      <c r="I391" s="9">
        <v>15</v>
      </c>
      <c r="J391" s="9">
        <v>1.36</v>
      </c>
      <c r="K391" s="9">
        <v>31.6</v>
      </c>
      <c r="L391" s="7">
        <v>22.7</v>
      </c>
      <c r="M391" s="7">
        <v>50.8</v>
      </c>
      <c r="N391" s="7">
        <v>3</v>
      </c>
      <c r="O391" s="7">
        <v>208</v>
      </c>
      <c r="P391" s="7" t="s">
        <v>28</v>
      </c>
      <c r="Q391" s="7" t="str">
        <f t="shared" si="24"/>
        <v>Unhealthy</v>
      </c>
      <c r="R391" s="7" t="str">
        <f t="shared" si="25"/>
        <v>Normal</v>
      </c>
      <c r="S391" s="7" t="str">
        <f t="shared" si="26"/>
        <v>Normal Humidity</v>
      </c>
      <c r="T391" s="7" t="str">
        <f t="shared" si="27"/>
        <v>Moderate Wind</v>
      </c>
    </row>
    <row r="392" spans="1:20" x14ac:dyDescent="0.25">
      <c r="A392" s="7" t="s">
        <v>450</v>
      </c>
      <c r="B392" s="10">
        <v>45660</v>
      </c>
      <c r="C392" s="11" t="s">
        <v>26</v>
      </c>
      <c r="D392" s="11" t="s">
        <v>23</v>
      </c>
      <c r="E392" s="7" t="s">
        <v>91</v>
      </c>
      <c r="F392" s="9">
        <v>79.5</v>
      </c>
      <c r="G392" s="9">
        <v>31.6</v>
      </c>
      <c r="H392" s="9">
        <v>11.5</v>
      </c>
      <c r="I392" s="9">
        <v>7.9</v>
      </c>
      <c r="J392" s="9">
        <v>1</v>
      </c>
      <c r="K392" s="9">
        <v>49.7</v>
      </c>
      <c r="L392" s="7">
        <v>25.2</v>
      </c>
      <c r="M392" s="7">
        <v>70.400000000000006</v>
      </c>
      <c r="N392" s="7">
        <v>1.6</v>
      </c>
      <c r="O392" s="7">
        <v>210</v>
      </c>
      <c r="P392" s="7" t="s">
        <v>28</v>
      </c>
      <c r="Q392" s="7" t="str">
        <f t="shared" si="24"/>
        <v>Good</v>
      </c>
      <c r="R392" s="7" t="str">
        <f t="shared" si="25"/>
        <v>Normal</v>
      </c>
      <c r="S392" s="7" t="str">
        <f t="shared" si="26"/>
        <v>High Humidity</v>
      </c>
      <c r="T392" s="7" t="str">
        <f t="shared" si="27"/>
        <v>Low Wind</v>
      </c>
    </row>
    <row r="393" spans="1:20" x14ac:dyDescent="0.25">
      <c r="A393" s="7" t="s">
        <v>451</v>
      </c>
      <c r="B393" s="10">
        <v>45735</v>
      </c>
      <c r="C393" s="11" t="s">
        <v>38</v>
      </c>
      <c r="D393" s="11" t="s">
        <v>39</v>
      </c>
      <c r="E393" s="7" t="s">
        <v>74</v>
      </c>
      <c r="F393" s="9">
        <v>47.5</v>
      </c>
      <c r="G393" s="9">
        <v>14.8</v>
      </c>
      <c r="H393" s="9">
        <v>30.5</v>
      </c>
      <c r="I393" s="9">
        <v>5.9</v>
      </c>
      <c r="J393" s="9">
        <v>0.96</v>
      </c>
      <c r="K393" s="9">
        <v>22</v>
      </c>
      <c r="L393" s="7">
        <v>31.5</v>
      </c>
      <c r="M393" s="7">
        <v>69.2</v>
      </c>
      <c r="N393" s="7">
        <v>2.7</v>
      </c>
      <c r="O393" s="7">
        <v>148</v>
      </c>
      <c r="P393" s="7" t="s">
        <v>33</v>
      </c>
      <c r="Q393" s="7" t="str">
        <f t="shared" si="24"/>
        <v>Good</v>
      </c>
      <c r="R393" s="7" t="str">
        <f t="shared" si="25"/>
        <v>Hot</v>
      </c>
      <c r="S393" s="7" t="str">
        <f t="shared" si="26"/>
        <v>High Humidity</v>
      </c>
      <c r="T393" s="7" t="str">
        <f t="shared" si="27"/>
        <v>Moderate Wind</v>
      </c>
    </row>
    <row r="394" spans="1:20" x14ac:dyDescent="0.25">
      <c r="A394" s="7" t="s">
        <v>452</v>
      </c>
      <c r="B394" s="10">
        <v>45686</v>
      </c>
      <c r="C394" s="11" t="s">
        <v>99</v>
      </c>
      <c r="D394" s="11" t="s">
        <v>36</v>
      </c>
      <c r="E394" s="7" t="s">
        <v>61</v>
      </c>
      <c r="F394" s="9">
        <v>92.9</v>
      </c>
      <c r="G394" s="9">
        <v>41.3</v>
      </c>
      <c r="H394" s="9">
        <v>19.8</v>
      </c>
      <c r="I394" s="9">
        <v>7</v>
      </c>
      <c r="J394" s="9">
        <v>0.54</v>
      </c>
      <c r="K394" s="9">
        <v>7.8</v>
      </c>
      <c r="L394" s="7">
        <v>25.4</v>
      </c>
      <c r="M394" s="7">
        <v>46.2</v>
      </c>
      <c r="N394" s="7">
        <v>1.4</v>
      </c>
      <c r="O394" s="7">
        <v>213</v>
      </c>
      <c r="P394" s="7" t="s">
        <v>28</v>
      </c>
      <c r="Q394" s="7" t="str">
        <f t="shared" si="24"/>
        <v>Good</v>
      </c>
      <c r="R394" s="7" t="str">
        <f t="shared" si="25"/>
        <v>Normal</v>
      </c>
      <c r="S394" s="7" t="str">
        <f t="shared" si="26"/>
        <v>Normal Humidity</v>
      </c>
      <c r="T394" s="7" t="str">
        <f t="shared" si="27"/>
        <v>Low Wind</v>
      </c>
    </row>
    <row r="395" spans="1:20" x14ac:dyDescent="0.25">
      <c r="A395" s="7" t="s">
        <v>453</v>
      </c>
      <c r="B395" s="10">
        <v>45786</v>
      </c>
      <c r="C395" s="11" t="s">
        <v>54</v>
      </c>
      <c r="D395" s="11" t="s">
        <v>18</v>
      </c>
      <c r="E395" s="7" t="s">
        <v>91</v>
      </c>
      <c r="F395" s="9">
        <v>16.5</v>
      </c>
      <c r="G395" s="9">
        <v>104.3</v>
      </c>
      <c r="H395" s="9">
        <v>39.1</v>
      </c>
      <c r="I395" s="9">
        <v>17.399999999999999</v>
      </c>
      <c r="J395" s="9">
        <v>0.61</v>
      </c>
      <c r="K395" s="9">
        <v>55.7</v>
      </c>
      <c r="L395" s="7">
        <v>27.4</v>
      </c>
      <c r="M395" s="7">
        <v>49.4</v>
      </c>
      <c r="N395" s="7">
        <v>2.8</v>
      </c>
      <c r="O395" s="7">
        <v>178</v>
      </c>
      <c r="P395" s="7" t="s">
        <v>33</v>
      </c>
      <c r="Q395" s="7" t="str">
        <f t="shared" si="24"/>
        <v>Unhealthy</v>
      </c>
      <c r="R395" s="7" t="str">
        <f t="shared" si="25"/>
        <v>Normal</v>
      </c>
      <c r="S395" s="7" t="str">
        <f t="shared" si="26"/>
        <v>Normal Humidity</v>
      </c>
      <c r="T395" s="7" t="str">
        <f t="shared" si="27"/>
        <v>Moderate Wind</v>
      </c>
    </row>
    <row r="396" spans="1:20" x14ac:dyDescent="0.25">
      <c r="A396" s="7" t="s">
        <v>454</v>
      </c>
      <c r="B396" s="10">
        <v>45934</v>
      </c>
      <c r="C396" s="11" t="s">
        <v>77</v>
      </c>
      <c r="D396" s="11" t="s">
        <v>39</v>
      </c>
      <c r="E396" s="7" t="s">
        <v>43</v>
      </c>
      <c r="F396" s="9">
        <v>56.7</v>
      </c>
      <c r="G396" s="9">
        <v>115.3</v>
      </c>
      <c r="H396" s="9">
        <v>12.8</v>
      </c>
      <c r="I396" s="9">
        <v>14.9</v>
      </c>
      <c r="J396" s="9">
        <v>2.2200000000000002</v>
      </c>
      <c r="K396" s="9">
        <v>41.4</v>
      </c>
      <c r="L396" s="7">
        <v>20.2</v>
      </c>
      <c r="M396" s="7">
        <v>62.2</v>
      </c>
      <c r="N396" s="7">
        <v>3.4</v>
      </c>
      <c r="O396" s="7">
        <v>260</v>
      </c>
      <c r="P396" s="7" t="s">
        <v>28</v>
      </c>
      <c r="Q396" s="7" t="str">
        <f t="shared" si="24"/>
        <v>Unhealthy</v>
      </c>
      <c r="R396" s="7" t="str">
        <f t="shared" si="25"/>
        <v>Normal</v>
      </c>
      <c r="S396" s="7" t="str">
        <f t="shared" si="26"/>
        <v>High Humidity</v>
      </c>
      <c r="T396" s="7" t="str">
        <f t="shared" si="27"/>
        <v>Moderate Wind</v>
      </c>
    </row>
    <row r="397" spans="1:20" x14ac:dyDescent="0.25">
      <c r="A397" s="7" t="s">
        <v>455</v>
      </c>
      <c r="B397" s="10">
        <v>45716</v>
      </c>
      <c r="C397" s="11" t="s">
        <v>22</v>
      </c>
      <c r="D397" s="11" t="s">
        <v>23</v>
      </c>
      <c r="E397" s="7" t="s">
        <v>32</v>
      </c>
      <c r="F397" s="9">
        <v>54</v>
      </c>
      <c r="G397" s="9">
        <v>87.8</v>
      </c>
      <c r="H397" s="9">
        <v>19.399999999999999</v>
      </c>
      <c r="I397" s="9">
        <v>11.7</v>
      </c>
      <c r="J397" s="9">
        <v>0.9</v>
      </c>
      <c r="K397" s="9">
        <v>43.4</v>
      </c>
      <c r="L397" s="7">
        <v>27.6</v>
      </c>
      <c r="M397" s="7">
        <v>78.400000000000006</v>
      </c>
      <c r="N397" s="7">
        <v>2.7</v>
      </c>
      <c r="O397" s="7">
        <v>209</v>
      </c>
      <c r="P397" s="7" t="s">
        <v>28</v>
      </c>
      <c r="Q397" s="7" t="str">
        <f t="shared" si="24"/>
        <v>Moderate</v>
      </c>
      <c r="R397" s="7" t="str">
        <f t="shared" si="25"/>
        <v>Normal</v>
      </c>
      <c r="S397" s="7" t="str">
        <f t="shared" si="26"/>
        <v>High Humidity</v>
      </c>
      <c r="T397" s="7" t="str">
        <f t="shared" si="27"/>
        <v>Moderate Wind</v>
      </c>
    </row>
    <row r="398" spans="1:20" x14ac:dyDescent="0.25">
      <c r="A398" s="7" t="s">
        <v>456</v>
      </c>
      <c r="B398" s="10">
        <v>46022</v>
      </c>
      <c r="C398" s="11" t="s">
        <v>17</v>
      </c>
      <c r="D398" s="11" t="s">
        <v>18</v>
      </c>
      <c r="E398" s="7" t="s">
        <v>91</v>
      </c>
      <c r="F398" s="9">
        <v>104.3</v>
      </c>
      <c r="G398" s="9">
        <v>68.2</v>
      </c>
      <c r="H398" s="9">
        <v>38.9</v>
      </c>
      <c r="I398" s="9">
        <v>13</v>
      </c>
      <c r="J398" s="9">
        <v>1.96</v>
      </c>
      <c r="K398" s="9">
        <v>16.399999999999999</v>
      </c>
      <c r="L398" s="7">
        <v>32.1</v>
      </c>
      <c r="M398" s="7">
        <v>30.6</v>
      </c>
      <c r="N398" s="7">
        <v>1.1000000000000001</v>
      </c>
      <c r="O398" s="7">
        <v>308</v>
      </c>
      <c r="P398" s="7" t="s">
        <v>20</v>
      </c>
      <c r="Q398" s="7" t="str">
        <f t="shared" si="24"/>
        <v>Moderate</v>
      </c>
      <c r="R398" s="7" t="str">
        <f t="shared" si="25"/>
        <v>Hot</v>
      </c>
      <c r="S398" s="7" t="str">
        <f t="shared" si="26"/>
        <v>Normal Humidity</v>
      </c>
      <c r="T398" s="7" t="str">
        <f t="shared" si="27"/>
        <v>Low Wind</v>
      </c>
    </row>
    <row r="399" spans="1:20" x14ac:dyDescent="0.25">
      <c r="A399" s="7" t="s">
        <v>457</v>
      </c>
      <c r="B399" s="10">
        <v>46006</v>
      </c>
      <c r="C399" s="11" t="s">
        <v>64</v>
      </c>
      <c r="D399" s="11" t="s">
        <v>36</v>
      </c>
      <c r="E399" s="7" t="s">
        <v>19</v>
      </c>
      <c r="F399" s="9">
        <v>51.1</v>
      </c>
      <c r="G399" s="9">
        <v>31.9</v>
      </c>
      <c r="H399" s="9">
        <v>13.7</v>
      </c>
      <c r="I399" s="9">
        <v>10.4</v>
      </c>
      <c r="J399" s="9">
        <v>0.16</v>
      </c>
      <c r="K399" s="9">
        <v>42.6</v>
      </c>
      <c r="L399" s="7">
        <v>30.9</v>
      </c>
      <c r="M399" s="7">
        <v>73.400000000000006</v>
      </c>
      <c r="N399" s="7">
        <v>1.9</v>
      </c>
      <c r="O399" s="7">
        <v>144</v>
      </c>
      <c r="P399" s="7" t="s">
        <v>33</v>
      </c>
      <c r="Q399" s="7" t="str">
        <f t="shared" si="24"/>
        <v>Good</v>
      </c>
      <c r="R399" s="7" t="str">
        <f t="shared" si="25"/>
        <v>Hot</v>
      </c>
      <c r="S399" s="7" t="str">
        <f t="shared" si="26"/>
        <v>High Humidity</v>
      </c>
      <c r="T399" s="7" t="str">
        <f t="shared" si="27"/>
        <v>Low Wind</v>
      </c>
    </row>
    <row r="400" spans="1:20" x14ac:dyDescent="0.25">
      <c r="A400" s="7" t="s">
        <v>458</v>
      </c>
      <c r="B400" s="10">
        <v>45802</v>
      </c>
      <c r="C400" s="11" t="s">
        <v>67</v>
      </c>
      <c r="D400" s="11" t="s">
        <v>18</v>
      </c>
      <c r="E400" s="7" t="s">
        <v>61</v>
      </c>
      <c r="F400" s="9">
        <v>74.900000000000006</v>
      </c>
      <c r="G400" s="9">
        <v>105.7</v>
      </c>
      <c r="H400" s="9">
        <v>24.3</v>
      </c>
      <c r="I400" s="9">
        <v>27.6</v>
      </c>
      <c r="J400" s="9">
        <v>0.53</v>
      </c>
      <c r="K400" s="9">
        <v>46.5</v>
      </c>
      <c r="L400" s="7">
        <v>26.8</v>
      </c>
      <c r="M400" s="7">
        <v>42.5</v>
      </c>
      <c r="N400" s="7">
        <v>2.2000000000000002</v>
      </c>
      <c r="O400" s="7">
        <v>261</v>
      </c>
      <c r="P400" s="7" t="s">
        <v>28</v>
      </c>
      <c r="Q400" s="7" t="str">
        <f t="shared" si="24"/>
        <v>Unhealthy</v>
      </c>
      <c r="R400" s="7" t="str">
        <f t="shared" si="25"/>
        <v>Normal</v>
      </c>
      <c r="S400" s="7" t="str">
        <f t="shared" si="26"/>
        <v>Normal Humidity</v>
      </c>
      <c r="T400" s="7" t="str">
        <f t="shared" si="27"/>
        <v>Moderate Wind</v>
      </c>
    </row>
    <row r="401" spans="1:20" x14ac:dyDescent="0.25">
      <c r="A401" s="7" t="s">
        <v>459</v>
      </c>
      <c r="B401" s="10">
        <v>45755</v>
      </c>
      <c r="C401" s="11" t="s">
        <v>35</v>
      </c>
      <c r="D401" s="11" t="s">
        <v>36</v>
      </c>
      <c r="E401" s="7" t="s">
        <v>27</v>
      </c>
      <c r="F401" s="9">
        <v>18.2</v>
      </c>
      <c r="G401" s="9">
        <v>153.30000000000001</v>
      </c>
      <c r="H401" s="9">
        <v>11.3</v>
      </c>
      <c r="I401" s="9">
        <v>16</v>
      </c>
      <c r="J401" s="9">
        <v>0.56999999999999995</v>
      </c>
      <c r="K401" s="9">
        <v>12.4</v>
      </c>
      <c r="L401" s="7">
        <v>25.4</v>
      </c>
      <c r="M401" s="7">
        <v>54.9</v>
      </c>
      <c r="N401" s="7">
        <v>1.1000000000000001</v>
      </c>
      <c r="O401" s="7">
        <v>169</v>
      </c>
      <c r="P401" s="7" t="s">
        <v>33</v>
      </c>
      <c r="Q401" s="7" t="str">
        <f t="shared" si="24"/>
        <v>VeryUnhealthy</v>
      </c>
      <c r="R401" s="7" t="str">
        <f t="shared" si="25"/>
        <v>Normal</v>
      </c>
      <c r="S401" s="7" t="str">
        <f t="shared" si="26"/>
        <v>Normal Humidity</v>
      </c>
      <c r="T401" s="7" t="str">
        <f t="shared" si="27"/>
        <v>Low Wind</v>
      </c>
    </row>
    <row r="402" spans="1:20" x14ac:dyDescent="0.25">
      <c r="A402" s="7" t="s">
        <v>460</v>
      </c>
      <c r="B402" s="10">
        <v>45694</v>
      </c>
      <c r="C402" s="11" t="s">
        <v>17</v>
      </c>
      <c r="D402" s="11" t="s">
        <v>18</v>
      </c>
      <c r="E402" s="7" t="s">
        <v>19</v>
      </c>
      <c r="F402" s="9">
        <v>45.4</v>
      </c>
      <c r="G402" s="9">
        <v>56.3</v>
      </c>
      <c r="H402" s="9">
        <v>9.5</v>
      </c>
      <c r="I402" s="9">
        <v>15.1</v>
      </c>
      <c r="J402" s="9">
        <v>0.61</v>
      </c>
      <c r="K402" s="9">
        <v>22.8</v>
      </c>
      <c r="L402" s="7">
        <v>27</v>
      </c>
      <c r="M402" s="7">
        <v>37.200000000000003</v>
      </c>
      <c r="N402" s="7">
        <v>0.3</v>
      </c>
      <c r="O402" s="7">
        <v>153</v>
      </c>
      <c r="P402" s="7" t="s">
        <v>33</v>
      </c>
      <c r="Q402" s="7" t="str">
        <f t="shared" si="24"/>
        <v>Moderate</v>
      </c>
      <c r="R402" s="7" t="str">
        <f t="shared" si="25"/>
        <v>Normal</v>
      </c>
      <c r="S402" s="7" t="str">
        <f t="shared" si="26"/>
        <v>Normal Humidity</v>
      </c>
      <c r="T402" s="7" t="str">
        <f t="shared" si="27"/>
        <v>Low Wind</v>
      </c>
    </row>
    <row r="403" spans="1:20" x14ac:dyDescent="0.25">
      <c r="A403" s="7" t="s">
        <v>461</v>
      </c>
      <c r="B403" s="10">
        <v>45825</v>
      </c>
      <c r="C403" s="11" t="s">
        <v>50</v>
      </c>
      <c r="D403" s="11" t="s">
        <v>31</v>
      </c>
      <c r="E403" s="7" t="s">
        <v>58</v>
      </c>
      <c r="F403" s="9">
        <v>29.2</v>
      </c>
      <c r="G403" s="9">
        <v>89.4</v>
      </c>
      <c r="H403" s="9">
        <v>30</v>
      </c>
      <c r="I403" s="9">
        <v>16.399999999999999</v>
      </c>
      <c r="J403" s="9">
        <v>0.79</v>
      </c>
      <c r="K403" s="9">
        <v>50.9</v>
      </c>
      <c r="L403" s="7">
        <v>34.700000000000003</v>
      </c>
      <c r="M403" s="7">
        <v>78.8</v>
      </c>
      <c r="N403" s="7">
        <v>2</v>
      </c>
      <c r="O403" s="7">
        <v>183</v>
      </c>
      <c r="P403" s="7" t="s">
        <v>33</v>
      </c>
      <c r="Q403" s="7" t="str">
        <f t="shared" si="24"/>
        <v>Moderate</v>
      </c>
      <c r="R403" s="7" t="str">
        <f t="shared" si="25"/>
        <v>Hot</v>
      </c>
      <c r="S403" s="7" t="str">
        <f t="shared" si="26"/>
        <v>High Humidity</v>
      </c>
      <c r="T403" s="7" t="str">
        <f t="shared" si="27"/>
        <v>Moderate Wind</v>
      </c>
    </row>
    <row r="404" spans="1:20" x14ac:dyDescent="0.25">
      <c r="A404" s="7" t="s">
        <v>462</v>
      </c>
      <c r="B404" s="10">
        <v>45863</v>
      </c>
      <c r="C404" s="11" t="s">
        <v>52</v>
      </c>
      <c r="D404" s="11" t="s">
        <v>31</v>
      </c>
      <c r="E404" s="7" t="s">
        <v>91</v>
      </c>
      <c r="F404" s="9">
        <v>44.1</v>
      </c>
      <c r="G404" s="9">
        <v>93.3</v>
      </c>
      <c r="H404" s="9">
        <v>25.4</v>
      </c>
      <c r="I404" s="9">
        <v>11.9</v>
      </c>
      <c r="J404" s="9">
        <v>0.21</v>
      </c>
      <c r="K404" s="9">
        <v>77.599999999999994</v>
      </c>
      <c r="L404" s="7">
        <v>20.9</v>
      </c>
      <c r="M404" s="7">
        <v>83.1</v>
      </c>
      <c r="N404" s="7">
        <v>1.9</v>
      </c>
      <c r="O404" s="7">
        <v>200</v>
      </c>
      <c r="P404" s="7" t="s">
        <v>33</v>
      </c>
      <c r="Q404" s="7" t="str">
        <f t="shared" si="24"/>
        <v>Moderate</v>
      </c>
      <c r="R404" s="7" t="str">
        <f t="shared" si="25"/>
        <v>Normal</v>
      </c>
      <c r="S404" s="7" t="str">
        <f t="shared" si="26"/>
        <v>High Humidity</v>
      </c>
      <c r="T404" s="7" t="str">
        <f t="shared" si="27"/>
        <v>Low Wind</v>
      </c>
    </row>
    <row r="405" spans="1:20" x14ac:dyDescent="0.25">
      <c r="A405" s="7" t="s">
        <v>463</v>
      </c>
      <c r="B405" s="10">
        <v>45709</v>
      </c>
      <c r="C405" s="11" t="s">
        <v>30</v>
      </c>
      <c r="D405" s="11" t="s">
        <v>31</v>
      </c>
      <c r="E405" s="7" t="s">
        <v>40</v>
      </c>
      <c r="F405" s="9">
        <v>20.100000000000001</v>
      </c>
      <c r="G405" s="9">
        <v>171.5</v>
      </c>
      <c r="H405" s="9">
        <v>29.3</v>
      </c>
      <c r="I405" s="9">
        <v>10.7</v>
      </c>
      <c r="J405" s="9">
        <v>0.49</v>
      </c>
      <c r="K405" s="9">
        <v>127.4</v>
      </c>
      <c r="L405" s="7">
        <v>20.3</v>
      </c>
      <c r="M405" s="7">
        <v>60.5</v>
      </c>
      <c r="N405" s="7">
        <v>1.9</v>
      </c>
      <c r="O405" s="7">
        <v>244</v>
      </c>
      <c r="P405" s="7" t="s">
        <v>28</v>
      </c>
      <c r="Q405" s="7" t="str">
        <f t="shared" si="24"/>
        <v>VeryUnhealthy</v>
      </c>
      <c r="R405" s="7" t="str">
        <f t="shared" si="25"/>
        <v>Normal</v>
      </c>
      <c r="S405" s="7" t="str">
        <f t="shared" si="26"/>
        <v>High Humidity</v>
      </c>
      <c r="T405" s="7" t="str">
        <f t="shared" si="27"/>
        <v>Low Wind</v>
      </c>
    </row>
    <row r="406" spans="1:20" x14ac:dyDescent="0.25">
      <c r="A406" s="7" t="s">
        <v>464</v>
      </c>
      <c r="B406" s="10">
        <v>46011</v>
      </c>
      <c r="C406" s="11" t="s">
        <v>26</v>
      </c>
      <c r="D406" s="11" t="s">
        <v>23</v>
      </c>
      <c r="E406" s="7" t="s">
        <v>97</v>
      </c>
      <c r="F406" s="9">
        <v>59.7</v>
      </c>
      <c r="G406" s="9">
        <v>25.1</v>
      </c>
      <c r="H406" s="9">
        <v>56.7</v>
      </c>
      <c r="I406" s="9">
        <v>22.2</v>
      </c>
      <c r="J406" s="9">
        <v>0.65</v>
      </c>
      <c r="K406" s="9">
        <v>7.6</v>
      </c>
      <c r="L406" s="7">
        <v>23.7</v>
      </c>
      <c r="M406" s="7">
        <v>91.2</v>
      </c>
      <c r="N406" s="7">
        <v>3.4</v>
      </c>
      <c r="O406" s="7">
        <v>192</v>
      </c>
      <c r="P406" s="7" t="s">
        <v>33</v>
      </c>
      <c r="Q406" s="7" t="str">
        <f t="shared" si="24"/>
        <v>Good</v>
      </c>
      <c r="R406" s="7" t="str">
        <f t="shared" si="25"/>
        <v>Normal</v>
      </c>
      <c r="S406" s="7" t="str">
        <f t="shared" si="26"/>
        <v>High Humidity</v>
      </c>
      <c r="T406" s="7" t="str">
        <f t="shared" si="27"/>
        <v>Moderate Wind</v>
      </c>
    </row>
    <row r="407" spans="1:20" x14ac:dyDescent="0.25">
      <c r="A407" s="7" t="s">
        <v>465</v>
      </c>
      <c r="B407" s="10">
        <v>45769</v>
      </c>
      <c r="C407" s="11" t="s">
        <v>93</v>
      </c>
      <c r="D407" s="11" t="s">
        <v>36</v>
      </c>
      <c r="E407" s="7" t="s">
        <v>40</v>
      </c>
      <c r="F407" s="9">
        <v>67.3</v>
      </c>
      <c r="G407" s="9">
        <v>72.400000000000006</v>
      </c>
      <c r="H407" s="9">
        <v>57.6</v>
      </c>
      <c r="I407" s="9">
        <v>7.1</v>
      </c>
      <c r="J407" s="9">
        <v>0.98</v>
      </c>
      <c r="K407" s="9">
        <v>14</v>
      </c>
      <c r="L407" s="7">
        <v>29.4</v>
      </c>
      <c r="M407" s="7">
        <v>67.3</v>
      </c>
      <c r="N407" s="7">
        <v>3.2</v>
      </c>
      <c r="O407" s="7">
        <v>237</v>
      </c>
      <c r="P407" s="7" t="s">
        <v>28</v>
      </c>
      <c r="Q407" s="7" t="str">
        <f t="shared" si="24"/>
        <v>Moderate</v>
      </c>
      <c r="R407" s="7" t="str">
        <f t="shared" si="25"/>
        <v>Normal</v>
      </c>
      <c r="S407" s="7" t="str">
        <f t="shared" si="26"/>
        <v>High Humidity</v>
      </c>
      <c r="T407" s="7" t="str">
        <f t="shared" si="27"/>
        <v>Moderate Wind</v>
      </c>
    </row>
    <row r="408" spans="1:20" x14ac:dyDescent="0.25">
      <c r="A408" s="7" t="s">
        <v>466</v>
      </c>
      <c r="B408" s="10">
        <v>45878</v>
      </c>
      <c r="C408" s="11" t="s">
        <v>17</v>
      </c>
      <c r="D408" s="11" t="s">
        <v>18</v>
      </c>
      <c r="E408" s="7" t="s">
        <v>24</v>
      </c>
      <c r="F408" s="9">
        <v>44.4</v>
      </c>
      <c r="G408" s="9">
        <v>35</v>
      </c>
      <c r="H408" s="9">
        <v>22.4</v>
      </c>
      <c r="I408" s="9">
        <v>14.6</v>
      </c>
      <c r="J408" s="9">
        <v>1.47</v>
      </c>
      <c r="K408" s="9">
        <v>25.8</v>
      </c>
      <c r="L408" s="7">
        <v>19.899999999999999</v>
      </c>
      <c r="M408" s="7">
        <v>66.5</v>
      </c>
      <c r="N408" s="7">
        <v>3.6</v>
      </c>
      <c r="O408" s="7">
        <v>170</v>
      </c>
      <c r="P408" s="7" t="s">
        <v>33</v>
      </c>
      <c r="Q408" s="7" t="str">
        <f t="shared" si="24"/>
        <v>Good</v>
      </c>
      <c r="R408" s="7" t="str">
        <f t="shared" si="25"/>
        <v>Cool</v>
      </c>
      <c r="S408" s="7" t="str">
        <f t="shared" si="26"/>
        <v>High Humidity</v>
      </c>
      <c r="T408" s="7" t="str">
        <f t="shared" si="27"/>
        <v>Moderate Wind</v>
      </c>
    </row>
    <row r="409" spans="1:20" x14ac:dyDescent="0.25">
      <c r="A409" s="7" t="s">
        <v>467</v>
      </c>
      <c r="B409" s="10">
        <v>45857</v>
      </c>
      <c r="C409" s="11" t="s">
        <v>52</v>
      </c>
      <c r="D409" s="11" t="s">
        <v>31</v>
      </c>
      <c r="E409" s="7" t="s">
        <v>19</v>
      </c>
      <c r="F409" s="9">
        <v>37</v>
      </c>
      <c r="G409" s="9">
        <v>52.4</v>
      </c>
      <c r="H409" s="9">
        <v>22</v>
      </c>
      <c r="I409" s="9">
        <v>3.3</v>
      </c>
      <c r="J409" s="9">
        <v>0.68</v>
      </c>
      <c r="K409" s="9">
        <v>6.8</v>
      </c>
      <c r="L409" s="7">
        <v>30.8</v>
      </c>
      <c r="M409" s="7">
        <v>51.3</v>
      </c>
      <c r="N409" s="7">
        <v>3</v>
      </c>
      <c r="O409" s="7">
        <v>133</v>
      </c>
      <c r="P409" s="7" t="s">
        <v>33</v>
      </c>
      <c r="Q409" s="7" t="str">
        <f t="shared" si="24"/>
        <v>Moderate</v>
      </c>
      <c r="R409" s="7" t="str">
        <f t="shared" si="25"/>
        <v>Hot</v>
      </c>
      <c r="S409" s="7" t="str">
        <f t="shared" si="26"/>
        <v>Normal Humidity</v>
      </c>
      <c r="T409" s="7" t="str">
        <f t="shared" si="27"/>
        <v>Moderate Wind</v>
      </c>
    </row>
    <row r="410" spans="1:20" x14ac:dyDescent="0.25">
      <c r="A410" s="7" t="s">
        <v>468</v>
      </c>
      <c r="B410" s="10">
        <v>45909</v>
      </c>
      <c r="C410" s="11" t="s">
        <v>38</v>
      </c>
      <c r="D410" s="11" t="s">
        <v>39</v>
      </c>
      <c r="E410" s="7" t="s">
        <v>43</v>
      </c>
      <c r="F410" s="9">
        <v>46.2</v>
      </c>
      <c r="G410" s="9">
        <v>42.7</v>
      </c>
      <c r="H410" s="9">
        <v>16</v>
      </c>
      <c r="I410" s="9">
        <v>5.2</v>
      </c>
      <c r="J410" s="9">
        <v>0.79</v>
      </c>
      <c r="K410" s="9">
        <v>22.8</v>
      </c>
      <c r="L410" s="7">
        <v>20.2</v>
      </c>
      <c r="M410" s="7">
        <v>54.9</v>
      </c>
      <c r="N410" s="7">
        <v>1</v>
      </c>
      <c r="O410" s="7">
        <v>148</v>
      </c>
      <c r="P410" s="7" t="s">
        <v>33</v>
      </c>
      <c r="Q410" s="7" t="str">
        <f t="shared" si="24"/>
        <v>Good</v>
      </c>
      <c r="R410" s="7" t="str">
        <f t="shared" si="25"/>
        <v>Normal</v>
      </c>
      <c r="S410" s="7" t="str">
        <f t="shared" si="26"/>
        <v>Normal Humidity</v>
      </c>
      <c r="T410" s="7" t="str">
        <f t="shared" si="27"/>
        <v>Low Wind</v>
      </c>
    </row>
    <row r="411" spans="1:20" x14ac:dyDescent="0.25">
      <c r="A411" s="7" t="s">
        <v>469</v>
      </c>
      <c r="B411" s="10">
        <v>45810</v>
      </c>
      <c r="C411" s="11" t="s">
        <v>50</v>
      </c>
      <c r="D411" s="11" t="s">
        <v>31</v>
      </c>
      <c r="E411" s="7" t="s">
        <v>91</v>
      </c>
      <c r="F411" s="9">
        <v>68.8</v>
      </c>
      <c r="G411" s="9">
        <v>103.1</v>
      </c>
      <c r="H411" s="9">
        <v>24.7</v>
      </c>
      <c r="I411" s="9">
        <v>1.7</v>
      </c>
      <c r="J411" s="9">
        <v>0.38</v>
      </c>
      <c r="K411" s="9">
        <v>3.9</v>
      </c>
      <c r="L411" s="7">
        <v>21.5</v>
      </c>
      <c r="M411" s="7">
        <v>53.6</v>
      </c>
      <c r="N411" s="7">
        <v>0.1</v>
      </c>
      <c r="O411" s="7">
        <v>209</v>
      </c>
      <c r="P411" s="7" t="s">
        <v>28</v>
      </c>
      <c r="Q411" s="7" t="str">
        <f t="shared" si="24"/>
        <v>Unhealthy</v>
      </c>
      <c r="R411" s="7" t="str">
        <f t="shared" si="25"/>
        <v>Normal</v>
      </c>
      <c r="S411" s="7" t="str">
        <f t="shared" si="26"/>
        <v>Normal Humidity</v>
      </c>
      <c r="T411" s="7" t="str">
        <f t="shared" si="27"/>
        <v>Low Wind</v>
      </c>
    </row>
    <row r="412" spans="1:20" x14ac:dyDescent="0.25">
      <c r="A412" s="7" t="s">
        <v>470</v>
      </c>
      <c r="B412" s="10">
        <v>45971</v>
      </c>
      <c r="C412" s="11" t="s">
        <v>30</v>
      </c>
      <c r="D412" s="11" t="s">
        <v>31</v>
      </c>
      <c r="E412" s="7" t="s">
        <v>55</v>
      </c>
      <c r="F412" s="9">
        <v>56.4</v>
      </c>
      <c r="G412" s="9">
        <v>87</v>
      </c>
      <c r="H412" s="9">
        <v>30.7</v>
      </c>
      <c r="I412" s="9">
        <v>23.6</v>
      </c>
      <c r="J412" s="9">
        <v>0.61</v>
      </c>
      <c r="K412" s="9">
        <v>2</v>
      </c>
      <c r="L412" s="7">
        <v>23.8</v>
      </c>
      <c r="M412" s="7">
        <v>63.9</v>
      </c>
      <c r="N412" s="7">
        <v>2.1</v>
      </c>
      <c r="O412" s="7">
        <v>204</v>
      </c>
      <c r="P412" s="7" t="s">
        <v>28</v>
      </c>
      <c r="Q412" s="7" t="str">
        <f t="shared" si="24"/>
        <v>Moderate</v>
      </c>
      <c r="R412" s="7" t="str">
        <f t="shared" si="25"/>
        <v>Normal</v>
      </c>
      <c r="S412" s="7" t="str">
        <f t="shared" si="26"/>
        <v>High Humidity</v>
      </c>
      <c r="T412" s="7" t="str">
        <f t="shared" si="27"/>
        <v>Moderate Wind</v>
      </c>
    </row>
    <row r="413" spans="1:20" x14ac:dyDescent="0.25">
      <c r="A413" s="7" t="s">
        <v>471</v>
      </c>
      <c r="B413" s="10">
        <v>45690</v>
      </c>
      <c r="C413" s="11" t="s">
        <v>50</v>
      </c>
      <c r="D413" s="11" t="s">
        <v>31</v>
      </c>
      <c r="E413" s="7" t="s">
        <v>74</v>
      </c>
      <c r="F413" s="9">
        <v>48.1</v>
      </c>
      <c r="G413" s="9">
        <v>50.2</v>
      </c>
      <c r="H413" s="9">
        <v>22.8</v>
      </c>
      <c r="I413" s="9">
        <v>2</v>
      </c>
      <c r="J413" s="9">
        <v>0.38</v>
      </c>
      <c r="K413" s="9">
        <v>26.2</v>
      </c>
      <c r="L413" s="7">
        <v>30</v>
      </c>
      <c r="M413" s="7">
        <v>77.900000000000006</v>
      </c>
      <c r="N413" s="7">
        <v>3.3</v>
      </c>
      <c r="O413" s="7">
        <v>151</v>
      </c>
      <c r="P413" s="7" t="s">
        <v>33</v>
      </c>
      <c r="Q413" s="7" t="str">
        <f t="shared" si="24"/>
        <v>Moderate</v>
      </c>
      <c r="R413" s="7" t="str">
        <f t="shared" si="25"/>
        <v>Normal</v>
      </c>
      <c r="S413" s="7" t="str">
        <f t="shared" si="26"/>
        <v>High Humidity</v>
      </c>
      <c r="T413" s="7" t="str">
        <f t="shared" si="27"/>
        <v>Moderate Wind</v>
      </c>
    </row>
    <row r="414" spans="1:20" x14ac:dyDescent="0.25">
      <c r="A414" s="7" t="s">
        <v>472</v>
      </c>
      <c r="B414" s="10">
        <v>45894</v>
      </c>
      <c r="C414" s="11" t="s">
        <v>81</v>
      </c>
      <c r="D414" s="11" t="s">
        <v>39</v>
      </c>
      <c r="E414" s="7" t="s">
        <v>68</v>
      </c>
      <c r="F414" s="9">
        <v>21</v>
      </c>
      <c r="G414" s="9">
        <v>119.3</v>
      </c>
      <c r="H414" s="9">
        <v>32</v>
      </c>
      <c r="I414" s="9">
        <v>13.7</v>
      </c>
      <c r="J414" s="9">
        <v>0.06</v>
      </c>
      <c r="K414" s="9">
        <v>41.1</v>
      </c>
      <c r="L414" s="7">
        <v>30.3</v>
      </c>
      <c r="M414" s="7">
        <v>64</v>
      </c>
      <c r="N414" s="7">
        <v>2.9</v>
      </c>
      <c r="O414" s="7">
        <v>166</v>
      </c>
      <c r="P414" s="7" t="s">
        <v>33</v>
      </c>
      <c r="Q414" s="7" t="str">
        <f t="shared" si="24"/>
        <v>Unhealthy</v>
      </c>
      <c r="R414" s="7" t="str">
        <f t="shared" si="25"/>
        <v>Hot</v>
      </c>
      <c r="S414" s="7" t="str">
        <f t="shared" si="26"/>
        <v>High Humidity</v>
      </c>
      <c r="T414" s="7" t="str">
        <f t="shared" si="27"/>
        <v>Moderate Wind</v>
      </c>
    </row>
    <row r="415" spans="1:20" x14ac:dyDescent="0.25">
      <c r="A415" s="7" t="s">
        <v>473</v>
      </c>
      <c r="B415" s="10">
        <v>45930</v>
      </c>
      <c r="C415" s="11" t="s">
        <v>42</v>
      </c>
      <c r="D415" s="11" t="s">
        <v>23</v>
      </c>
      <c r="E415" s="7" t="s">
        <v>61</v>
      </c>
      <c r="F415" s="9">
        <v>75.900000000000006</v>
      </c>
      <c r="G415" s="9">
        <v>220.1</v>
      </c>
      <c r="H415" s="9">
        <v>39</v>
      </c>
      <c r="I415" s="9">
        <v>19.8</v>
      </c>
      <c r="J415" s="9">
        <v>0.51</v>
      </c>
      <c r="K415" s="9">
        <v>45.6</v>
      </c>
      <c r="L415" s="7">
        <v>23</v>
      </c>
      <c r="M415" s="7">
        <v>50.4</v>
      </c>
      <c r="N415" s="7">
        <v>2</v>
      </c>
      <c r="O415" s="7">
        <v>343</v>
      </c>
      <c r="P415" s="7" t="s">
        <v>20</v>
      </c>
      <c r="Q415" s="7" t="str">
        <f t="shared" si="24"/>
        <v>VeryUnhealthy</v>
      </c>
      <c r="R415" s="7" t="str">
        <f t="shared" si="25"/>
        <v>Normal</v>
      </c>
      <c r="S415" s="7" t="str">
        <f t="shared" si="26"/>
        <v>Normal Humidity</v>
      </c>
      <c r="T415" s="7" t="str">
        <f t="shared" si="27"/>
        <v>Moderate Wind</v>
      </c>
    </row>
    <row r="416" spans="1:20" x14ac:dyDescent="0.25">
      <c r="A416" s="7" t="s">
        <v>474</v>
      </c>
      <c r="B416" s="10">
        <v>45942</v>
      </c>
      <c r="C416" s="11" t="s">
        <v>99</v>
      </c>
      <c r="D416" s="11" t="s">
        <v>36</v>
      </c>
      <c r="E416" s="7" t="s">
        <v>27</v>
      </c>
      <c r="F416" s="9">
        <v>64.7</v>
      </c>
      <c r="G416" s="9">
        <v>57.4</v>
      </c>
      <c r="H416" s="9">
        <v>8.6</v>
      </c>
      <c r="I416" s="9">
        <v>9.1999999999999993</v>
      </c>
      <c r="J416" s="9">
        <v>0.66</v>
      </c>
      <c r="K416" s="9">
        <v>24.4</v>
      </c>
      <c r="L416" s="7">
        <v>44.8</v>
      </c>
      <c r="M416" s="7">
        <v>80.2</v>
      </c>
      <c r="N416" s="7">
        <v>2.7</v>
      </c>
      <c r="O416" s="7">
        <v>182</v>
      </c>
      <c r="P416" s="7" t="s">
        <v>33</v>
      </c>
      <c r="Q416" s="7" t="str">
        <f t="shared" si="24"/>
        <v>Moderate</v>
      </c>
      <c r="R416" s="7" t="str">
        <f t="shared" si="25"/>
        <v>Hot</v>
      </c>
      <c r="S416" s="7" t="str">
        <f t="shared" si="26"/>
        <v>High Humidity</v>
      </c>
      <c r="T416" s="7" t="str">
        <f t="shared" si="27"/>
        <v>Moderate Wind</v>
      </c>
    </row>
    <row r="417" spans="1:20" x14ac:dyDescent="0.25">
      <c r="A417" s="7" t="s">
        <v>475</v>
      </c>
      <c r="B417" s="10">
        <v>46011</v>
      </c>
      <c r="C417" s="11" t="s">
        <v>93</v>
      </c>
      <c r="D417" s="11" t="s">
        <v>36</v>
      </c>
      <c r="E417" s="7" t="s">
        <v>24</v>
      </c>
      <c r="F417" s="9">
        <v>38.1</v>
      </c>
      <c r="G417" s="9">
        <v>65</v>
      </c>
      <c r="H417" s="9">
        <v>30.9</v>
      </c>
      <c r="I417" s="9">
        <v>12.7</v>
      </c>
      <c r="J417" s="9">
        <v>0.09</v>
      </c>
      <c r="K417" s="9">
        <v>42.5</v>
      </c>
      <c r="L417" s="7">
        <v>31.4</v>
      </c>
      <c r="M417" s="7">
        <v>71.599999999999994</v>
      </c>
      <c r="N417" s="7">
        <v>1.4</v>
      </c>
      <c r="O417" s="7">
        <v>158</v>
      </c>
      <c r="P417" s="7" t="s">
        <v>33</v>
      </c>
      <c r="Q417" s="7" t="str">
        <f t="shared" si="24"/>
        <v>Moderate</v>
      </c>
      <c r="R417" s="7" t="str">
        <f t="shared" si="25"/>
        <v>Hot</v>
      </c>
      <c r="S417" s="7" t="str">
        <f t="shared" si="26"/>
        <v>High Humidity</v>
      </c>
      <c r="T417" s="7" t="str">
        <f t="shared" si="27"/>
        <v>Low Wind</v>
      </c>
    </row>
    <row r="418" spans="1:20" x14ac:dyDescent="0.25">
      <c r="A418" s="7" t="s">
        <v>476</v>
      </c>
      <c r="B418" s="10">
        <v>45993</v>
      </c>
      <c r="C418" s="11" t="s">
        <v>17</v>
      </c>
      <c r="D418" s="11" t="s">
        <v>18</v>
      </c>
      <c r="E418" s="7" t="s">
        <v>32</v>
      </c>
      <c r="F418" s="9">
        <v>66.7</v>
      </c>
      <c r="G418" s="9">
        <v>44.8</v>
      </c>
      <c r="H418" s="9">
        <v>40.1</v>
      </c>
      <c r="I418" s="9">
        <v>8.8000000000000007</v>
      </c>
      <c r="J418" s="9">
        <v>1.27</v>
      </c>
      <c r="K418" s="9">
        <v>59.9</v>
      </c>
      <c r="L418" s="7">
        <v>30.8</v>
      </c>
      <c r="M418" s="7">
        <v>94.1</v>
      </c>
      <c r="N418" s="7">
        <v>2.7</v>
      </c>
      <c r="O418" s="7">
        <v>233</v>
      </c>
      <c r="P418" s="7" t="s">
        <v>28</v>
      </c>
      <c r="Q418" s="7" t="str">
        <f t="shared" si="24"/>
        <v>Good</v>
      </c>
      <c r="R418" s="7" t="str">
        <f t="shared" si="25"/>
        <v>Hot</v>
      </c>
      <c r="S418" s="7" t="str">
        <f t="shared" si="26"/>
        <v>High Humidity</v>
      </c>
      <c r="T418" s="7" t="str">
        <f t="shared" si="27"/>
        <v>Moderate Wind</v>
      </c>
    </row>
    <row r="419" spans="1:20" x14ac:dyDescent="0.25">
      <c r="A419" s="7" t="s">
        <v>477</v>
      </c>
      <c r="B419" s="10">
        <v>45743</v>
      </c>
      <c r="C419" s="11" t="s">
        <v>54</v>
      </c>
      <c r="D419" s="11" t="s">
        <v>18</v>
      </c>
      <c r="E419" s="7" t="s">
        <v>32</v>
      </c>
      <c r="F419" s="9">
        <v>19.2</v>
      </c>
      <c r="G419" s="9">
        <v>115.6</v>
      </c>
      <c r="H419" s="9">
        <v>15.9</v>
      </c>
      <c r="I419" s="9">
        <v>24.8</v>
      </c>
      <c r="J419" s="9">
        <v>0.89</v>
      </c>
      <c r="K419" s="9">
        <v>40.799999999999997</v>
      </c>
      <c r="L419" s="7">
        <v>32.6</v>
      </c>
      <c r="M419" s="7">
        <v>54.4</v>
      </c>
      <c r="N419" s="7">
        <v>3.5</v>
      </c>
      <c r="O419" s="7">
        <v>177</v>
      </c>
      <c r="P419" s="7" t="s">
        <v>33</v>
      </c>
      <c r="Q419" s="7" t="str">
        <f t="shared" si="24"/>
        <v>Unhealthy</v>
      </c>
      <c r="R419" s="7" t="str">
        <f t="shared" si="25"/>
        <v>Hot</v>
      </c>
      <c r="S419" s="7" t="str">
        <f t="shared" si="26"/>
        <v>Normal Humidity</v>
      </c>
      <c r="T419" s="7" t="str">
        <f t="shared" si="27"/>
        <v>Moderate Wind</v>
      </c>
    </row>
    <row r="420" spans="1:20" x14ac:dyDescent="0.25">
      <c r="A420" s="7" t="s">
        <v>478</v>
      </c>
      <c r="B420" s="10">
        <v>45794</v>
      </c>
      <c r="C420" s="11" t="s">
        <v>93</v>
      </c>
      <c r="D420" s="11" t="s">
        <v>36</v>
      </c>
      <c r="E420" s="7" t="s">
        <v>43</v>
      </c>
      <c r="F420" s="9">
        <v>26.3</v>
      </c>
      <c r="G420" s="9">
        <v>75</v>
      </c>
      <c r="H420" s="9">
        <v>28.5</v>
      </c>
      <c r="I420" s="9">
        <v>7.5</v>
      </c>
      <c r="J420" s="9">
        <v>0.99</v>
      </c>
      <c r="K420" s="9">
        <v>20.8</v>
      </c>
      <c r="L420" s="7">
        <v>21.8</v>
      </c>
      <c r="M420" s="7">
        <v>76.599999999999994</v>
      </c>
      <c r="N420" s="7">
        <v>2.8</v>
      </c>
      <c r="O420" s="7">
        <v>153</v>
      </c>
      <c r="P420" s="7" t="s">
        <v>33</v>
      </c>
      <c r="Q420" s="7" t="str">
        <f t="shared" si="24"/>
        <v>Moderate</v>
      </c>
      <c r="R420" s="7" t="str">
        <f t="shared" si="25"/>
        <v>Normal</v>
      </c>
      <c r="S420" s="7" t="str">
        <f t="shared" si="26"/>
        <v>High Humidity</v>
      </c>
      <c r="T420" s="7" t="str">
        <f t="shared" si="27"/>
        <v>Moderate Wind</v>
      </c>
    </row>
    <row r="421" spans="1:20" x14ac:dyDescent="0.25">
      <c r="A421" s="7" t="s">
        <v>479</v>
      </c>
      <c r="B421" s="10">
        <v>45738</v>
      </c>
      <c r="C421" s="11" t="s">
        <v>54</v>
      </c>
      <c r="D421" s="11" t="s">
        <v>18</v>
      </c>
      <c r="E421" s="7" t="s">
        <v>45</v>
      </c>
      <c r="F421" s="9">
        <v>108.1</v>
      </c>
      <c r="G421" s="9">
        <v>151.30000000000001</v>
      </c>
      <c r="H421" s="9">
        <v>17.7</v>
      </c>
      <c r="I421" s="9">
        <v>17.3</v>
      </c>
      <c r="J421" s="9">
        <v>0.65</v>
      </c>
      <c r="K421" s="9">
        <v>75.7</v>
      </c>
      <c r="L421" s="7">
        <v>25.5</v>
      </c>
      <c r="M421" s="7">
        <v>85.4</v>
      </c>
      <c r="N421" s="7">
        <v>2.9</v>
      </c>
      <c r="O421" s="7">
        <v>348</v>
      </c>
      <c r="P421" s="7" t="s">
        <v>20</v>
      </c>
      <c r="Q421" s="7" t="str">
        <f t="shared" si="24"/>
        <v>VeryUnhealthy</v>
      </c>
      <c r="R421" s="7" t="str">
        <f t="shared" si="25"/>
        <v>Normal</v>
      </c>
      <c r="S421" s="7" t="str">
        <f t="shared" si="26"/>
        <v>High Humidity</v>
      </c>
      <c r="T421" s="7" t="str">
        <f t="shared" si="27"/>
        <v>Moderate Wind</v>
      </c>
    </row>
    <row r="422" spans="1:20" x14ac:dyDescent="0.25">
      <c r="A422" s="7" t="s">
        <v>480</v>
      </c>
      <c r="B422" s="10">
        <v>45695</v>
      </c>
      <c r="C422" s="11" t="s">
        <v>35</v>
      </c>
      <c r="D422" s="11" t="s">
        <v>36</v>
      </c>
      <c r="E422" s="7" t="s">
        <v>45</v>
      </c>
      <c r="F422" s="9">
        <v>78.7</v>
      </c>
      <c r="G422" s="9">
        <v>153.6</v>
      </c>
      <c r="H422" s="9">
        <v>20.9</v>
      </c>
      <c r="I422" s="9">
        <v>17.899999999999999</v>
      </c>
      <c r="J422" s="9">
        <v>0.3</v>
      </c>
      <c r="K422" s="9">
        <v>59.1</v>
      </c>
      <c r="L422" s="7">
        <v>30.1</v>
      </c>
      <c r="M422" s="7">
        <v>61</v>
      </c>
      <c r="N422" s="7">
        <v>1.6</v>
      </c>
      <c r="O422" s="7">
        <v>289</v>
      </c>
      <c r="P422" s="7" t="s">
        <v>28</v>
      </c>
      <c r="Q422" s="7" t="str">
        <f t="shared" si="24"/>
        <v>VeryUnhealthy</v>
      </c>
      <c r="R422" s="7" t="str">
        <f t="shared" si="25"/>
        <v>Hot</v>
      </c>
      <c r="S422" s="7" t="str">
        <f t="shared" si="26"/>
        <v>High Humidity</v>
      </c>
      <c r="T422" s="7" t="str">
        <f t="shared" si="27"/>
        <v>Low Wind</v>
      </c>
    </row>
    <row r="423" spans="1:20" x14ac:dyDescent="0.25">
      <c r="A423" s="7" t="s">
        <v>481</v>
      </c>
      <c r="B423" s="10">
        <v>45933</v>
      </c>
      <c r="C423" s="11" t="s">
        <v>93</v>
      </c>
      <c r="D423" s="11" t="s">
        <v>36</v>
      </c>
      <c r="E423" s="7" t="s">
        <v>58</v>
      </c>
      <c r="F423" s="9">
        <v>28.5</v>
      </c>
      <c r="G423" s="9">
        <v>27.3</v>
      </c>
      <c r="H423" s="9">
        <v>57.8</v>
      </c>
      <c r="I423" s="9">
        <v>14.3</v>
      </c>
      <c r="J423" s="9">
        <v>0.28999999999999998</v>
      </c>
      <c r="K423" s="9">
        <v>8.5</v>
      </c>
      <c r="L423" s="7">
        <v>24.3</v>
      </c>
      <c r="M423" s="7">
        <v>60</v>
      </c>
      <c r="N423" s="7">
        <v>2.5</v>
      </c>
      <c r="O423" s="7">
        <v>131</v>
      </c>
      <c r="P423" s="7" t="s">
        <v>33</v>
      </c>
      <c r="Q423" s="7" t="str">
        <f t="shared" si="24"/>
        <v>Good</v>
      </c>
      <c r="R423" s="7" t="str">
        <f t="shared" si="25"/>
        <v>Normal</v>
      </c>
      <c r="S423" s="7" t="str">
        <f t="shared" si="26"/>
        <v>Normal Humidity</v>
      </c>
      <c r="T423" s="7" t="str">
        <f t="shared" si="27"/>
        <v>Moderate Wind</v>
      </c>
    </row>
    <row r="424" spans="1:20" x14ac:dyDescent="0.25">
      <c r="A424" s="7" t="s">
        <v>482</v>
      </c>
      <c r="B424" s="10">
        <v>45994</v>
      </c>
      <c r="C424" s="11" t="s">
        <v>64</v>
      </c>
      <c r="D424" s="11" t="s">
        <v>36</v>
      </c>
      <c r="E424" s="7" t="s">
        <v>68</v>
      </c>
      <c r="F424" s="9">
        <v>85.6</v>
      </c>
      <c r="G424" s="9">
        <v>327.3</v>
      </c>
      <c r="H424" s="9">
        <v>54.4</v>
      </c>
      <c r="I424" s="9">
        <v>2.2000000000000002</v>
      </c>
      <c r="J424" s="9">
        <v>0.76</v>
      </c>
      <c r="K424" s="9">
        <v>13.4</v>
      </c>
      <c r="L424" s="7">
        <v>28.3</v>
      </c>
      <c r="M424" s="7">
        <v>68.099999999999994</v>
      </c>
      <c r="N424" s="7">
        <v>2</v>
      </c>
      <c r="O424" s="7">
        <v>420</v>
      </c>
      <c r="P424" s="7" t="s">
        <v>20</v>
      </c>
      <c r="Q424" s="7" t="str">
        <f t="shared" si="24"/>
        <v>VeryUnhealthy</v>
      </c>
      <c r="R424" s="7" t="str">
        <f t="shared" si="25"/>
        <v>Normal</v>
      </c>
      <c r="S424" s="7" t="str">
        <f t="shared" si="26"/>
        <v>High Humidity</v>
      </c>
      <c r="T424" s="7" t="str">
        <f t="shared" si="27"/>
        <v>Moderate Wind</v>
      </c>
    </row>
    <row r="425" spans="1:20" x14ac:dyDescent="0.25">
      <c r="A425" s="7" t="s">
        <v>483</v>
      </c>
      <c r="B425" s="10">
        <v>45823</v>
      </c>
      <c r="C425" s="11" t="s">
        <v>81</v>
      </c>
      <c r="D425" s="11" t="s">
        <v>39</v>
      </c>
      <c r="E425" s="7" t="s">
        <v>40</v>
      </c>
      <c r="F425" s="9">
        <v>43.7</v>
      </c>
      <c r="G425" s="9">
        <v>134.9</v>
      </c>
      <c r="H425" s="9">
        <v>24.5</v>
      </c>
      <c r="I425" s="9">
        <v>18.899999999999999</v>
      </c>
      <c r="J425" s="9">
        <v>1.3</v>
      </c>
      <c r="K425" s="9">
        <v>66</v>
      </c>
      <c r="L425" s="7">
        <v>30</v>
      </c>
      <c r="M425" s="7">
        <v>60.7</v>
      </c>
      <c r="N425" s="7">
        <v>2.1</v>
      </c>
      <c r="O425" s="7">
        <v>253</v>
      </c>
      <c r="P425" s="7" t="s">
        <v>28</v>
      </c>
      <c r="Q425" s="7" t="str">
        <f t="shared" si="24"/>
        <v>Unhealthy</v>
      </c>
      <c r="R425" s="7" t="str">
        <f t="shared" si="25"/>
        <v>Normal</v>
      </c>
      <c r="S425" s="7" t="str">
        <f t="shared" si="26"/>
        <v>High Humidity</v>
      </c>
      <c r="T425" s="7" t="str">
        <f t="shared" si="27"/>
        <v>Moderate Wind</v>
      </c>
    </row>
    <row r="426" spans="1:20" x14ac:dyDescent="0.25">
      <c r="A426" s="7" t="s">
        <v>484</v>
      </c>
      <c r="B426" s="10">
        <v>45986</v>
      </c>
      <c r="C426" s="11" t="s">
        <v>93</v>
      </c>
      <c r="D426" s="11" t="s">
        <v>36</v>
      </c>
      <c r="E426" s="7" t="s">
        <v>32</v>
      </c>
      <c r="F426" s="9">
        <v>30.9</v>
      </c>
      <c r="G426" s="9">
        <v>63.5</v>
      </c>
      <c r="H426" s="9">
        <v>51.9</v>
      </c>
      <c r="I426" s="9">
        <v>16.3</v>
      </c>
      <c r="J426" s="9">
        <v>0.47</v>
      </c>
      <c r="K426" s="9">
        <v>51.5</v>
      </c>
      <c r="L426" s="7">
        <v>29.2</v>
      </c>
      <c r="M426" s="7">
        <v>77</v>
      </c>
      <c r="N426" s="7">
        <v>2</v>
      </c>
      <c r="O426" s="7">
        <v>179</v>
      </c>
      <c r="P426" s="7" t="s">
        <v>33</v>
      </c>
      <c r="Q426" s="7" t="str">
        <f t="shared" si="24"/>
        <v>Moderate</v>
      </c>
      <c r="R426" s="7" t="str">
        <f t="shared" si="25"/>
        <v>Normal</v>
      </c>
      <c r="S426" s="7" t="str">
        <f t="shared" si="26"/>
        <v>High Humidity</v>
      </c>
      <c r="T426" s="7" t="str">
        <f t="shared" si="27"/>
        <v>Moderate Wind</v>
      </c>
    </row>
    <row r="427" spans="1:20" x14ac:dyDescent="0.25">
      <c r="A427" s="7" t="s">
        <v>485</v>
      </c>
      <c r="B427" s="10">
        <v>45672</v>
      </c>
      <c r="C427" s="11" t="s">
        <v>64</v>
      </c>
      <c r="D427" s="11" t="s">
        <v>36</v>
      </c>
      <c r="E427" s="7" t="s">
        <v>97</v>
      </c>
      <c r="F427" s="9">
        <v>134.69999999999999</v>
      </c>
      <c r="G427" s="9">
        <v>149.9</v>
      </c>
      <c r="H427" s="9">
        <v>63.3</v>
      </c>
      <c r="I427" s="9">
        <v>12.8</v>
      </c>
      <c r="J427" s="9">
        <v>0.34</v>
      </c>
      <c r="K427" s="9">
        <v>53.8</v>
      </c>
      <c r="L427" s="7">
        <v>20.6</v>
      </c>
      <c r="M427" s="7">
        <v>77.5</v>
      </c>
      <c r="N427" s="7">
        <v>2.2999999999999998</v>
      </c>
      <c r="O427" s="7">
        <v>405</v>
      </c>
      <c r="P427" s="7" t="s">
        <v>20</v>
      </c>
      <c r="Q427" s="7" t="str">
        <f t="shared" si="24"/>
        <v>Unhealthy</v>
      </c>
      <c r="R427" s="7" t="str">
        <f t="shared" si="25"/>
        <v>Normal</v>
      </c>
      <c r="S427" s="7" t="str">
        <f t="shared" si="26"/>
        <v>High Humidity</v>
      </c>
      <c r="T427" s="7" t="str">
        <f t="shared" si="27"/>
        <v>Moderate Wind</v>
      </c>
    </row>
    <row r="428" spans="1:20" x14ac:dyDescent="0.25">
      <c r="A428" s="7" t="s">
        <v>486</v>
      </c>
      <c r="B428" s="10">
        <v>45935</v>
      </c>
      <c r="C428" s="11" t="s">
        <v>52</v>
      </c>
      <c r="D428" s="11" t="s">
        <v>31</v>
      </c>
      <c r="E428" s="7" t="s">
        <v>40</v>
      </c>
      <c r="F428" s="9">
        <v>22.9</v>
      </c>
      <c r="G428" s="9">
        <v>43.1</v>
      </c>
      <c r="H428" s="9">
        <v>5.9</v>
      </c>
      <c r="I428" s="9">
        <v>7.4</v>
      </c>
      <c r="J428" s="9">
        <v>0.71</v>
      </c>
      <c r="K428" s="9">
        <v>27.3</v>
      </c>
      <c r="L428" s="7">
        <v>21.1</v>
      </c>
      <c r="M428" s="7">
        <v>74.5</v>
      </c>
      <c r="N428" s="7">
        <v>2.2000000000000002</v>
      </c>
      <c r="O428" s="7">
        <v>105</v>
      </c>
      <c r="P428" s="7" t="s">
        <v>33</v>
      </c>
      <c r="Q428" s="7" t="str">
        <f t="shared" si="24"/>
        <v>Good</v>
      </c>
      <c r="R428" s="7" t="str">
        <f t="shared" si="25"/>
        <v>Normal</v>
      </c>
      <c r="S428" s="7" t="str">
        <f t="shared" si="26"/>
        <v>High Humidity</v>
      </c>
      <c r="T428" s="7" t="str">
        <f t="shared" si="27"/>
        <v>Moderate Wind</v>
      </c>
    </row>
    <row r="429" spans="1:20" x14ac:dyDescent="0.25">
      <c r="A429" s="7" t="s">
        <v>487</v>
      </c>
      <c r="B429" s="10">
        <v>45675</v>
      </c>
      <c r="C429" s="11" t="s">
        <v>99</v>
      </c>
      <c r="D429" s="11" t="s">
        <v>36</v>
      </c>
      <c r="E429" s="7" t="s">
        <v>68</v>
      </c>
      <c r="F429" s="9">
        <v>62.5</v>
      </c>
      <c r="G429" s="9">
        <v>31.7</v>
      </c>
      <c r="H429" s="9">
        <v>3.5</v>
      </c>
      <c r="I429" s="9">
        <v>15.3</v>
      </c>
      <c r="J429" s="9">
        <v>0.46</v>
      </c>
      <c r="K429" s="9">
        <v>24</v>
      </c>
      <c r="L429" s="7">
        <v>18.5</v>
      </c>
      <c r="M429" s="7">
        <v>59.9</v>
      </c>
      <c r="N429" s="7">
        <v>1.5</v>
      </c>
      <c r="O429" s="7">
        <v>156</v>
      </c>
      <c r="P429" s="7" t="s">
        <v>33</v>
      </c>
      <c r="Q429" s="7" t="str">
        <f t="shared" si="24"/>
        <v>Good</v>
      </c>
      <c r="R429" s="7" t="str">
        <f t="shared" si="25"/>
        <v>Cool</v>
      </c>
      <c r="S429" s="7" t="str">
        <f t="shared" si="26"/>
        <v>Normal Humidity</v>
      </c>
      <c r="T429" s="7" t="str">
        <f t="shared" si="27"/>
        <v>Low Wind</v>
      </c>
    </row>
    <row r="430" spans="1:20" x14ac:dyDescent="0.25">
      <c r="A430" s="7" t="s">
        <v>488</v>
      </c>
      <c r="B430" s="10">
        <v>45889</v>
      </c>
      <c r="C430" s="11" t="s">
        <v>52</v>
      </c>
      <c r="D430" s="11" t="s">
        <v>31</v>
      </c>
      <c r="E430" s="7" t="s">
        <v>40</v>
      </c>
      <c r="F430" s="9">
        <v>20</v>
      </c>
      <c r="G430" s="9">
        <v>63.4</v>
      </c>
      <c r="H430" s="9">
        <v>59.2</v>
      </c>
      <c r="I430" s="9">
        <v>20.5</v>
      </c>
      <c r="J430" s="9">
        <v>0.47</v>
      </c>
      <c r="K430" s="9">
        <v>36.200000000000003</v>
      </c>
      <c r="L430" s="7">
        <v>36.299999999999997</v>
      </c>
      <c r="M430" s="7">
        <v>65.8</v>
      </c>
      <c r="N430" s="7">
        <v>1.6</v>
      </c>
      <c r="O430" s="7">
        <v>163</v>
      </c>
      <c r="P430" s="7" t="s">
        <v>33</v>
      </c>
      <c r="Q430" s="7" t="str">
        <f t="shared" si="24"/>
        <v>Moderate</v>
      </c>
      <c r="R430" s="7" t="str">
        <f t="shared" si="25"/>
        <v>Hot</v>
      </c>
      <c r="S430" s="7" t="str">
        <f t="shared" si="26"/>
        <v>High Humidity</v>
      </c>
      <c r="T430" s="7" t="str">
        <f t="shared" si="27"/>
        <v>Low Wind</v>
      </c>
    </row>
    <row r="431" spans="1:20" x14ac:dyDescent="0.25">
      <c r="A431" s="7" t="s">
        <v>489</v>
      </c>
      <c r="B431" s="10">
        <v>46016</v>
      </c>
      <c r="C431" s="11" t="s">
        <v>26</v>
      </c>
      <c r="D431" s="11" t="s">
        <v>23</v>
      </c>
      <c r="E431" s="7" t="s">
        <v>32</v>
      </c>
      <c r="F431" s="9">
        <v>26.3</v>
      </c>
      <c r="G431" s="9">
        <v>23.7</v>
      </c>
      <c r="H431" s="9">
        <v>9.6</v>
      </c>
      <c r="I431" s="9">
        <v>5.9</v>
      </c>
      <c r="J431" s="9">
        <v>0.93</v>
      </c>
      <c r="K431" s="9">
        <v>36.1</v>
      </c>
      <c r="L431" s="7">
        <v>28.1</v>
      </c>
      <c r="M431" s="7">
        <v>68.599999999999994</v>
      </c>
      <c r="N431" s="7">
        <v>2.5</v>
      </c>
      <c r="O431" s="7">
        <v>109</v>
      </c>
      <c r="P431" s="7" t="s">
        <v>33</v>
      </c>
      <c r="Q431" s="7" t="str">
        <f t="shared" si="24"/>
        <v>Good</v>
      </c>
      <c r="R431" s="7" t="str">
        <f t="shared" si="25"/>
        <v>Normal</v>
      </c>
      <c r="S431" s="7" t="str">
        <f t="shared" si="26"/>
        <v>High Humidity</v>
      </c>
      <c r="T431" s="7" t="str">
        <f t="shared" si="27"/>
        <v>Moderate Wind</v>
      </c>
    </row>
    <row r="432" spans="1:20" x14ac:dyDescent="0.25">
      <c r="A432" s="7" t="s">
        <v>490</v>
      </c>
      <c r="B432" s="10">
        <v>45801</v>
      </c>
      <c r="C432" s="11" t="s">
        <v>42</v>
      </c>
      <c r="D432" s="11" t="s">
        <v>23</v>
      </c>
      <c r="E432" s="7" t="s">
        <v>45</v>
      </c>
      <c r="F432" s="9">
        <v>70.400000000000006</v>
      </c>
      <c r="G432" s="9">
        <v>89.2</v>
      </c>
      <c r="H432" s="9">
        <v>45.2</v>
      </c>
      <c r="I432" s="9">
        <v>16.100000000000001</v>
      </c>
      <c r="J432" s="9">
        <v>1.3</v>
      </c>
      <c r="K432" s="9">
        <v>51.4</v>
      </c>
      <c r="L432" s="7">
        <v>33.5</v>
      </c>
      <c r="M432" s="7">
        <v>65.900000000000006</v>
      </c>
      <c r="N432" s="7">
        <v>3</v>
      </c>
      <c r="O432" s="7">
        <v>274</v>
      </c>
      <c r="P432" s="7" t="s">
        <v>28</v>
      </c>
      <c r="Q432" s="7" t="str">
        <f t="shared" si="24"/>
        <v>Moderate</v>
      </c>
      <c r="R432" s="7" t="str">
        <f t="shared" si="25"/>
        <v>Hot</v>
      </c>
      <c r="S432" s="7" t="str">
        <f t="shared" si="26"/>
        <v>High Humidity</v>
      </c>
      <c r="T432" s="7" t="str">
        <f t="shared" si="27"/>
        <v>Moderate Wind</v>
      </c>
    </row>
    <row r="433" spans="1:20" x14ac:dyDescent="0.25">
      <c r="A433" s="7" t="s">
        <v>491</v>
      </c>
      <c r="B433" s="10">
        <v>45922</v>
      </c>
      <c r="C433" s="11" t="s">
        <v>64</v>
      </c>
      <c r="D433" s="11" t="s">
        <v>36</v>
      </c>
      <c r="E433" s="7" t="s">
        <v>70</v>
      </c>
      <c r="F433" s="9">
        <v>19.899999999999999</v>
      </c>
      <c r="G433" s="9">
        <v>63.4</v>
      </c>
      <c r="H433" s="9">
        <v>10.3</v>
      </c>
      <c r="I433" s="9">
        <v>33</v>
      </c>
      <c r="J433" s="9">
        <v>0.22</v>
      </c>
      <c r="K433" s="9">
        <v>59.6</v>
      </c>
      <c r="L433" s="7">
        <v>25.2</v>
      </c>
      <c r="M433" s="7">
        <v>71.599999999999994</v>
      </c>
      <c r="N433" s="7">
        <v>3.1</v>
      </c>
      <c r="O433" s="7">
        <v>137</v>
      </c>
      <c r="P433" s="7" t="s">
        <v>33</v>
      </c>
      <c r="Q433" s="7" t="str">
        <f t="shared" si="24"/>
        <v>Moderate</v>
      </c>
      <c r="R433" s="7" t="str">
        <f t="shared" si="25"/>
        <v>Normal</v>
      </c>
      <c r="S433" s="7" t="str">
        <f t="shared" si="26"/>
        <v>High Humidity</v>
      </c>
      <c r="T433" s="7" t="str">
        <f t="shared" si="27"/>
        <v>Moderate Wind</v>
      </c>
    </row>
    <row r="434" spans="1:20" x14ac:dyDescent="0.25">
      <c r="A434" s="7" t="s">
        <v>492</v>
      </c>
      <c r="B434" s="10">
        <v>45942</v>
      </c>
      <c r="C434" s="11" t="s">
        <v>35</v>
      </c>
      <c r="D434" s="11" t="s">
        <v>36</v>
      </c>
      <c r="E434" s="7" t="s">
        <v>74</v>
      </c>
      <c r="F434" s="9">
        <v>42.1</v>
      </c>
      <c r="G434" s="9">
        <v>42.2</v>
      </c>
      <c r="H434" s="9">
        <v>40.700000000000003</v>
      </c>
      <c r="I434" s="9">
        <v>12.6</v>
      </c>
      <c r="J434" s="9">
        <v>0.67</v>
      </c>
      <c r="K434" s="9">
        <v>18.2</v>
      </c>
      <c r="L434" s="7">
        <v>28.3</v>
      </c>
      <c r="M434" s="7">
        <v>56.6</v>
      </c>
      <c r="N434" s="7">
        <v>3.9</v>
      </c>
      <c r="O434" s="7">
        <v>161</v>
      </c>
      <c r="P434" s="7" t="s">
        <v>33</v>
      </c>
      <c r="Q434" s="7" t="str">
        <f t="shared" si="24"/>
        <v>Good</v>
      </c>
      <c r="R434" s="7" t="str">
        <f t="shared" si="25"/>
        <v>Normal</v>
      </c>
      <c r="S434" s="7" t="str">
        <f t="shared" si="26"/>
        <v>Normal Humidity</v>
      </c>
      <c r="T434" s="7" t="str">
        <f t="shared" si="27"/>
        <v>Moderate Wind</v>
      </c>
    </row>
    <row r="435" spans="1:20" x14ac:dyDescent="0.25">
      <c r="A435" s="7" t="s">
        <v>493</v>
      </c>
      <c r="B435" s="10">
        <v>45846</v>
      </c>
      <c r="C435" s="11" t="s">
        <v>64</v>
      </c>
      <c r="D435" s="11" t="s">
        <v>36</v>
      </c>
      <c r="E435" s="7" t="s">
        <v>45</v>
      </c>
      <c r="F435" s="9">
        <v>10.7</v>
      </c>
      <c r="G435" s="9">
        <v>83.5</v>
      </c>
      <c r="H435" s="9">
        <v>47.7</v>
      </c>
      <c r="I435" s="9">
        <v>30.8</v>
      </c>
      <c r="J435" s="9">
        <v>0.18</v>
      </c>
      <c r="K435" s="9">
        <v>23.5</v>
      </c>
      <c r="L435" s="7">
        <v>28.5</v>
      </c>
      <c r="M435" s="7">
        <v>64.5</v>
      </c>
      <c r="N435" s="7">
        <v>0.8</v>
      </c>
      <c r="O435" s="7">
        <v>146</v>
      </c>
      <c r="P435" s="7" t="s">
        <v>33</v>
      </c>
      <c r="Q435" s="7" t="str">
        <f t="shared" si="24"/>
        <v>Moderate</v>
      </c>
      <c r="R435" s="7" t="str">
        <f t="shared" si="25"/>
        <v>Normal</v>
      </c>
      <c r="S435" s="7" t="str">
        <f t="shared" si="26"/>
        <v>High Humidity</v>
      </c>
      <c r="T435" s="7" t="str">
        <f t="shared" si="27"/>
        <v>Low Wind</v>
      </c>
    </row>
    <row r="436" spans="1:20" x14ac:dyDescent="0.25">
      <c r="A436" s="7" t="s">
        <v>494</v>
      </c>
      <c r="B436" s="10">
        <v>45811</v>
      </c>
      <c r="C436" s="11" t="s">
        <v>99</v>
      </c>
      <c r="D436" s="11" t="s">
        <v>36</v>
      </c>
      <c r="E436" s="7" t="s">
        <v>19</v>
      </c>
      <c r="F436" s="9">
        <v>71.2</v>
      </c>
      <c r="G436" s="9">
        <v>48.5</v>
      </c>
      <c r="H436" s="9">
        <v>39.5</v>
      </c>
      <c r="I436" s="9">
        <v>10.9</v>
      </c>
      <c r="J436" s="9">
        <v>0.86</v>
      </c>
      <c r="K436" s="9">
        <v>34.1</v>
      </c>
      <c r="L436" s="7">
        <v>34.799999999999997</v>
      </c>
      <c r="M436" s="7">
        <v>62.5</v>
      </c>
      <c r="N436" s="7">
        <v>2.9</v>
      </c>
      <c r="O436" s="7">
        <v>222</v>
      </c>
      <c r="P436" s="7" t="s">
        <v>28</v>
      </c>
      <c r="Q436" s="7" t="str">
        <f t="shared" si="24"/>
        <v>Good</v>
      </c>
      <c r="R436" s="7" t="str">
        <f t="shared" si="25"/>
        <v>Hot</v>
      </c>
      <c r="S436" s="7" t="str">
        <f t="shared" si="26"/>
        <v>High Humidity</v>
      </c>
      <c r="T436" s="7" t="str">
        <f t="shared" si="27"/>
        <v>Moderate Wind</v>
      </c>
    </row>
    <row r="437" spans="1:20" x14ac:dyDescent="0.25">
      <c r="A437" s="7" t="s">
        <v>495</v>
      </c>
      <c r="B437" s="10">
        <v>45715</v>
      </c>
      <c r="C437" s="11" t="s">
        <v>54</v>
      </c>
      <c r="D437" s="11" t="s">
        <v>18</v>
      </c>
      <c r="E437" s="7" t="s">
        <v>97</v>
      </c>
      <c r="F437" s="9">
        <v>54.1</v>
      </c>
      <c r="G437" s="9">
        <v>35.299999999999997</v>
      </c>
      <c r="H437" s="9">
        <v>39.299999999999997</v>
      </c>
      <c r="I437" s="9">
        <v>26</v>
      </c>
      <c r="J437" s="9">
        <v>0.85</v>
      </c>
      <c r="K437" s="9">
        <v>95.7</v>
      </c>
      <c r="L437" s="7">
        <v>29.8</v>
      </c>
      <c r="M437" s="7">
        <v>59.1</v>
      </c>
      <c r="N437" s="7">
        <v>2.1</v>
      </c>
      <c r="O437" s="7">
        <v>223</v>
      </c>
      <c r="P437" s="7" t="s">
        <v>28</v>
      </c>
      <c r="Q437" s="7" t="str">
        <f t="shared" si="24"/>
        <v>Good</v>
      </c>
      <c r="R437" s="7" t="str">
        <f t="shared" si="25"/>
        <v>Normal</v>
      </c>
      <c r="S437" s="7" t="str">
        <f t="shared" si="26"/>
        <v>Normal Humidity</v>
      </c>
      <c r="T437" s="7" t="str">
        <f t="shared" si="27"/>
        <v>Moderate Wind</v>
      </c>
    </row>
    <row r="438" spans="1:20" x14ac:dyDescent="0.25">
      <c r="A438" s="7" t="s">
        <v>496</v>
      </c>
      <c r="B438" s="10">
        <v>45914</v>
      </c>
      <c r="C438" s="11" t="s">
        <v>38</v>
      </c>
      <c r="D438" s="11" t="s">
        <v>39</v>
      </c>
      <c r="E438" s="7" t="s">
        <v>43</v>
      </c>
      <c r="F438" s="9">
        <v>16.100000000000001</v>
      </c>
      <c r="G438" s="9">
        <v>47.2</v>
      </c>
      <c r="H438" s="9">
        <v>13.4</v>
      </c>
      <c r="I438" s="9">
        <v>10.199999999999999</v>
      </c>
      <c r="J438" s="9">
        <v>0.6</v>
      </c>
      <c r="K438" s="9">
        <v>37.799999999999997</v>
      </c>
      <c r="L438" s="7">
        <v>28.5</v>
      </c>
      <c r="M438" s="7">
        <v>81.099999999999994</v>
      </c>
      <c r="N438" s="7">
        <v>1.7</v>
      </c>
      <c r="O438" s="7">
        <v>106</v>
      </c>
      <c r="P438" s="7" t="s">
        <v>33</v>
      </c>
      <c r="Q438" s="7" t="str">
        <f t="shared" si="24"/>
        <v>Good</v>
      </c>
      <c r="R438" s="7" t="str">
        <f t="shared" si="25"/>
        <v>Normal</v>
      </c>
      <c r="S438" s="7" t="str">
        <f t="shared" si="26"/>
        <v>High Humidity</v>
      </c>
      <c r="T438" s="7" t="str">
        <f t="shared" si="27"/>
        <v>Low Wind</v>
      </c>
    </row>
    <row r="439" spans="1:20" x14ac:dyDescent="0.25">
      <c r="A439" s="7" t="s">
        <v>497</v>
      </c>
      <c r="B439" s="10">
        <v>45990</v>
      </c>
      <c r="C439" s="11" t="s">
        <v>77</v>
      </c>
      <c r="D439" s="11" t="s">
        <v>39</v>
      </c>
      <c r="E439" s="7" t="s">
        <v>24</v>
      </c>
      <c r="F439" s="9">
        <v>37</v>
      </c>
      <c r="G439" s="9">
        <v>71.900000000000006</v>
      </c>
      <c r="H439" s="9">
        <v>58</v>
      </c>
      <c r="I439" s="9">
        <v>24.6</v>
      </c>
      <c r="J439" s="9">
        <v>0.54</v>
      </c>
      <c r="K439" s="9">
        <v>36.6</v>
      </c>
      <c r="L439" s="7">
        <v>23.5</v>
      </c>
      <c r="M439" s="7">
        <v>89.4</v>
      </c>
      <c r="N439" s="7">
        <v>3.7</v>
      </c>
      <c r="O439" s="7">
        <v>200</v>
      </c>
      <c r="P439" s="7" t="s">
        <v>33</v>
      </c>
      <c r="Q439" s="7" t="str">
        <f t="shared" si="24"/>
        <v>Moderate</v>
      </c>
      <c r="R439" s="7" t="str">
        <f t="shared" si="25"/>
        <v>Normal</v>
      </c>
      <c r="S439" s="7" t="str">
        <f t="shared" si="26"/>
        <v>High Humidity</v>
      </c>
      <c r="T439" s="7" t="str">
        <f t="shared" si="27"/>
        <v>Moderate Wind</v>
      </c>
    </row>
    <row r="440" spans="1:20" x14ac:dyDescent="0.25">
      <c r="A440" s="7" t="s">
        <v>498</v>
      </c>
      <c r="B440" s="10">
        <v>45795</v>
      </c>
      <c r="C440" s="11" t="s">
        <v>50</v>
      </c>
      <c r="D440" s="11" t="s">
        <v>31</v>
      </c>
      <c r="E440" s="7" t="s">
        <v>43</v>
      </c>
      <c r="F440" s="9">
        <v>30.8</v>
      </c>
      <c r="G440" s="9">
        <v>100</v>
      </c>
      <c r="H440" s="9">
        <v>20.8</v>
      </c>
      <c r="I440" s="9">
        <v>17.100000000000001</v>
      </c>
      <c r="J440" s="9">
        <v>0.75</v>
      </c>
      <c r="K440" s="9">
        <v>51.5</v>
      </c>
      <c r="L440" s="7">
        <v>24.7</v>
      </c>
      <c r="M440" s="7">
        <v>88.7</v>
      </c>
      <c r="N440" s="7">
        <v>1.6</v>
      </c>
      <c r="O440" s="7">
        <v>185</v>
      </c>
      <c r="P440" s="7" t="s">
        <v>33</v>
      </c>
      <c r="Q440" s="7" t="str">
        <f t="shared" si="24"/>
        <v>Moderate</v>
      </c>
      <c r="R440" s="7" t="str">
        <f t="shared" si="25"/>
        <v>Normal</v>
      </c>
      <c r="S440" s="7" t="str">
        <f t="shared" si="26"/>
        <v>High Humidity</v>
      </c>
      <c r="T440" s="7" t="str">
        <f t="shared" si="27"/>
        <v>Low Wind</v>
      </c>
    </row>
    <row r="441" spans="1:20" x14ac:dyDescent="0.25">
      <c r="A441" s="7" t="s">
        <v>499</v>
      </c>
      <c r="B441" s="10">
        <v>45794</v>
      </c>
      <c r="C441" s="11" t="s">
        <v>22</v>
      </c>
      <c r="D441" s="11" t="s">
        <v>23</v>
      </c>
      <c r="E441" s="7" t="s">
        <v>68</v>
      </c>
      <c r="F441" s="9">
        <v>27.8</v>
      </c>
      <c r="G441" s="9">
        <v>43</v>
      </c>
      <c r="H441" s="9">
        <v>13.4</v>
      </c>
      <c r="I441" s="9">
        <v>29.1</v>
      </c>
      <c r="J441" s="9">
        <v>0.34</v>
      </c>
      <c r="K441" s="9">
        <v>35.5</v>
      </c>
      <c r="L441" s="7">
        <v>29.4</v>
      </c>
      <c r="M441" s="7">
        <v>65.900000000000006</v>
      </c>
      <c r="N441" s="7">
        <v>2.1</v>
      </c>
      <c r="O441" s="7">
        <v>128</v>
      </c>
      <c r="P441" s="7" t="s">
        <v>33</v>
      </c>
      <c r="Q441" s="7" t="str">
        <f t="shared" si="24"/>
        <v>Good</v>
      </c>
      <c r="R441" s="7" t="str">
        <f t="shared" si="25"/>
        <v>Normal</v>
      </c>
      <c r="S441" s="7" t="str">
        <f t="shared" si="26"/>
        <v>High Humidity</v>
      </c>
      <c r="T441" s="7" t="str">
        <f t="shared" si="27"/>
        <v>Moderate Wind</v>
      </c>
    </row>
    <row r="442" spans="1:20" x14ac:dyDescent="0.25">
      <c r="A442" s="7" t="s">
        <v>500</v>
      </c>
      <c r="B442" s="10">
        <v>45723</v>
      </c>
      <c r="C442" s="11" t="s">
        <v>22</v>
      </c>
      <c r="D442" s="11" t="s">
        <v>23</v>
      </c>
      <c r="E442" s="7" t="s">
        <v>40</v>
      </c>
      <c r="F442" s="9">
        <v>48.1</v>
      </c>
      <c r="G442" s="9">
        <v>90.3</v>
      </c>
      <c r="H442" s="9">
        <v>31.1</v>
      </c>
      <c r="I442" s="9">
        <v>3.1</v>
      </c>
      <c r="J442" s="9">
        <v>0.8</v>
      </c>
      <c r="K442" s="9">
        <v>87.9</v>
      </c>
      <c r="L442" s="7">
        <v>31.6</v>
      </c>
      <c r="M442" s="7">
        <v>45.4</v>
      </c>
      <c r="N442" s="7">
        <v>2.9</v>
      </c>
      <c r="O442" s="7">
        <v>222</v>
      </c>
      <c r="P442" s="7" t="s">
        <v>28</v>
      </c>
      <c r="Q442" s="7" t="str">
        <f t="shared" si="24"/>
        <v>Moderate</v>
      </c>
      <c r="R442" s="7" t="str">
        <f t="shared" si="25"/>
        <v>Hot</v>
      </c>
      <c r="S442" s="7" t="str">
        <f t="shared" si="26"/>
        <v>Normal Humidity</v>
      </c>
      <c r="T442" s="7" t="str">
        <f t="shared" si="27"/>
        <v>Moderate Wind</v>
      </c>
    </row>
    <row r="443" spans="1:20" x14ac:dyDescent="0.25">
      <c r="A443" s="7" t="s">
        <v>501</v>
      </c>
      <c r="B443" s="10">
        <v>45777</v>
      </c>
      <c r="C443" s="11" t="s">
        <v>99</v>
      </c>
      <c r="D443" s="11" t="s">
        <v>36</v>
      </c>
      <c r="E443" s="7" t="s">
        <v>91</v>
      </c>
      <c r="F443" s="9">
        <v>31.2</v>
      </c>
      <c r="G443" s="9">
        <v>98</v>
      </c>
      <c r="H443" s="9">
        <v>33.6</v>
      </c>
      <c r="I443" s="9">
        <v>6.7</v>
      </c>
      <c r="J443" s="9">
        <v>0.44</v>
      </c>
      <c r="K443" s="9">
        <v>37.799999999999997</v>
      </c>
      <c r="L443" s="7">
        <v>25.4</v>
      </c>
      <c r="M443" s="7">
        <v>48.8</v>
      </c>
      <c r="N443" s="7">
        <v>2.2999999999999998</v>
      </c>
      <c r="O443" s="7">
        <v>173</v>
      </c>
      <c r="P443" s="7" t="s">
        <v>33</v>
      </c>
      <c r="Q443" s="7" t="str">
        <f t="shared" si="24"/>
        <v>Moderate</v>
      </c>
      <c r="R443" s="7" t="str">
        <f t="shared" si="25"/>
        <v>Normal</v>
      </c>
      <c r="S443" s="7" t="str">
        <f t="shared" si="26"/>
        <v>Normal Humidity</v>
      </c>
      <c r="T443" s="7" t="str">
        <f t="shared" si="27"/>
        <v>Moderate Wind</v>
      </c>
    </row>
    <row r="444" spans="1:20" x14ac:dyDescent="0.25">
      <c r="A444" s="7" t="s">
        <v>502</v>
      </c>
      <c r="B444" s="10">
        <v>45886</v>
      </c>
      <c r="C444" s="11" t="s">
        <v>77</v>
      </c>
      <c r="D444" s="11" t="s">
        <v>39</v>
      </c>
      <c r="E444" s="7" t="s">
        <v>19</v>
      </c>
      <c r="F444" s="9">
        <v>87.3</v>
      </c>
      <c r="G444" s="9">
        <v>103.6</v>
      </c>
      <c r="H444" s="9">
        <v>31.2</v>
      </c>
      <c r="I444" s="9">
        <v>3.7</v>
      </c>
      <c r="J444" s="9">
        <v>0.8</v>
      </c>
      <c r="K444" s="9">
        <v>13.4</v>
      </c>
      <c r="L444" s="7">
        <v>32.700000000000003</v>
      </c>
      <c r="M444" s="7">
        <v>62.9</v>
      </c>
      <c r="N444" s="7">
        <v>1.5</v>
      </c>
      <c r="O444" s="7">
        <v>261</v>
      </c>
      <c r="P444" s="7" t="s">
        <v>28</v>
      </c>
      <c r="Q444" s="7" t="str">
        <f t="shared" si="24"/>
        <v>Unhealthy</v>
      </c>
      <c r="R444" s="7" t="str">
        <f t="shared" si="25"/>
        <v>Hot</v>
      </c>
      <c r="S444" s="7" t="str">
        <f t="shared" si="26"/>
        <v>High Humidity</v>
      </c>
      <c r="T444" s="7" t="str">
        <f t="shared" si="27"/>
        <v>Low Wind</v>
      </c>
    </row>
    <row r="445" spans="1:20" x14ac:dyDescent="0.25">
      <c r="A445" s="7" t="s">
        <v>503</v>
      </c>
      <c r="B445" s="10">
        <v>45946</v>
      </c>
      <c r="C445" s="11" t="s">
        <v>38</v>
      </c>
      <c r="D445" s="11" t="s">
        <v>39</v>
      </c>
      <c r="E445" s="7" t="s">
        <v>55</v>
      </c>
      <c r="F445" s="9">
        <v>45.1</v>
      </c>
      <c r="G445" s="9">
        <v>88.8</v>
      </c>
      <c r="H445" s="9">
        <v>5.2</v>
      </c>
      <c r="I445" s="9">
        <v>8.4</v>
      </c>
      <c r="J445" s="9">
        <v>0.94</v>
      </c>
      <c r="K445" s="9">
        <v>30.9</v>
      </c>
      <c r="L445" s="7">
        <v>22.5</v>
      </c>
      <c r="M445" s="7">
        <v>60</v>
      </c>
      <c r="N445" s="7">
        <v>1.7</v>
      </c>
      <c r="O445" s="7">
        <v>177</v>
      </c>
      <c r="P445" s="7" t="s">
        <v>33</v>
      </c>
      <c r="Q445" s="7" t="str">
        <f t="shared" si="24"/>
        <v>Moderate</v>
      </c>
      <c r="R445" s="7" t="str">
        <f t="shared" si="25"/>
        <v>Normal</v>
      </c>
      <c r="S445" s="7" t="str">
        <f t="shared" si="26"/>
        <v>Normal Humidity</v>
      </c>
      <c r="T445" s="7" t="str">
        <f t="shared" si="27"/>
        <v>Low Wind</v>
      </c>
    </row>
    <row r="446" spans="1:20" x14ac:dyDescent="0.25">
      <c r="A446" s="7" t="s">
        <v>504</v>
      </c>
      <c r="B446" s="10">
        <v>45999</v>
      </c>
      <c r="C446" s="11" t="s">
        <v>42</v>
      </c>
      <c r="D446" s="11" t="s">
        <v>23</v>
      </c>
      <c r="E446" s="7" t="s">
        <v>97</v>
      </c>
      <c r="F446" s="9">
        <v>16.899999999999999</v>
      </c>
      <c r="G446" s="9">
        <v>64.400000000000006</v>
      </c>
      <c r="H446" s="9">
        <v>18.899999999999999</v>
      </c>
      <c r="I446" s="9">
        <v>13.4</v>
      </c>
      <c r="J446" s="9">
        <v>0.28999999999999998</v>
      </c>
      <c r="K446" s="9">
        <v>17</v>
      </c>
      <c r="L446" s="7">
        <v>32.200000000000003</v>
      </c>
      <c r="M446" s="7">
        <v>51.9</v>
      </c>
      <c r="N446" s="7">
        <v>3.7</v>
      </c>
      <c r="O446" s="7">
        <v>108</v>
      </c>
      <c r="P446" s="7" t="s">
        <v>33</v>
      </c>
      <c r="Q446" s="7" t="str">
        <f t="shared" si="24"/>
        <v>Moderate</v>
      </c>
      <c r="R446" s="7" t="str">
        <f t="shared" si="25"/>
        <v>Hot</v>
      </c>
      <c r="S446" s="7" t="str">
        <f t="shared" si="26"/>
        <v>Normal Humidity</v>
      </c>
      <c r="T446" s="7" t="str">
        <f t="shared" si="27"/>
        <v>Moderate Wind</v>
      </c>
    </row>
    <row r="447" spans="1:20" x14ac:dyDescent="0.25">
      <c r="A447" s="7" t="s">
        <v>505</v>
      </c>
      <c r="B447" s="10">
        <v>45956</v>
      </c>
      <c r="C447" s="11" t="s">
        <v>30</v>
      </c>
      <c r="D447" s="11" t="s">
        <v>31</v>
      </c>
      <c r="E447" s="7" t="s">
        <v>55</v>
      </c>
      <c r="F447" s="9">
        <v>11.1</v>
      </c>
      <c r="G447" s="9">
        <v>51.6</v>
      </c>
      <c r="H447" s="9">
        <v>40.9</v>
      </c>
      <c r="I447" s="9">
        <v>7.7</v>
      </c>
      <c r="J447" s="9">
        <v>0.7</v>
      </c>
      <c r="K447" s="9">
        <v>39.799999999999997</v>
      </c>
      <c r="L447" s="7">
        <v>32.799999999999997</v>
      </c>
      <c r="M447" s="7">
        <v>88.8</v>
      </c>
      <c r="N447" s="7">
        <v>0.9</v>
      </c>
      <c r="O447" s="7">
        <v>125</v>
      </c>
      <c r="P447" s="7" t="s">
        <v>33</v>
      </c>
      <c r="Q447" s="7" t="str">
        <f t="shared" si="24"/>
        <v>Moderate</v>
      </c>
      <c r="R447" s="7" t="str">
        <f t="shared" si="25"/>
        <v>Hot</v>
      </c>
      <c r="S447" s="7" t="str">
        <f t="shared" si="26"/>
        <v>High Humidity</v>
      </c>
      <c r="T447" s="7" t="str">
        <f t="shared" si="27"/>
        <v>Low Wind</v>
      </c>
    </row>
    <row r="448" spans="1:20" x14ac:dyDescent="0.25">
      <c r="A448" s="7" t="s">
        <v>506</v>
      </c>
      <c r="B448" s="10">
        <v>45843</v>
      </c>
      <c r="C448" s="11" t="s">
        <v>54</v>
      </c>
      <c r="D448" s="11" t="s">
        <v>18</v>
      </c>
      <c r="E448" s="7" t="s">
        <v>97</v>
      </c>
      <c r="F448" s="9">
        <v>18.5</v>
      </c>
      <c r="G448" s="9">
        <v>23.5</v>
      </c>
      <c r="H448" s="9">
        <v>25.1</v>
      </c>
      <c r="I448" s="9">
        <v>9.6999999999999993</v>
      </c>
      <c r="J448" s="9">
        <v>0.22</v>
      </c>
      <c r="K448" s="9">
        <v>51</v>
      </c>
      <c r="L448" s="7">
        <v>33.9</v>
      </c>
      <c r="M448" s="7">
        <v>50.4</v>
      </c>
      <c r="N448" s="7">
        <v>4.0999999999999996</v>
      </c>
      <c r="O448" s="7">
        <v>100</v>
      </c>
      <c r="P448" s="7" t="s">
        <v>71</v>
      </c>
      <c r="Q448" s="7" t="str">
        <f t="shared" si="24"/>
        <v>Good</v>
      </c>
      <c r="R448" s="7" t="str">
        <f t="shared" si="25"/>
        <v>Hot</v>
      </c>
      <c r="S448" s="7" t="str">
        <f t="shared" si="26"/>
        <v>Normal Humidity</v>
      </c>
      <c r="T448" s="7" t="str">
        <f t="shared" si="27"/>
        <v>Moderate Wind</v>
      </c>
    </row>
    <row r="449" spans="1:20" x14ac:dyDescent="0.25">
      <c r="A449" s="7" t="s">
        <v>507</v>
      </c>
      <c r="B449" s="10">
        <v>45665</v>
      </c>
      <c r="C449" s="11" t="s">
        <v>81</v>
      </c>
      <c r="D449" s="11" t="s">
        <v>39</v>
      </c>
      <c r="E449" s="7" t="s">
        <v>97</v>
      </c>
      <c r="F449" s="9">
        <v>49.7</v>
      </c>
      <c r="G449" s="9">
        <v>132.19999999999999</v>
      </c>
      <c r="H449" s="9">
        <v>33.799999999999997</v>
      </c>
      <c r="I449" s="9">
        <v>2.2000000000000002</v>
      </c>
      <c r="J449" s="9">
        <v>0.57999999999999996</v>
      </c>
      <c r="K449" s="9">
        <v>64</v>
      </c>
      <c r="L449" s="7">
        <v>21.5</v>
      </c>
      <c r="M449" s="7">
        <v>40.4</v>
      </c>
      <c r="N449" s="7">
        <v>1.7</v>
      </c>
      <c r="O449" s="7">
        <v>237</v>
      </c>
      <c r="P449" s="7" t="s">
        <v>28</v>
      </c>
      <c r="Q449" s="7" t="str">
        <f t="shared" si="24"/>
        <v>Unhealthy</v>
      </c>
      <c r="R449" s="7" t="str">
        <f t="shared" si="25"/>
        <v>Normal</v>
      </c>
      <c r="S449" s="7" t="str">
        <f t="shared" si="26"/>
        <v>Normal Humidity</v>
      </c>
      <c r="T449" s="7" t="str">
        <f t="shared" si="27"/>
        <v>Low Wind</v>
      </c>
    </row>
    <row r="450" spans="1:20" x14ac:dyDescent="0.25">
      <c r="A450" s="7" t="s">
        <v>508</v>
      </c>
      <c r="B450" s="10">
        <v>45728</v>
      </c>
      <c r="C450" s="11" t="s">
        <v>54</v>
      </c>
      <c r="D450" s="11" t="s">
        <v>18</v>
      </c>
      <c r="E450" s="7" t="s">
        <v>74</v>
      </c>
      <c r="F450" s="9">
        <v>89.5</v>
      </c>
      <c r="G450" s="9">
        <v>165.5</v>
      </c>
      <c r="H450" s="9">
        <v>1.7</v>
      </c>
      <c r="I450" s="9">
        <v>27.6</v>
      </c>
      <c r="J450" s="9">
        <v>1.61</v>
      </c>
      <c r="K450" s="9">
        <v>102.9</v>
      </c>
      <c r="L450" s="7">
        <v>34</v>
      </c>
      <c r="M450" s="7">
        <v>83.2</v>
      </c>
      <c r="N450" s="7">
        <v>3.9</v>
      </c>
      <c r="O450" s="7">
        <v>358</v>
      </c>
      <c r="P450" s="7" t="s">
        <v>20</v>
      </c>
      <c r="Q450" s="7" t="str">
        <f t="shared" si="24"/>
        <v>VeryUnhealthy</v>
      </c>
      <c r="R450" s="7" t="str">
        <f t="shared" si="25"/>
        <v>Hot</v>
      </c>
      <c r="S450" s="7" t="str">
        <f t="shared" si="26"/>
        <v>High Humidity</v>
      </c>
      <c r="T450" s="7" t="str">
        <f t="shared" si="27"/>
        <v>Moderate Wind</v>
      </c>
    </row>
    <row r="451" spans="1:20" x14ac:dyDescent="0.25">
      <c r="A451" s="7" t="s">
        <v>509</v>
      </c>
      <c r="B451" s="10">
        <v>45858</v>
      </c>
      <c r="C451" s="11" t="s">
        <v>99</v>
      </c>
      <c r="D451" s="11" t="s">
        <v>36</v>
      </c>
      <c r="E451" s="7" t="s">
        <v>19</v>
      </c>
      <c r="F451" s="9">
        <v>33.1</v>
      </c>
      <c r="G451" s="9">
        <v>110.1</v>
      </c>
      <c r="H451" s="9">
        <v>37.799999999999997</v>
      </c>
      <c r="I451" s="9">
        <v>14</v>
      </c>
      <c r="J451" s="9">
        <v>0.08</v>
      </c>
      <c r="K451" s="9">
        <v>12.8</v>
      </c>
      <c r="L451" s="7">
        <v>26.3</v>
      </c>
      <c r="M451" s="7">
        <v>58.2</v>
      </c>
      <c r="N451" s="7">
        <v>2.8</v>
      </c>
      <c r="O451" s="7">
        <v>172</v>
      </c>
      <c r="P451" s="7" t="s">
        <v>33</v>
      </c>
      <c r="Q451" s="7" t="str">
        <f t="shared" ref="Q451:Q514" si="28">IF(G451&lt;50,"Good",IF(G451&lt;=100,"Moderate",IF(G451&lt;=150,"Unhealthy","VeryUnhealthy")))</f>
        <v>Unhealthy</v>
      </c>
      <c r="R451" s="7" t="str">
        <f t="shared" ref="R451:R514" si="29">IF(L451&lt;20,"Cool",IF(L451&lt;=30,"Normal","Hot"))</f>
        <v>Normal</v>
      </c>
      <c r="S451" s="7" t="str">
        <f t="shared" ref="S451:S514" si="30">IF(M451&lt;30,"Low Humidity",IF(M451&lt;=60,"Normal Humidity","High Humidity"))</f>
        <v>Normal Humidity</v>
      </c>
      <c r="T451" s="7" t="str">
        <f t="shared" ref="T451:T514" si="31">IF(N451&lt;2,"Low Wind",IF(N451&lt;=5,"Moderate Wind","High Wind"))</f>
        <v>Moderate Wind</v>
      </c>
    </row>
    <row r="452" spans="1:20" x14ac:dyDescent="0.25">
      <c r="A452" s="7" t="s">
        <v>510</v>
      </c>
      <c r="B452" s="10">
        <v>45886</v>
      </c>
      <c r="C452" s="11" t="s">
        <v>99</v>
      </c>
      <c r="D452" s="11" t="s">
        <v>36</v>
      </c>
      <c r="E452" s="7" t="s">
        <v>61</v>
      </c>
      <c r="F452" s="9">
        <v>13.6</v>
      </c>
      <c r="G452" s="9">
        <v>70.099999999999994</v>
      </c>
      <c r="H452" s="9">
        <v>61</v>
      </c>
      <c r="I452" s="9">
        <v>6.1</v>
      </c>
      <c r="J452" s="9">
        <v>0.87</v>
      </c>
      <c r="K452" s="9">
        <v>56</v>
      </c>
      <c r="L452" s="7">
        <v>29.9</v>
      </c>
      <c r="M452" s="7">
        <v>73.099999999999994</v>
      </c>
      <c r="N452" s="7">
        <v>3.7</v>
      </c>
      <c r="O452" s="7">
        <v>167</v>
      </c>
      <c r="P452" s="7" t="s">
        <v>33</v>
      </c>
      <c r="Q452" s="7" t="str">
        <f t="shared" si="28"/>
        <v>Moderate</v>
      </c>
      <c r="R452" s="7" t="str">
        <f t="shared" si="29"/>
        <v>Normal</v>
      </c>
      <c r="S452" s="7" t="str">
        <f t="shared" si="30"/>
        <v>High Humidity</v>
      </c>
      <c r="T452" s="7" t="str">
        <f t="shared" si="31"/>
        <v>Moderate Wind</v>
      </c>
    </row>
    <row r="453" spans="1:20" x14ac:dyDescent="0.25">
      <c r="A453" s="7" t="s">
        <v>511</v>
      </c>
      <c r="B453" s="10">
        <v>45786</v>
      </c>
      <c r="C453" s="11" t="s">
        <v>64</v>
      </c>
      <c r="D453" s="11" t="s">
        <v>36</v>
      </c>
      <c r="E453" s="7" t="s">
        <v>32</v>
      </c>
      <c r="F453" s="9">
        <v>8.6</v>
      </c>
      <c r="G453" s="9">
        <v>64.3</v>
      </c>
      <c r="H453" s="9">
        <v>39.1</v>
      </c>
      <c r="I453" s="9">
        <v>15.2</v>
      </c>
      <c r="J453" s="9">
        <v>0.48</v>
      </c>
      <c r="K453" s="9">
        <v>25.6</v>
      </c>
      <c r="L453" s="7">
        <v>30.4</v>
      </c>
      <c r="M453" s="7">
        <v>60.9</v>
      </c>
      <c r="N453" s="7">
        <v>4.4000000000000004</v>
      </c>
      <c r="O453" s="7">
        <v>121</v>
      </c>
      <c r="P453" s="7" t="s">
        <v>33</v>
      </c>
      <c r="Q453" s="7" t="str">
        <f t="shared" si="28"/>
        <v>Moderate</v>
      </c>
      <c r="R453" s="7" t="str">
        <f t="shared" si="29"/>
        <v>Hot</v>
      </c>
      <c r="S453" s="7" t="str">
        <f t="shared" si="30"/>
        <v>High Humidity</v>
      </c>
      <c r="T453" s="7" t="str">
        <f t="shared" si="31"/>
        <v>Moderate Wind</v>
      </c>
    </row>
    <row r="454" spans="1:20" x14ac:dyDescent="0.25">
      <c r="A454" s="7" t="s">
        <v>512</v>
      </c>
      <c r="B454" s="10">
        <v>45871</v>
      </c>
      <c r="C454" s="11" t="s">
        <v>81</v>
      </c>
      <c r="D454" s="11" t="s">
        <v>39</v>
      </c>
      <c r="E454" s="7" t="s">
        <v>97</v>
      </c>
      <c r="F454" s="9">
        <v>62</v>
      </c>
      <c r="G454" s="9">
        <v>147.6</v>
      </c>
      <c r="H454" s="9">
        <v>9</v>
      </c>
      <c r="I454" s="9">
        <v>29.7</v>
      </c>
      <c r="J454" s="9">
        <v>1.26</v>
      </c>
      <c r="K454" s="9">
        <v>32.299999999999997</v>
      </c>
      <c r="L454" s="7">
        <v>27</v>
      </c>
      <c r="M454" s="7">
        <v>72.900000000000006</v>
      </c>
      <c r="N454" s="7">
        <v>1.2</v>
      </c>
      <c r="O454" s="7">
        <v>269</v>
      </c>
      <c r="P454" s="7" t="s">
        <v>28</v>
      </c>
      <c r="Q454" s="7" t="str">
        <f t="shared" si="28"/>
        <v>Unhealthy</v>
      </c>
      <c r="R454" s="7" t="str">
        <f t="shared" si="29"/>
        <v>Normal</v>
      </c>
      <c r="S454" s="7" t="str">
        <f t="shared" si="30"/>
        <v>High Humidity</v>
      </c>
      <c r="T454" s="7" t="str">
        <f t="shared" si="31"/>
        <v>Low Wind</v>
      </c>
    </row>
    <row r="455" spans="1:20" x14ac:dyDescent="0.25">
      <c r="A455" s="7" t="s">
        <v>513</v>
      </c>
      <c r="B455" s="10">
        <v>46012</v>
      </c>
      <c r="C455" s="11" t="s">
        <v>77</v>
      </c>
      <c r="D455" s="11" t="s">
        <v>39</v>
      </c>
      <c r="E455" s="7" t="s">
        <v>97</v>
      </c>
      <c r="F455" s="9">
        <v>34.5</v>
      </c>
      <c r="G455" s="9">
        <v>122.7</v>
      </c>
      <c r="H455" s="9">
        <v>21.4</v>
      </c>
      <c r="I455" s="9">
        <v>6.6</v>
      </c>
      <c r="J455" s="9">
        <v>1.04</v>
      </c>
      <c r="K455" s="9">
        <v>18.5</v>
      </c>
      <c r="L455" s="7">
        <v>29.6</v>
      </c>
      <c r="M455" s="7">
        <v>37</v>
      </c>
      <c r="N455" s="7">
        <v>1.3</v>
      </c>
      <c r="O455" s="7">
        <v>191</v>
      </c>
      <c r="P455" s="7" t="s">
        <v>33</v>
      </c>
      <c r="Q455" s="7" t="str">
        <f t="shared" si="28"/>
        <v>Unhealthy</v>
      </c>
      <c r="R455" s="7" t="str">
        <f t="shared" si="29"/>
        <v>Normal</v>
      </c>
      <c r="S455" s="7" t="str">
        <f t="shared" si="30"/>
        <v>Normal Humidity</v>
      </c>
      <c r="T455" s="7" t="str">
        <f t="shared" si="31"/>
        <v>Low Wind</v>
      </c>
    </row>
    <row r="456" spans="1:20" x14ac:dyDescent="0.25">
      <c r="A456" s="7" t="s">
        <v>514</v>
      </c>
      <c r="B456" s="10">
        <v>45928</v>
      </c>
      <c r="C456" s="11" t="s">
        <v>42</v>
      </c>
      <c r="D456" s="11" t="s">
        <v>23</v>
      </c>
      <c r="E456" s="7" t="s">
        <v>68</v>
      </c>
      <c r="F456" s="9">
        <v>48.5</v>
      </c>
      <c r="G456" s="9">
        <v>121.9</v>
      </c>
      <c r="H456" s="9">
        <v>25.1</v>
      </c>
      <c r="I456" s="9">
        <v>3.9</v>
      </c>
      <c r="J456" s="9">
        <v>0.75</v>
      </c>
      <c r="K456" s="9">
        <v>10.8</v>
      </c>
      <c r="L456" s="7">
        <v>26.2</v>
      </c>
      <c r="M456" s="7">
        <v>60.2</v>
      </c>
      <c r="N456" s="7">
        <v>1.9</v>
      </c>
      <c r="O456" s="7">
        <v>203</v>
      </c>
      <c r="P456" s="7" t="s">
        <v>28</v>
      </c>
      <c r="Q456" s="7" t="str">
        <f t="shared" si="28"/>
        <v>Unhealthy</v>
      </c>
      <c r="R456" s="7" t="str">
        <f t="shared" si="29"/>
        <v>Normal</v>
      </c>
      <c r="S456" s="7" t="str">
        <f t="shared" si="30"/>
        <v>High Humidity</v>
      </c>
      <c r="T456" s="7" t="str">
        <f t="shared" si="31"/>
        <v>Low Wind</v>
      </c>
    </row>
    <row r="457" spans="1:20" x14ac:dyDescent="0.25">
      <c r="A457" s="7" t="s">
        <v>515</v>
      </c>
      <c r="B457" s="10">
        <v>45772</v>
      </c>
      <c r="C457" s="11" t="s">
        <v>67</v>
      </c>
      <c r="D457" s="11" t="s">
        <v>18</v>
      </c>
      <c r="E457" s="7" t="s">
        <v>19</v>
      </c>
      <c r="F457" s="9">
        <v>32.299999999999997</v>
      </c>
      <c r="G457" s="9">
        <v>116.1</v>
      </c>
      <c r="H457" s="9">
        <v>13.7</v>
      </c>
      <c r="I457" s="9">
        <v>11.3</v>
      </c>
      <c r="J457" s="9">
        <v>0.6</v>
      </c>
      <c r="K457" s="9">
        <v>4.7</v>
      </c>
      <c r="L457" s="7">
        <v>21.5</v>
      </c>
      <c r="M457" s="7">
        <v>65</v>
      </c>
      <c r="N457" s="7">
        <v>1.6</v>
      </c>
      <c r="O457" s="7">
        <v>163</v>
      </c>
      <c r="P457" s="7" t="s">
        <v>33</v>
      </c>
      <c r="Q457" s="7" t="str">
        <f t="shared" si="28"/>
        <v>Unhealthy</v>
      </c>
      <c r="R457" s="7" t="str">
        <f t="shared" si="29"/>
        <v>Normal</v>
      </c>
      <c r="S457" s="7" t="str">
        <f t="shared" si="30"/>
        <v>High Humidity</v>
      </c>
      <c r="T457" s="7" t="str">
        <f t="shared" si="31"/>
        <v>Low Wind</v>
      </c>
    </row>
    <row r="458" spans="1:20" x14ac:dyDescent="0.25">
      <c r="A458" s="7" t="s">
        <v>516</v>
      </c>
      <c r="B458" s="10">
        <v>46016</v>
      </c>
      <c r="C458" s="11" t="s">
        <v>22</v>
      </c>
      <c r="D458" s="11" t="s">
        <v>23</v>
      </c>
      <c r="E458" s="7" t="s">
        <v>45</v>
      </c>
      <c r="F458" s="9">
        <v>66.7</v>
      </c>
      <c r="G458" s="9">
        <v>48.9</v>
      </c>
      <c r="H458" s="9">
        <v>5.0999999999999996</v>
      </c>
      <c r="I458" s="9">
        <v>16.5</v>
      </c>
      <c r="J458" s="9">
        <v>0.32</v>
      </c>
      <c r="K458" s="9">
        <v>26.4</v>
      </c>
      <c r="L458" s="7">
        <v>29.4</v>
      </c>
      <c r="M458" s="7">
        <v>70.599999999999994</v>
      </c>
      <c r="N458" s="7">
        <v>2.5</v>
      </c>
      <c r="O458" s="7">
        <v>174</v>
      </c>
      <c r="P458" s="7" t="s">
        <v>33</v>
      </c>
      <c r="Q458" s="7" t="str">
        <f t="shared" si="28"/>
        <v>Good</v>
      </c>
      <c r="R458" s="7" t="str">
        <f t="shared" si="29"/>
        <v>Normal</v>
      </c>
      <c r="S458" s="7" t="str">
        <f t="shared" si="30"/>
        <v>High Humidity</v>
      </c>
      <c r="T458" s="7" t="str">
        <f t="shared" si="31"/>
        <v>Moderate Wind</v>
      </c>
    </row>
    <row r="459" spans="1:20" x14ac:dyDescent="0.25">
      <c r="A459" s="7" t="s">
        <v>517</v>
      </c>
      <c r="B459" s="10">
        <v>45767</v>
      </c>
      <c r="C459" s="11" t="s">
        <v>81</v>
      </c>
      <c r="D459" s="11" t="s">
        <v>39</v>
      </c>
      <c r="E459" s="7" t="s">
        <v>43</v>
      </c>
      <c r="F459" s="9">
        <v>72.7</v>
      </c>
      <c r="G459" s="9">
        <v>112.2</v>
      </c>
      <c r="H459" s="9">
        <v>27.1</v>
      </c>
      <c r="I459" s="9">
        <v>9</v>
      </c>
      <c r="J459" s="9">
        <v>0.36</v>
      </c>
      <c r="K459" s="9">
        <v>30.6</v>
      </c>
      <c r="L459" s="7">
        <v>32.200000000000003</v>
      </c>
      <c r="M459" s="7">
        <v>54.9</v>
      </c>
      <c r="N459" s="7">
        <v>1.5</v>
      </c>
      <c r="O459" s="7">
        <v>240</v>
      </c>
      <c r="P459" s="7" t="s">
        <v>28</v>
      </c>
      <c r="Q459" s="7" t="str">
        <f t="shared" si="28"/>
        <v>Unhealthy</v>
      </c>
      <c r="R459" s="7" t="str">
        <f t="shared" si="29"/>
        <v>Hot</v>
      </c>
      <c r="S459" s="7" t="str">
        <f t="shared" si="30"/>
        <v>Normal Humidity</v>
      </c>
      <c r="T459" s="7" t="str">
        <f t="shared" si="31"/>
        <v>Low Wind</v>
      </c>
    </row>
    <row r="460" spans="1:20" x14ac:dyDescent="0.25">
      <c r="A460" s="7" t="s">
        <v>518</v>
      </c>
      <c r="B460" s="10">
        <v>45709</v>
      </c>
      <c r="C460" s="11" t="s">
        <v>64</v>
      </c>
      <c r="D460" s="11" t="s">
        <v>36</v>
      </c>
      <c r="E460" s="7" t="s">
        <v>43</v>
      </c>
      <c r="F460" s="9">
        <v>47.5</v>
      </c>
      <c r="G460" s="9">
        <v>120.3</v>
      </c>
      <c r="H460" s="9">
        <v>39.5</v>
      </c>
      <c r="I460" s="9">
        <v>5.8</v>
      </c>
      <c r="J460" s="9">
        <v>0.17</v>
      </c>
      <c r="K460" s="9">
        <v>36.4</v>
      </c>
      <c r="L460" s="7">
        <v>29.1</v>
      </c>
      <c r="M460" s="7">
        <v>73.599999999999994</v>
      </c>
      <c r="N460" s="7">
        <v>4.4000000000000004</v>
      </c>
      <c r="O460" s="7">
        <v>210</v>
      </c>
      <c r="P460" s="7" t="s">
        <v>28</v>
      </c>
      <c r="Q460" s="7" t="str">
        <f t="shared" si="28"/>
        <v>Unhealthy</v>
      </c>
      <c r="R460" s="7" t="str">
        <f t="shared" si="29"/>
        <v>Normal</v>
      </c>
      <c r="S460" s="7" t="str">
        <f t="shared" si="30"/>
        <v>High Humidity</v>
      </c>
      <c r="T460" s="7" t="str">
        <f t="shared" si="31"/>
        <v>Moderate Wind</v>
      </c>
    </row>
    <row r="461" spans="1:20" x14ac:dyDescent="0.25">
      <c r="A461" s="7" t="s">
        <v>519</v>
      </c>
      <c r="B461" s="10">
        <v>45898</v>
      </c>
      <c r="C461" s="11" t="s">
        <v>54</v>
      </c>
      <c r="D461" s="11" t="s">
        <v>18</v>
      </c>
      <c r="E461" s="7" t="s">
        <v>61</v>
      </c>
      <c r="F461" s="9">
        <v>54.5</v>
      </c>
      <c r="G461" s="9">
        <v>46.3</v>
      </c>
      <c r="H461" s="9">
        <v>5.3</v>
      </c>
      <c r="I461" s="9">
        <v>12.3</v>
      </c>
      <c r="J461" s="9">
        <v>0.56000000000000005</v>
      </c>
      <c r="K461" s="9">
        <v>13.3</v>
      </c>
      <c r="L461" s="7">
        <v>26.2</v>
      </c>
      <c r="M461" s="7">
        <v>80.099999999999994</v>
      </c>
      <c r="N461" s="7">
        <v>2.5</v>
      </c>
      <c r="O461" s="7">
        <v>150</v>
      </c>
      <c r="P461" s="7" t="s">
        <v>33</v>
      </c>
      <c r="Q461" s="7" t="str">
        <f t="shared" si="28"/>
        <v>Good</v>
      </c>
      <c r="R461" s="7" t="str">
        <f t="shared" si="29"/>
        <v>Normal</v>
      </c>
      <c r="S461" s="7" t="str">
        <f t="shared" si="30"/>
        <v>High Humidity</v>
      </c>
      <c r="T461" s="7" t="str">
        <f t="shared" si="31"/>
        <v>Moderate Wind</v>
      </c>
    </row>
    <row r="462" spans="1:20" x14ac:dyDescent="0.25">
      <c r="A462" s="7" t="s">
        <v>520</v>
      </c>
      <c r="B462" s="10">
        <v>45925</v>
      </c>
      <c r="C462" s="11" t="s">
        <v>30</v>
      </c>
      <c r="D462" s="11" t="s">
        <v>31</v>
      </c>
      <c r="E462" s="7" t="s">
        <v>61</v>
      </c>
      <c r="F462" s="9">
        <v>30.2</v>
      </c>
      <c r="G462" s="9">
        <v>104.5</v>
      </c>
      <c r="H462" s="9">
        <v>82</v>
      </c>
      <c r="I462" s="9">
        <v>7.5</v>
      </c>
      <c r="J462" s="9">
        <v>0.19</v>
      </c>
      <c r="K462" s="9">
        <v>64.7</v>
      </c>
      <c r="L462" s="7">
        <v>36</v>
      </c>
      <c r="M462" s="7">
        <v>71.2</v>
      </c>
      <c r="N462" s="7">
        <v>2.9</v>
      </c>
      <c r="O462" s="7">
        <v>221</v>
      </c>
      <c r="P462" s="7" t="s">
        <v>28</v>
      </c>
      <c r="Q462" s="7" t="str">
        <f t="shared" si="28"/>
        <v>Unhealthy</v>
      </c>
      <c r="R462" s="7" t="str">
        <f t="shared" si="29"/>
        <v>Hot</v>
      </c>
      <c r="S462" s="7" t="str">
        <f t="shared" si="30"/>
        <v>High Humidity</v>
      </c>
      <c r="T462" s="7" t="str">
        <f t="shared" si="31"/>
        <v>Moderate Wind</v>
      </c>
    </row>
    <row r="463" spans="1:20" x14ac:dyDescent="0.25">
      <c r="A463" s="7" t="s">
        <v>521</v>
      </c>
      <c r="B463" s="10">
        <v>45987</v>
      </c>
      <c r="C463" s="11" t="s">
        <v>26</v>
      </c>
      <c r="D463" s="11" t="s">
        <v>23</v>
      </c>
      <c r="E463" s="7" t="s">
        <v>58</v>
      </c>
      <c r="F463" s="9">
        <v>82.4</v>
      </c>
      <c r="G463" s="9">
        <v>28.3</v>
      </c>
      <c r="H463" s="9">
        <v>30.9</v>
      </c>
      <c r="I463" s="9">
        <v>4.8</v>
      </c>
      <c r="J463" s="9">
        <v>1.06</v>
      </c>
      <c r="K463" s="9">
        <v>20</v>
      </c>
      <c r="L463" s="7">
        <v>22.8</v>
      </c>
      <c r="M463" s="7">
        <v>77</v>
      </c>
      <c r="N463" s="7">
        <v>4.7</v>
      </c>
      <c r="O463" s="7">
        <v>214</v>
      </c>
      <c r="P463" s="7" t="s">
        <v>28</v>
      </c>
      <c r="Q463" s="7" t="str">
        <f t="shared" si="28"/>
        <v>Good</v>
      </c>
      <c r="R463" s="7" t="str">
        <f t="shared" si="29"/>
        <v>Normal</v>
      </c>
      <c r="S463" s="7" t="str">
        <f t="shared" si="30"/>
        <v>High Humidity</v>
      </c>
      <c r="T463" s="7" t="str">
        <f t="shared" si="31"/>
        <v>Moderate Wind</v>
      </c>
    </row>
    <row r="464" spans="1:20" x14ac:dyDescent="0.25">
      <c r="A464" s="7" t="s">
        <v>522</v>
      </c>
      <c r="B464" s="10">
        <v>45690</v>
      </c>
      <c r="C464" s="11" t="s">
        <v>26</v>
      </c>
      <c r="D464" s="11" t="s">
        <v>23</v>
      </c>
      <c r="E464" s="7" t="s">
        <v>97</v>
      </c>
      <c r="F464" s="9">
        <v>35.700000000000003</v>
      </c>
      <c r="G464" s="9">
        <v>124.9</v>
      </c>
      <c r="H464" s="9">
        <v>21.6</v>
      </c>
      <c r="I464" s="9">
        <v>2.7</v>
      </c>
      <c r="J464" s="9">
        <v>1.26</v>
      </c>
      <c r="K464" s="9">
        <v>3.7</v>
      </c>
      <c r="L464" s="7">
        <v>25.8</v>
      </c>
      <c r="M464" s="7">
        <v>46.6</v>
      </c>
      <c r="N464" s="7">
        <v>2.8</v>
      </c>
      <c r="O464" s="7">
        <v>191</v>
      </c>
      <c r="P464" s="7" t="s">
        <v>33</v>
      </c>
      <c r="Q464" s="7" t="str">
        <f t="shared" si="28"/>
        <v>Unhealthy</v>
      </c>
      <c r="R464" s="7" t="str">
        <f t="shared" si="29"/>
        <v>Normal</v>
      </c>
      <c r="S464" s="7" t="str">
        <f t="shared" si="30"/>
        <v>Normal Humidity</v>
      </c>
      <c r="T464" s="7" t="str">
        <f t="shared" si="31"/>
        <v>Moderate Wind</v>
      </c>
    </row>
    <row r="465" spans="1:20" x14ac:dyDescent="0.25">
      <c r="A465" s="7" t="s">
        <v>523</v>
      </c>
      <c r="B465" s="10">
        <v>45892</v>
      </c>
      <c r="C465" s="11" t="s">
        <v>93</v>
      </c>
      <c r="D465" s="11" t="s">
        <v>36</v>
      </c>
      <c r="E465" s="7" t="s">
        <v>74</v>
      </c>
      <c r="F465" s="9">
        <v>20.6</v>
      </c>
      <c r="G465" s="9">
        <v>79.5</v>
      </c>
      <c r="H465" s="9">
        <v>28.5</v>
      </c>
      <c r="I465" s="9">
        <v>5.5</v>
      </c>
      <c r="J465" s="9">
        <v>0.4</v>
      </c>
      <c r="K465" s="9">
        <v>41</v>
      </c>
      <c r="L465" s="7">
        <v>12.4</v>
      </c>
      <c r="M465" s="7">
        <v>56.5</v>
      </c>
      <c r="N465" s="7">
        <v>1.7</v>
      </c>
      <c r="O465" s="7">
        <v>140</v>
      </c>
      <c r="P465" s="7" t="s">
        <v>33</v>
      </c>
      <c r="Q465" s="7" t="str">
        <f t="shared" si="28"/>
        <v>Moderate</v>
      </c>
      <c r="R465" s="7" t="str">
        <f t="shared" si="29"/>
        <v>Cool</v>
      </c>
      <c r="S465" s="7" t="str">
        <f t="shared" si="30"/>
        <v>Normal Humidity</v>
      </c>
      <c r="T465" s="7" t="str">
        <f t="shared" si="31"/>
        <v>Low Wind</v>
      </c>
    </row>
    <row r="466" spans="1:20" x14ac:dyDescent="0.25">
      <c r="A466" s="7" t="s">
        <v>524</v>
      </c>
      <c r="B466" s="10">
        <v>46009</v>
      </c>
      <c r="C466" s="11" t="s">
        <v>17</v>
      </c>
      <c r="D466" s="11" t="s">
        <v>18</v>
      </c>
      <c r="E466" s="7" t="s">
        <v>97</v>
      </c>
      <c r="F466" s="9">
        <v>95.2</v>
      </c>
      <c r="G466" s="9">
        <v>31.1</v>
      </c>
      <c r="H466" s="9">
        <v>14</v>
      </c>
      <c r="I466" s="9">
        <v>6.3</v>
      </c>
      <c r="J466" s="9">
        <v>1.3</v>
      </c>
      <c r="K466" s="9">
        <v>62.8</v>
      </c>
      <c r="L466" s="7">
        <v>28.5</v>
      </c>
      <c r="M466" s="7">
        <v>83.6</v>
      </c>
      <c r="N466" s="7">
        <v>0.8</v>
      </c>
      <c r="O466" s="7">
        <v>249</v>
      </c>
      <c r="P466" s="7" t="s">
        <v>28</v>
      </c>
      <c r="Q466" s="7" t="str">
        <f t="shared" si="28"/>
        <v>Good</v>
      </c>
      <c r="R466" s="7" t="str">
        <f t="shared" si="29"/>
        <v>Normal</v>
      </c>
      <c r="S466" s="7" t="str">
        <f t="shared" si="30"/>
        <v>High Humidity</v>
      </c>
      <c r="T466" s="7" t="str">
        <f t="shared" si="31"/>
        <v>Low Wind</v>
      </c>
    </row>
    <row r="467" spans="1:20" x14ac:dyDescent="0.25">
      <c r="A467" s="7" t="s">
        <v>525</v>
      </c>
      <c r="B467" s="10">
        <v>45862</v>
      </c>
      <c r="C467" s="11" t="s">
        <v>17</v>
      </c>
      <c r="D467" s="11" t="s">
        <v>18</v>
      </c>
      <c r="E467" s="7" t="s">
        <v>24</v>
      </c>
      <c r="F467" s="9">
        <v>73.7</v>
      </c>
      <c r="G467" s="9">
        <v>130.5</v>
      </c>
      <c r="H467" s="9">
        <v>4.9000000000000004</v>
      </c>
      <c r="I467" s="9">
        <v>32.1</v>
      </c>
      <c r="J467" s="9">
        <v>0.6</v>
      </c>
      <c r="K467" s="9">
        <v>27.8</v>
      </c>
      <c r="L467" s="7">
        <v>27.2</v>
      </c>
      <c r="M467" s="7">
        <v>75.5</v>
      </c>
      <c r="N467" s="7">
        <v>2.6</v>
      </c>
      <c r="O467" s="7">
        <v>257</v>
      </c>
      <c r="P467" s="7" t="s">
        <v>28</v>
      </c>
      <c r="Q467" s="7" t="str">
        <f t="shared" si="28"/>
        <v>Unhealthy</v>
      </c>
      <c r="R467" s="7" t="str">
        <f t="shared" si="29"/>
        <v>Normal</v>
      </c>
      <c r="S467" s="7" t="str">
        <f t="shared" si="30"/>
        <v>High Humidity</v>
      </c>
      <c r="T467" s="7" t="str">
        <f t="shared" si="31"/>
        <v>Moderate Wind</v>
      </c>
    </row>
    <row r="468" spans="1:20" x14ac:dyDescent="0.25">
      <c r="A468" s="7" t="s">
        <v>526</v>
      </c>
      <c r="B468" s="10">
        <v>45973</v>
      </c>
      <c r="C468" s="11" t="s">
        <v>81</v>
      </c>
      <c r="D468" s="11" t="s">
        <v>39</v>
      </c>
      <c r="E468" s="7" t="s">
        <v>27</v>
      </c>
      <c r="F468" s="9">
        <v>41.9</v>
      </c>
      <c r="G468" s="9">
        <v>120.2</v>
      </c>
      <c r="H468" s="9">
        <v>47</v>
      </c>
      <c r="I468" s="9">
        <v>1.3</v>
      </c>
      <c r="J468" s="9">
        <v>1.38</v>
      </c>
      <c r="K468" s="9">
        <v>22.4</v>
      </c>
      <c r="L468" s="7">
        <v>22.1</v>
      </c>
      <c r="M468" s="7">
        <v>38.9</v>
      </c>
      <c r="N468" s="7">
        <v>0.8</v>
      </c>
      <c r="O468" s="7">
        <v>228</v>
      </c>
      <c r="P468" s="7" t="s">
        <v>28</v>
      </c>
      <c r="Q468" s="7" t="str">
        <f t="shared" si="28"/>
        <v>Unhealthy</v>
      </c>
      <c r="R468" s="7" t="str">
        <f t="shared" si="29"/>
        <v>Normal</v>
      </c>
      <c r="S468" s="7" t="str">
        <f t="shared" si="30"/>
        <v>Normal Humidity</v>
      </c>
      <c r="T468" s="7" t="str">
        <f t="shared" si="31"/>
        <v>Low Wind</v>
      </c>
    </row>
    <row r="469" spans="1:20" x14ac:dyDescent="0.25">
      <c r="A469" s="7" t="s">
        <v>527</v>
      </c>
      <c r="B469" s="10">
        <v>45702</v>
      </c>
      <c r="C469" s="11" t="s">
        <v>77</v>
      </c>
      <c r="D469" s="11" t="s">
        <v>39</v>
      </c>
      <c r="E469" s="7" t="s">
        <v>55</v>
      </c>
      <c r="F469" s="9">
        <v>57.8</v>
      </c>
      <c r="G469" s="9">
        <v>85.4</v>
      </c>
      <c r="H469" s="9">
        <v>21.5</v>
      </c>
      <c r="I469" s="9">
        <v>32.799999999999997</v>
      </c>
      <c r="J469" s="9">
        <v>0.39</v>
      </c>
      <c r="K469" s="9">
        <v>79.900000000000006</v>
      </c>
      <c r="L469" s="7">
        <v>19.8</v>
      </c>
      <c r="M469" s="7">
        <v>53.4</v>
      </c>
      <c r="N469" s="7">
        <v>1.7</v>
      </c>
      <c r="O469" s="7">
        <v>234</v>
      </c>
      <c r="P469" s="7" t="s">
        <v>28</v>
      </c>
      <c r="Q469" s="7" t="str">
        <f t="shared" si="28"/>
        <v>Moderate</v>
      </c>
      <c r="R469" s="7" t="str">
        <f t="shared" si="29"/>
        <v>Cool</v>
      </c>
      <c r="S469" s="7" t="str">
        <f t="shared" si="30"/>
        <v>Normal Humidity</v>
      </c>
      <c r="T469" s="7" t="str">
        <f t="shared" si="31"/>
        <v>Low Wind</v>
      </c>
    </row>
    <row r="470" spans="1:20" x14ac:dyDescent="0.25">
      <c r="A470" s="7" t="s">
        <v>528</v>
      </c>
      <c r="B470" s="10">
        <v>45662</v>
      </c>
      <c r="C470" s="11" t="s">
        <v>30</v>
      </c>
      <c r="D470" s="11" t="s">
        <v>31</v>
      </c>
      <c r="E470" s="7" t="s">
        <v>43</v>
      </c>
      <c r="F470" s="9">
        <v>6.2</v>
      </c>
      <c r="G470" s="9">
        <v>85</v>
      </c>
      <c r="H470" s="9">
        <v>4</v>
      </c>
      <c r="I470" s="9">
        <v>18.7</v>
      </c>
      <c r="J470" s="9">
        <v>1.1100000000000001</v>
      </c>
      <c r="K470" s="9">
        <v>31</v>
      </c>
      <c r="L470" s="7">
        <v>30.8</v>
      </c>
      <c r="M470" s="7">
        <v>85.9</v>
      </c>
      <c r="N470" s="7">
        <v>2.2000000000000002</v>
      </c>
      <c r="O470" s="7">
        <v>123</v>
      </c>
      <c r="P470" s="7" t="s">
        <v>33</v>
      </c>
      <c r="Q470" s="7" t="str">
        <f t="shared" si="28"/>
        <v>Moderate</v>
      </c>
      <c r="R470" s="7" t="str">
        <f t="shared" si="29"/>
        <v>Hot</v>
      </c>
      <c r="S470" s="7" t="str">
        <f t="shared" si="30"/>
        <v>High Humidity</v>
      </c>
      <c r="T470" s="7" t="str">
        <f t="shared" si="31"/>
        <v>Moderate Wind</v>
      </c>
    </row>
    <row r="471" spans="1:20" x14ac:dyDescent="0.25">
      <c r="A471" s="7" t="s">
        <v>529</v>
      </c>
      <c r="B471" s="10">
        <v>45751</v>
      </c>
      <c r="C471" s="11" t="s">
        <v>38</v>
      </c>
      <c r="D471" s="11" t="s">
        <v>39</v>
      </c>
      <c r="E471" s="7" t="s">
        <v>43</v>
      </c>
      <c r="F471" s="9">
        <v>52.2</v>
      </c>
      <c r="G471" s="9">
        <v>119.3</v>
      </c>
      <c r="H471" s="9">
        <v>19.399999999999999</v>
      </c>
      <c r="I471" s="9">
        <v>14.1</v>
      </c>
      <c r="J471" s="9">
        <v>0.68</v>
      </c>
      <c r="K471" s="9">
        <v>27.3</v>
      </c>
      <c r="L471" s="7">
        <v>31.8</v>
      </c>
      <c r="M471" s="7">
        <v>47.8</v>
      </c>
      <c r="N471" s="7">
        <v>1.8</v>
      </c>
      <c r="O471" s="7">
        <v>216</v>
      </c>
      <c r="P471" s="7" t="s">
        <v>28</v>
      </c>
      <c r="Q471" s="7" t="str">
        <f t="shared" si="28"/>
        <v>Unhealthy</v>
      </c>
      <c r="R471" s="7" t="str">
        <f t="shared" si="29"/>
        <v>Hot</v>
      </c>
      <c r="S471" s="7" t="str">
        <f t="shared" si="30"/>
        <v>Normal Humidity</v>
      </c>
      <c r="T471" s="7" t="str">
        <f t="shared" si="31"/>
        <v>Low Wind</v>
      </c>
    </row>
    <row r="472" spans="1:20" x14ac:dyDescent="0.25">
      <c r="A472" s="7" t="s">
        <v>530</v>
      </c>
      <c r="B472" s="10">
        <v>45990</v>
      </c>
      <c r="C472" s="11" t="s">
        <v>81</v>
      </c>
      <c r="D472" s="11" t="s">
        <v>39</v>
      </c>
      <c r="E472" s="7" t="s">
        <v>40</v>
      </c>
      <c r="F472" s="9">
        <v>65.400000000000006</v>
      </c>
      <c r="G472" s="9">
        <v>102.1</v>
      </c>
      <c r="H472" s="9">
        <v>24.2</v>
      </c>
      <c r="I472" s="9">
        <v>5.5</v>
      </c>
      <c r="J472" s="9">
        <v>1.05</v>
      </c>
      <c r="K472" s="9">
        <v>60.9</v>
      </c>
      <c r="L472" s="7">
        <v>22.1</v>
      </c>
      <c r="M472" s="7">
        <v>61.8</v>
      </c>
      <c r="N472" s="7">
        <v>3.1</v>
      </c>
      <c r="O472" s="7">
        <v>248</v>
      </c>
      <c r="P472" s="7" t="s">
        <v>28</v>
      </c>
      <c r="Q472" s="7" t="str">
        <f t="shared" si="28"/>
        <v>Unhealthy</v>
      </c>
      <c r="R472" s="7" t="str">
        <f t="shared" si="29"/>
        <v>Normal</v>
      </c>
      <c r="S472" s="7" t="str">
        <f t="shared" si="30"/>
        <v>High Humidity</v>
      </c>
      <c r="T472" s="7" t="str">
        <f t="shared" si="31"/>
        <v>Moderate Wind</v>
      </c>
    </row>
    <row r="473" spans="1:20" x14ac:dyDescent="0.25">
      <c r="A473" s="7" t="s">
        <v>531</v>
      </c>
      <c r="B473" s="10">
        <v>45949</v>
      </c>
      <c r="C473" s="11" t="s">
        <v>35</v>
      </c>
      <c r="D473" s="11" t="s">
        <v>36</v>
      </c>
      <c r="E473" s="7" t="s">
        <v>61</v>
      </c>
      <c r="F473" s="9">
        <v>75.3</v>
      </c>
      <c r="G473" s="9">
        <v>142</v>
      </c>
      <c r="H473" s="9">
        <v>17.600000000000001</v>
      </c>
      <c r="I473" s="9">
        <v>6.9</v>
      </c>
      <c r="J473" s="9">
        <v>0.72</v>
      </c>
      <c r="K473" s="9">
        <v>15.5</v>
      </c>
      <c r="L473" s="7">
        <v>23.7</v>
      </c>
      <c r="M473" s="7">
        <v>41.3</v>
      </c>
      <c r="N473" s="7">
        <v>2.2000000000000002</v>
      </c>
      <c r="O473" s="7">
        <v>257</v>
      </c>
      <c r="P473" s="7" t="s">
        <v>28</v>
      </c>
      <c r="Q473" s="7" t="str">
        <f t="shared" si="28"/>
        <v>Unhealthy</v>
      </c>
      <c r="R473" s="7" t="str">
        <f t="shared" si="29"/>
        <v>Normal</v>
      </c>
      <c r="S473" s="7" t="str">
        <f t="shared" si="30"/>
        <v>Normal Humidity</v>
      </c>
      <c r="T473" s="7" t="str">
        <f t="shared" si="31"/>
        <v>Moderate Wind</v>
      </c>
    </row>
    <row r="474" spans="1:20" x14ac:dyDescent="0.25">
      <c r="A474" s="7" t="s">
        <v>532</v>
      </c>
      <c r="B474" s="10">
        <v>45925</v>
      </c>
      <c r="C474" s="11" t="s">
        <v>38</v>
      </c>
      <c r="D474" s="11" t="s">
        <v>39</v>
      </c>
      <c r="E474" s="7" t="s">
        <v>24</v>
      </c>
      <c r="F474" s="9">
        <v>40</v>
      </c>
      <c r="G474" s="9">
        <v>138.30000000000001</v>
      </c>
      <c r="H474" s="9">
        <v>15.1</v>
      </c>
      <c r="I474" s="9">
        <v>42</v>
      </c>
      <c r="J474" s="9">
        <v>0.67</v>
      </c>
      <c r="K474" s="9">
        <v>34.1</v>
      </c>
      <c r="L474" s="7">
        <v>19.8</v>
      </c>
      <c r="M474" s="7">
        <v>71.3</v>
      </c>
      <c r="N474" s="7">
        <v>2</v>
      </c>
      <c r="O474" s="7">
        <v>227</v>
      </c>
      <c r="P474" s="7" t="s">
        <v>28</v>
      </c>
      <c r="Q474" s="7" t="str">
        <f t="shared" si="28"/>
        <v>Unhealthy</v>
      </c>
      <c r="R474" s="7" t="str">
        <f t="shared" si="29"/>
        <v>Cool</v>
      </c>
      <c r="S474" s="7" t="str">
        <f t="shared" si="30"/>
        <v>High Humidity</v>
      </c>
      <c r="T474" s="7" t="str">
        <f t="shared" si="31"/>
        <v>Moderate Wind</v>
      </c>
    </row>
    <row r="475" spans="1:20" x14ac:dyDescent="0.25">
      <c r="A475" s="7" t="s">
        <v>533</v>
      </c>
      <c r="B475" s="10">
        <v>45707</v>
      </c>
      <c r="C475" s="11" t="s">
        <v>64</v>
      </c>
      <c r="D475" s="11" t="s">
        <v>36</v>
      </c>
      <c r="E475" s="7" t="s">
        <v>43</v>
      </c>
      <c r="F475" s="9">
        <v>34.6</v>
      </c>
      <c r="G475" s="9">
        <v>131.9</v>
      </c>
      <c r="H475" s="9">
        <v>54.9</v>
      </c>
      <c r="I475" s="9">
        <v>33.1</v>
      </c>
      <c r="J475" s="9">
        <v>2.12</v>
      </c>
      <c r="K475" s="9">
        <v>18.2</v>
      </c>
      <c r="L475" s="7">
        <v>30</v>
      </c>
      <c r="M475" s="7">
        <v>72.599999999999994</v>
      </c>
      <c r="N475" s="7">
        <v>0.1</v>
      </c>
      <c r="O475" s="7">
        <v>269</v>
      </c>
      <c r="P475" s="7" t="s">
        <v>28</v>
      </c>
      <c r="Q475" s="7" t="str">
        <f t="shared" si="28"/>
        <v>Unhealthy</v>
      </c>
      <c r="R475" s="7" t="str">
        <f t="shared" si="29"/>
        <v>Normal</v>
      </c>
      <c r="S475" s="7" t="str">
        <f t="shared" si="30"/>
        <v>High Humidity</v>
      </c>
      <c r="T475" s="7" t="str">
        <f t="shared" si="31"/>
        <v>Low Wind</v>
      </c>
    </row>
    <row r="476" spans="1:20" x14ac:dyDescent="0.25">
      <c r="A476" s="7" t="s">
        <v>534</v>
      </c>
      <c r="B476" s="10">
        <v>46000</v>
      </c>
      <c r="C476" s="11" t="s">
        <v>52</v>
      </c>
      <c r="D476" s="11" t="s">
        <v>31</v>
      </c>
      <c r="E476" s="7" t="s">
        <v>27</v>
      </c>
      <c r="F476" s="9">
        <v>62.7</v>
      </c>
      <c r="G476" s="9">
        <v>148</v>
      </c>
      <c r="H476" s="9">
        <v>22.3</v>
      </c>
      <c r="I476" s="9">
        <v>21.3</v>
      </c>
      <c r="J476" s="9">
        <v>0.82</v>
      </c>
      <c r="K476" s="9">
        <v>7.4</v>
      </c>
      <c r="L476" s="7">
        <v>26.1</v>
      </c>
      <c r="M476" s="7">
        <v>82.1</v>
      </c>
      <c r="N476" s="7">
        <v>2.2999999999999998</v>
      </c>
      <c r="O476" s="7">
        <v>253</v>
      </c>
      <c r="P476" s="7" t="s">
        <v>28</v>
      </c>
      <c r="Q476" s="7" t="str">
        <f t="shared" si="28"/>
        <v>Unhealthy</v>
      </c>
      <c r="R476" s="7" t="str">
        <f t="shared" si="29"/>
        <v>Normal</v>
      </c>
      <c r="S476" s="7" t="str">
        <f t="shared" si="30"/>
        <v>High Humidity</v>
      </c>
      <c r="T476" s="7" t="str">
        <f t="shared" si="31"/>
        <v>Moderate Wind</v>
      </c>
    </row>
    <row r="477" spans="1:20" x14ac:dyDescent="0.25">
      <c r="A477" s="7" t="s">
        <v>535</v>
      </c>
      <c r="B477" s="10">
        <v>46001</v>
      </c>
      <c r="C477" s="11" t="s">
        <v>30</v>
      </c>
      <c r="D477" s="11" t="s">
        <v>31</v>
      </c>
      <c r="E477" s="7" t="s">
        <v>40</v>
      </c>
      <c r="F477" s="9">
        <v>36.6</v>
      </c>
      <c r="G477" s="9">
        <v>41.3</v>
      </c>
      <c r="H477" s="9">
        <v>45.8</v>
      </c>
      <c r="I477" s="9">
        <v>3.9</v>
      </c>
      <c r="J477" s="9">
        <v>0.57999999999999996</v>
      </c>
      <c r="K477" s="9">
        <v>31.3</v>
      </c>
      <c r="L477" s="7">
        <v>35.200000000000003</v>
      </c>
      <c r="M477" s="7">
        <v>75.099999999999994</v>
      </c>
      <c r="N477" s="7">
        <v>1</v>
      </c>
      <c r="O477" s="7">
        <v>153</v>
      </c>
      <c r="P477" s="7" t="s">
        <v>33</v>
      </c>
      <c r="Q477" s="7" t="str">
        <f t="shared" si="28"/>
        <v>Good</v>
      </c>
      <c r="R477" s="7" t="str">
        <f t="shared" si="29"/>
        <v>Hot</v>
      </c>
      <c r="S477" s="7" t="str">
        <f t="shared" si="30"/>
        <v>High Humidity</v>
      </c>
      <c r="T477" s="7" t="str">
        <f t="shared" si="31"/>
        <v>Low Wind</v>
      </c>
    </row>
    <row r="478" spans="1:20" x14ac:dyDescent="0.25">
      <c r="A478" s="7" t="s">
        <v>536</v>
      </c>
      <c r="B478" s="10">
        <v>45795</v>
      </c>
      <c r="C478" s="11" t="s">
        <v>52</v>
      </c>
      <c r="D478" s="11" t="s">
        <v>31</v>
      </c>
      <c r="E478" s="7" t="s">
        <v>32</v>
      </c>
      <c r="F478" s="9">
        <v>44.3</v>
      </c>
      <c r="G478" s="9">
        <v>97.6</v>
      </c>
      <c r="H478" s="9">
        <v>14</v>
      </c>
      <c r="I478" s="9">
        <v>31.2</v>
      </c>
      <c r="J478" s="9">
        <v>0.78</v>
      </c>
      <c r="K478" s="9">
        <v>29.2</v>
      </c>
      <c r="L478" s="7">
        <v>28.9</v>
      </c>
      <c r="M478" s="7">
        <v>41.6</v>
      </c>
      <c r="N478" s="7">
        <v>3.1</v>
      </c>
      <c r="O478" s="7">
        <v>200</v>
      </c>
      <c r="P478" s="7" t="s">
        <v>33</v>
      </c>
      <c r="Q478" s="7" t="str">
        <f t="shared" si="28"/>
        <v>Moderate</v>
      </c>
      <c r="R478" s="7" t="str">
        <f t="shared" si="29"/>
        <v>Normal</v>
      </c>
      <c r="S478" s="7" t="str">
        <f t="shared" si="30"/>
        <v>Normal Humidity</v>
      </c>
      <c r="T478" s="7" t="str">
        <f t="shared" si="31"/>
        <v>Moderate Wind</v>
      </c>
    </row>
    <row r="479" spans="1:20" x14ac:dyDescent="0.25">
      <c r="A479" s="7" t="s">
        <v>537</v>
      </c>
      <c r="B479" s="10">
        <v>46003</v>
      </c>
      <c r="C479" s="11" t="s">
        <v>35</v>
      </c>
      <c r="D479" s="11" t="s">
        <v>36</v>
      </c>
      <c r="E479" s="7" t="s">
        <v>68</v>
      </c>
      <c r="F479" s="9">
        <v>12.6</v>
      </c>
      <c r="G479" s="9">
        <v>80.099999999999994</v>
      </c>
      <c r="H479" s="9">
        <v>34.299999999999997</v>
      </c>
      <c r="I479" s="9">
        <v>1.2</v>
      </c>
      <c r="J479" s="9">
        <v>1.65</v>
      </c>
      <c r="K479" s="9">
        <v>62.3</v>
      </c>
      <c r="L479" s="7">
        <v>25.4</v>
      </c>
      <c r="M479" s="7">
        <v>48</v>
      </c>
      <c r="N479" s="7">
        <v>2.8</v>
      </c>
      <c r="O479" s="7">
        <v>170</v>
      </c>
      <c r="P479" s="7" t="s">
        <v>33</v>
      </c>
      <c r="Q479" s="7" t="str">
        <f t="shared" si="28"/>
        <v>Moderate</v>
      </c>
      <c r="R479" s="7" t="str">
        <f t="shared" si="29"/>
        <v>Normal</v>
      </c>
      <c r="S479" s="7" t="str">
        <f t="shared" si="30"/>
        <v>Normal Humidity</v>
      </c>
      <c r="T479" s="7" t="str">
        <f t="shared" si="31"/>
        <v>Moderate Wind</v>
      </c>
    </row>
    <row r="480" spans="1:20" x14ac:dyDescent="0.25">
      <c r="A480" s="7" t="s">
        <v>539</v>
      </c>
      <c r="B480" s="10">
        <v>45748</v>
      </c>
      <c r="C480" s="11" t="s">
        <v>99</v>
      </c>
      <c r="D480" s="11" t="s">
        <v>36</v>
      </c>
      <c r="E480" s="7" t="s">
        <v>55</v>
      </c>
      <c r="F480" s="9">
        <v>85</v>
      </c>
      <c r="G480" s="9">
        <v>52.7</v>
      </c>
      <c r="H480" s="9">
        <v>12.4</v>
      </c>
      <c r="I480" s="9">
        <v>54.8</v>
      </c>
      <c r="J480" s="9">
        <v>0.38</v>
      </c>
      <c r="K480" s="9">
        <v>30.2</v>
      </c>
      <c r="L480" s="7">
        <v>34.799999999999997</v>
      </c>
      <c r="M480" s="7">
        <v>63.8</v>
      </c>
      <c r="N480" s="7">
        <v>2.1</v>
      </c>
      <c r="O480" s="7">
        <v>242</v>
      </c>
      <c r="P480" s="7" t="s">
        <v>28</v>
      </c>
      <c r="Q480" s="7" t="str">
        <f t="shared" si="28"/>
        <v>Moderate</v>
      </c>
      <c r="R480" s="7" t="str">
        <f t="shared" si="29"/>
        <v>Hot</v>
      </c>
      <c r="S480" s="7" t="str">
        <f t="shared" si="30"/>
        <v>High Humidity</v>
      </c>
      <c r="T480" s="7" t="str">
        <f t="shared" si="31"/>
        <v>Moderate Wind</v>
      </c>
    </row>
    <row r="481" spans="1:20" x14ac:dyDescent="0.25">
      <c r="A481" s="7" t="s">
        <v>540</v>
      </c>
      <c r="B481" s="10">
        <v>45891</v>
      </c>
      <c r="C481" s="11" t="s">
        <v>99</v>
      </c>
      <c r="D481" s="11" t="s">
        <v>36</v>
      </c>
      <c r="E481" s="7" t="s">
        <v>40</v>
      </c>
      <c r="F481" s="9">
        <v>49.7</v>
      </c>
      <c r="G481" s="9">
        <v>65.900000000000006</v>
      </c>
      <c r="H481" s="9">
        <v>16.5</v>
      </c>
      <c r="I481" s="9">
        <v>3.4</v>
      </c>
      <c r="J481" s="9">
        <v>1.1499999999999999</v>
      </c>
      <c r="K481" s="9">
        <v>29.4</v>
      </c>
      <c r="L481" s="7">
        <v>32.4</v>
      </c>
      <c r="M481" s="7">
        <v>60.4</v>
      </c>
      <c r="N481" s="7">
        <v>3.4</v>
      </c>
      <c r="O481" s="7">
        <v>180</v>
      </c>
      <c r="P481" s="7" t="s">
        <v>33</v>
      </c>
      <c r="Q481" s="7" t="str">
        <f t="shared" si="28"/>
        <v>Moderate</v>
      </c>
      <c r="R481" s="7" t="str">
        <f t="shared" si="29"/>
        <v>Hot</v>
      </c>
      <c r="S481" s="7" t="str">
        <f t="shared" si="30"/>
        <v>High Humidity</v>
      </c>
      <c r="T481" s="7" t="str">
        <f t="shared" si="31"/>
        <v>Moderate Wind</v>
      </c>
    </row>
    <row r="482" spans="1:20" x14ac:dyDescent="0.25">
      <c r="A482" s="7" t="s">
        <v>541</v>
      </c>
      <c r="B482" s="10">
        <v>45843</v>
      </c>
      <c r="C482" s="11" t="s">
        <v>77</v>
      </c>
      <c r="D482" s="11" t="s">
        <v>39</v>
      </c>
      <c r="E482" s="7" t="s">
        <v>68</v>
      </c>
      <c r="F482" s="9">
        <v>50.7</v>
      </c>
      <c r="G482" s="9">
        <v>92.2</v>
      </c>
      <c r="H482" s="9">
        <v>9.1999999999999993</v>
      </c>
      <c r="I482" s="9">
        <v>6.7</v>
      </c>
      <c r="J482" s="9">
        <v>0.44</v>
      </c>
      <c r="K482" s="9">
        <v>25.8</v>
      </c>
      <c r="L482" s="7">
        <v>24.4</v>
      </c>
      <c r="M482" s="7">
        <v>60.2</v>
      </c>
      <c r="N482" s="7">
        <v>3</v>
      </c>
      <c r="O482" s="7">
        <v>176</v>
      </c>
      <c r="P482" s="7" t="s">
        <v>33</v>
      </c>
      <c r="Q482" s="7" t="str">
        <f t="shared" si="28"/>
        <v>Moderate</v>
      </c>
      <c r="R482" s="7" t="str">
        <f t="shared" si="29"/>
        <v>Normal</v>
      </c>
      <c r="S482" s="7" t="str">
        <f t="shared" si="30"/>
        <v>High Humidity</v>
      </c>
      <c r="T482" s="7" t="str">
        <f t="shared" si="31"/>
        <v>Moderate Wind</v>
      </c>
    </row>
    <row r="483" spans="1:20" x14ac:dyDescent="0.25">
      <c r="A483" s="7" t="s">
        <v>542</v>
      </c>
      <c r="B483" s="10">
        <v>45768</v>
      </c>
      <c r="C483" s="11" t="s">
        <v>50</v>
      </c>
      <c r="D483" s="11" t="s">
        <v>31</v>
      </c>
      <c r="E483" s="7" t="s">
        <v>70</v>
      </c>
      <c r="F483" s="9">
        <v>81.099999999999994</v>
      </c>
      <c r="G483" s="9">
        <v>44.8</v>
      </c>
      <c r="H483" s="9">
        <v>20.399999999999999</v>
      </c>
      <c r="I483" s="9">
        <v>1</v>
      </c>
      <c r="J483" s="9">
        <v>1.81</v>
      </c>
      <c r="K483" s="9">
        <v>38.700000000000003</v>
      </c>
      <c r="L483" s="7">
        <v>39.799999999999997</v>
      </c>
      <c r="M483" s="7">
        <v>50.1</v>
      </c>
      <c r="N483" s="7">
        <v>2.9</v>
      </c>
      <c r="O483" s="7">
        <v>239</v>
      </c>
      <c r="P483" s="7" t="s">
        <v>28</v>
      </c>
      <c r="Q483" s="7" t="str">
        <f t="shared" si="28"/>
        <v>Good</v>
      </c>
      <c r="R483" s="7" t="str">
        <f t="shared" si="29"/>
        <v>Hot</v>
      </c>
      <c r="S483" s="7" t="str">
        <f t="shared" si="30"/>
        <v>Normal Humidity</v>
      </c>
      <c r="T483" s="7" t="str">
        <f t="shared" si="31"/>
        <v>Moderate Wind</v>
      </c>
    </row>
    <row r="484" spans="1:20" x14ac:dyDescent="0.25">
      <c r="A484" s="7" t="s">
        <v>543</v>
      </c>
      <c r="B484" s="10">
        <v>45732</v>
      </c>
      <c r="C484" s="11" t="s">
        <v>26</v>
      </c>
      <c r="D484" s="11" t="s">
        <v>23</v>
      </c>
      <c r="E484" s="7" t="s">
        <v>43</v>
      </c>
      <c r="F484" s="9">
        <v>64.599999999999994</v>
      </c>
      <c r="G484" s="9">
        <v>114.1</v>
      </c>
      <c r="H484" s="9">
        <v>24.5</v>
      </c>
      <c r="I484" s="9">
        <v>4.5</v>
      </c>
      <c r="J484" s="9">
        <v>0.12</v>
      </c>
      <c r="K484" s="9">
        <v>44.9</v>
      </c>
      <c r="L484" s="7">
        <v>30.2</v>
      </c>
      <c r="M484" s="7">
        <v>74.2</v>
      </c>
      <c r="N484" s="7">
        <v>1.7</v>
      </c>
      <c r="O484" s="7">
        <v>223</v>
      </c>
      <c r="P484" s="7" t="s">
        <v>28</v>
      </c>
      <c r="Q484" s="7" t="str">
        <f t="shared" si="28"/>
        <v>Unhealthy</v>
      </c>
      <c r="R484" s="7" t="str">
        <f t="shared" si="29"/>
        <v>Hot</v>
      </c>
      <c r="S484" s="7" t="str">
        <f t="shared" si="30"/>
        <v>High Humidity</v>
      </c>
      <c r="T484" s="7" t="str">
        <f t="shared" si="31"/>
        <v>Low Wind</v>
      </c>
    </row>
    <row r="485" spans="1:20" x14ac:dyDescent="0.25">
      <c r="A485" s="7" t="s">
        <v>544</v>
      </c>
      <c r="B485" s="10">
        <v>45995</v>
      </c>
      <c r="C485" s="11" t="s">
        <v>67</v>
      </c>
      <c r="D485" s="11" t="s">
        <v>18</v>
      </c>
      <c r="E485" s="7" t="s">
        <v>55</v>
      </c>
      <c r="F485" s="9">
        <v>32.299999999999997</v>
      </c>
      <c r="G485" s="9">
        <v>62.9</v>
      </c>
      <c r="H485" s="9">
        <v>37.4</v>
      </c>
      <c r="I485" s="9">
        <v>11.8</v>
      </c>
      <c r="J485" s="9">
        <v>1.05</v>
      </c>
      <c r="K485" s="9">
        <v>11.8</v>
      </c>
      <c r="L485" s="7">
        <v>41</v>
      </c>
      <c r="M485" s="7">
        <v>83.3</v>
      </c>
      <c r="N485" s="7">
        <v>3.6</v>
      </c>
      <c r="O485" s="7">
        <v>162</v>
      </c>
      <c r="P485" s="7" t="s">
        <v>33</v>
      </c>
      <c r="Q485" s="7" t="str">
        <f t="shared" si="28"/>
        <v>Moderate</v>
      </c>
      <c r="R485" s="7" t="str">
        <f t="shared" si="29"/>
        <v>Hot</v>
      </c>
      <c r="S485" s="7" t="str">
        <f t="shared" si="30"/>
        <v>High Humidity</v>
      </c>
      <c r="T485" s="7" t="str">
        <f t="shared" si="31"/>
        <v>Moderate Wind</v>
      </c>
    </row>
    <row r="486" spans="1:20" x14ac:dyDescent="0.25">
      <c r="A486" s="7" t="s">
        <v>545</v>
      </c>
      <c r="B486" s="10">
        <v>45966</v>
      </c>
      <c r="C486" s="11" t="s">
        <v>17</v>
      </c>
      <c r="D486" s="11" t="s">
        <v>18</v>
      </c>
      <c r="E486" s="7" t="s">
        <v>32</v>
      </c>
      <c r="F486" s="9">
        <v>14.2</v>
      </c>
      <c r="G486" s="9">
        <v>20.5</v>
      </c>
      <c r="H486" s="9">
        <v>11.3</v>
      </c>
      <c r="I486" s="9">
        <v>18.3</v>
      </c>
      <c r="J486" s="9">
        <v>0.59</v>
      </c>
      <c r="K486" s="9">
        <v>8.1</v>
      </c>
      <c r="L486" s="7">
        <v>27.1</v>
      </c>
      <c r="M486" s="7">
        <v>44.3</v>
      </c>
      <c r="N486" s="7">
        <v>2.4</v>
      </c>
      <c r="O486" s="7">
        <v>76</v>
      </c>
      <c r="P486" s="7" t="s">
        <v>71</v>
      </c>
      <c r="Q486" s="7" t="str">
        <f t="shared" si="28"/>
        <v>Good</v>
      </c>
      <c r="R486" s="7" t="str">
        <f t="shared" si="29"/>
        <v>Normal</v>
      </c>
      <c r="S486" s="7" t="str">
        <f t="shared" si="30"/>
        <v>Normal Humidity</v>
      </c>
      <c r="T486" s="7" t="str">
        <f t="shared" si="31"/>
        <v>Moderate Wind</v>
      </c>
    </row>
    <row r="487" spans="1:20" x14ac:dyDescent="0.25">
      <c r="A487" s="7" t="s">
        <v>546</v>
      </c>
      <c r="B487" s="10">
        <v>45949</v>
      </c>
      <c r="C487" s="11" t="s">
        <v>67</v>
      </c>
      <c r="D487" s="11" t="s">
        <v>18</v>
      </c>
      <c r="E487" s="7" t="s">
        <v>27</v>
      </c>
      <c r="F487" s="9">
        <v>71.099999999999994</v>
      </c>
      <c r="G487" s="9">
        <v>81.599999999999994</v>
      </c>
      <c r="H487" s="9">
        <v>44</v>
      </c>
      <c r="I487" s="9">
        <v>11.2</v>
      </c>
      <c r="J487" s="9">
        <v>0.6</v>
      </c>
      <c r="K487" s="9">
        <v>31.1</v>
      </c>
      <c r="L487" s="7">
        <v>28</v>
      </c>
      <c r="M487" s="7">
        <v>55.4</v>
      </c>
      <c r="N487" s="7">
        <v>1.8</v>
      </c>
      <c r="O487" s="7">
        <v>239</v>
      </c>
      <c r="P487" s="7" t="s">
        <v>28</v>
      </c>
      <c r="Q487" s="7" t="str">
        <f t="shared" si="28"/>
        <v>Moderate</v>
      </c>
      <c r="R487" s="7" t="str">
        <f t="shared" si="29"/>
        <v>Normal</v>
      </c>
      <c r="S487" s="7" t="str">
        <f t="shared" si="30"/>
        <v>Normal Humidity</v>
      </c>
      <c r="T487" s="7" t="str">
        <f t="shared" si="31"/>
        <v>Low Wind</v>
      </c>
    </row>
    <row r="488" spans="1:20" x14ac:dyDescent="0.25">
      <c r="A488" s="7" t="s">
        <v>547</v>
      </c>
      <c r="B488" s="10">
        <v>45786</v>
      </c>
      <c r="C488" s="11" t="s">
        <v>64</v>
      </c>
      <c r="D488" s="11" t="s">
        <v>36</v>
      </c>
      <c r="E488" s="7" t="s">
        <v>43</v>
      </c>
      <c r="F488" s="9">
        <v>18</v>
      </c>
      <c r="G488" s="9">
        <v>155.19999999999999</v>
      </c>
      <c r="H488" s="9">
        <v>59.2</v>
      </c>
      <c r="I488" s="9">
        <v>19.2</v>
      </c>
      <c r="J488" s="9">
        <v>0.98</v>
      </c>
      <c r="K488" s="9">
        <v>29.1</v>
      </c>
      <c r="L488" s="7">
        <v>19.3</v>
      </c>
      <c r="M488" s="7">
        <v>64.400000000000006</v>
      </c>
      <c r="N488" s="7">
        <v>1</v>
      </c>
      <c r="O488" s="7">
        <v>228</v>
      </c>
      <c r="P488" s="7" t="s">
        <v>28</v>
      </c>
      <c r="Q488" s="7" t="str">
        <f t="shared" si="28"/>
        <v>VeryUnhealthy</v>
      </c>
      <c r="R488" s="7" t="str">
        <f t="shared" si="29"/>
        <v>Cool</v>
      </c>
      <c r="S488" s="7" t="str">
        <f t="shared" si="30"/>
        <v>High Humidity</v>
      </c>
      <c r="T488" s="7" t="str">
        <f t="shared" si="31"/>
        <v>Low Wind</v>
      </c>
    </row>
    <row r="489" spans="1:20" x14ac:dyDescent="0.25">
      <c r="A489" s="7" t="s">
        <v>548</v>
      </c>
      <c r="B489" s="10">
        <v>45927</v>
      </c>
      <c r="C489" s="11" t="s">
        <v>38</v>
      </c>
      <c r="D489" s="11" t="s">
        <v>39</v>
      </c>
      <c r="E489" s="7" t="s">
        <v>45</v>
      </c>
      <c r="F489" s="9">
        <v>47.3</v>
      </c>
      <c r="G489" s="9">
        <v>101.5</v>
      </c>
      <c r="H489" s="9">
        <v>64.7</v>
      </c>
      <c r="I489" s="9">
        <v>12.9</v>
      </c>
      <c r="J489" s="9">
        <v>0.65</v>
      </c>
      <c r="K489" s="9">
        <v>31.3</v>
      </c>
      <c r="L489" s="7">
        <v>23.2</v>
      </c>
      <c r="M489" s="7">
        <v>73.7</v>
      </c>
      <c r="N489" s="7">
        <v>0.1</v>
      </c>
      <c r="O489" s="7">
        <v>233</v>
      </c>
      <c r="P489" s="7" t="s">
        <v>28</v>
      </c>
      <c r="Q489" s="7" t="str">
        <f t="shared" si="28"/>
        <v>Unhealthy</v>
      </c>
      <c r="R489" s="7" t="str">
        <f t="shared" si="29"/>
        <v>Normal</v>
      </c>
      <c r="S489" s="7" t="str">
        <f t="shared" si="30"/>
        <v>High Humidity</v>
      </c>
      <c r="T489" s="7" t="str">
        <f t="shared" si="31"/>
        <v>Low Wind</v>
      </c>
    </row>
    <row r="490" spans="1:20" x14ac:dyDescent="0.25">
      <c r="A490" s="7" t="s">
        <v>549</v>
      </c>
      <c r="B490" s="10">
        <v>46005</v>
      </c>
      <c r="C490" s="11" t="s">
        <v>81</v>
      </c>
      <c r="D490" s="11" t="s">
        <v>39</v>
      </c>
      <c r="E490" s="7" t="s">
        <v>70</v>
      </c>
      <c r="F490" s="9">
        <v>46.4</v>
      </c>
      <c r="G490" s="9">
        <v>66.400000000000006</v>
      </c>
      <c r="H490" s="9">
        <v>40.6</v>
      </c>
      <c r="I490" s="9">
        <v>20.2</v>
      </c>
      <c r="J490" s="9">
        <v>1.65</v>
      </c>
      <c r="K490" s="9">
        <v>27.8</v>
      </c>
      <c r="L490" s="7">
        <v>23.7</v>
      </c>
      <c r="M490" s="7">
        <v>66.599999999999994</v>
      </c>
      <c r="N490" s="7">
        <v>1.3</v>
      </c>
      <c r="O490" s="7">
        <v>218</v>
      </c>
      <c r="P490" s="7" t="s">
        <v>28</v>
      </c>
      <c r="Q490" s="7" t="str">
        <f t="shared" si="28"/>
        <v>Moderate</v>
      </c>
      <c r="R490" s="7" t="str">
        <f t="shared" si="29"/>
        <v>Normal</v>
      </c>
      <c r="S490" s="7" t="str">
        <f t="shared" si="30"/>
        <v>High Humidity</v>
      </c>
      <c r="T490" s="7" t="str">
        <f t="shared" si="31"/>
        <v>Low Wind</v>
      </c>
    </row>
    <row r="491" spans="1:20" x14ac:dyDescent="0.25">
      <c r="A491" s="7" t="s">
        <v>550</v>
      </c>
      <c r="B491" s="10">
        <v>45709</v>
      </c>
      <c r="C491" s="11" t="s">
        <v>22</v>
      </c>
      <c r="D491" s="11" t="s">
        <v>23</v>
      </c>
      <c r="E491" s="7" t="s">
        <v>19</v>
      </c>
      <c r="F491" s="9">
        <v>26.9</v>
      </c>
      <c r="G491" s="9">
        <v>24.7</v>
      </c>
      <c r="H491" s="9">
        <v>19</v>
      </c>
      <c r="I491" s="9">
        <v>0.5</v>
      </c>
      <c r="J491" s="9">
        <v>0.97</v>
      </c>
      <c r="K491" s="9">
        <v>35.299999999999997</v>
      </c>
      <c r="L491" s="7">
        <v>28.3</v>
      </c>
      <c r="M491" s="7">
        <v>69.3</v>
      </c>
      <c r="N491" s="7">
        <v>1.8</v>
      </c>
      <c r="O491" s="7">
        <v>115</v>
      </c>
      <c r="P491" s="7" t="s">
        <v>33</v>
      </c>
      <c r="Q491" s="7" t="str">
        <f t="shared" si="28"/>
        <v>Good</v>
      </c>
      <c r="R491" s="7" t="str">
        <f t="shared" si="29"/>
        <v>Normal</v>
      </c>
      <c r="S491" s="7" t="str">
        <f t="shared" si="30"/>
        <v>High Humidity</v>
      </c>
      <c r="T491" s="7" t="str">
        <f t="shared" si="31"/>
        <v>Low Wind</v>
      </c>
    </row>
    <row r="492" spans="1:20" x14ac:dyDescent="0.25">
      <c r="A492" s="7" t="s">
        <v>551</v>
      </c>
      <c r="B492" s="10">
        <v>45941</v>
      </c>
      <c r="C492" s="11" t="s">
        <v>35</v>
      </c>
      <c r="D492" s="11" t="s">
        <v>36</v>
      </c>
      <c r="E492" s="7" t="s">
        <v>70</v>
      </c>
      <c r="F492" s="9">
        <v>67.900000000000006</v>
      </c>
      <c r="G492" s="9">
        <v>70.2</v>
      </c>
      <c r="H492" s="9">
        <v>35.5</v>
      </c>
      <c r="I492" s="9">
        <v>6.2</v>
      </c>
      <c r="J492" s="9">
        <v>0.68</v>
      </c>
      <c r="K492" s="9">
        <v>52.1</v>
      </c>
      <c r="L492" s="7">
        <v>27.4</v>
      </c>
      <c r="M492" s="7">
        <v>51.7</v>
      </c>
      <c r="N492" s="7">
        <v>2.5</v>
      </c>
      <c r="O492" s="7">
        <v>227</v>
      </c>
      <c r="P492" s="7" t="s">
        <v>28</v>
      </c>
      <c r="Q492" s="7" t="str">
        <f t="shared" si="28"/>
        <v>Moderate</v>
      </c>
      <c r="R492" s="7" t="str">
        <f t="shared" si="29"/>
        <v>Normal</v>
      </c>
      <c r="S492" s="7" t="str">
        <f t="shared" si="30"/>
        <v>Normal Humidity</v>
      </c>
      <c r="T492" s="7" t="str">
        <f t="shared" si="31"/>
        <v>Moderate Wind</v>
      </c>
    </row>
    <row r="493" spans="1:20" x14ac:dyDescent="0.25">
      <c r="A493" s="7" t="s">
        <v>552</v>
      </c>
      <c r="B493" s="10">
        <v>45880</v>
      </c>
      <c r="C493" s="11" t="s">
        <v>26</v>
      </c>
      <c r="D493" s="11" t="s">
        <v>23</v>
      </c>
      <c r="E493" s="7" t="s">
        <v>55</v>
      </c>
      <c r="F493" s="9">
        <v>64.599999999999994</v>
      </c>
      <c r="G493" s="9">
        <v>44.5</v>
      </c>
      <c r="H493" s="9">
        <v>21.6</v>
      </c>
      <c r="I493" s="9">
        <v>18.100000000000001</v>
      </c>
      <c r="J493" s="9">
        <v>0.56000000000000005</v>
      </c>
      <c r="K493" s="9">
        <v>28.3</v>
      </c>
      <c r="L493" s="7">
        <v>28.9</v>
      </c>
      <c r="M493" s="7">
        <v>53.8</v>
      </c>
      <c r="N493" s="7">
        <v>2.4</v>
      </c>
      <c r="O493" s="7">
        <v>189</v>
      </c>
      <c r="P493" s="7" t="s">
        <v>33</v>
      </c>
      <c r="Q493" s="7" t="str">
        <f t="shared" si="28"/>
        <v>Good</v>
      </c>
      <c r="R493" s="7" t="str">
        <f t="shared" si="29"/>
        <v>Normal</v>
      </c>
      <c r="S493" s="7" t="str">
        <f t="shared" si="30"/>
        <v>Normal Humidity</v>
      </c>
      <c r="T493" s="7" t="str">
        <f t="shared" si="31"/>
        <v>Moderate Wind</v>
      </c>
    </row>
    <row r="494" spans="1:20" x14ac:dyDescent="0.25">
      <c r="A494" s="7" t="s">
        <v>553</v>
      </c>
      <c r="B494" s="10">
        <v>45832</v>
      </c>
      <c r="C494" s="11" t="s">
        <v>42</v>
      </c>
      <c r="D494" s="11" t="s">
        <v>23</v>
      </c>
      <c r="E494" s="7" t="s">
        <v>68</v>
      </c>
      <c r="F494" s="9">
        <v>70.900000000000006</v>
      </c>
      <c r="G494" s="9">
        <v>57.1</v>
      </c>
      <c r="H494" s="9">
        <v>31.9</v>
      </c>
      <c r="I494" s="9">
        <v>5.7</v>
      </c>
      <c r="J494" s="9">
        <v>1.08</v>
      </c>
      <c r="K494" s="9">
        <v>38.1</v>
      </c>
      <c r="L494" s="7">
        <v>29</v>
      </c>
      <c r="M494" s="7">
        <v>74</v>
      </c>
      <c r="N494" s="7">
        <v>1.3</v>
      </c>
      <c r="O494" s="7">
        <v>224</v>
      </c>
      <c r="P494" s="7" t="s">
        <v>28</v>
      </c>
      <c r="Q494" s="7" t="str">
        <f t="shared" si="28"/>
        <v>Moderate</v>
      </c>
      <c r="R494" s="7" t="str">
        <f t="shared" si="29"/>
        <v>Normal</v>
      </c>
      <c r="S494" s="7" t="str">
        <f t="shared" si="30"/>
        <v>High Humidity</v>
      </c>
      <c r="T494" s="7" t="str">
        <f t="shared" si="31"/>
        <v>Low Wind</v>
      </c>
    </row>
    <row r="495" spans="1:20" x14ac:dyDescent="0.25">
      <c r="A495" s="7" t="s">
        <v>554</v>
      </c>
      <c r="B495" s="10">
        <v>45956</v>
      </c>
      <c r="C495" s="11" t="s">
        <v>38</v>
      </c>
      <c r="D495" s="11" t="s">
        <v>39</v>
      </c>
      <c r="E495" s="7" t="s">
        <v>55</v>
      </c>
      <c r="F495" s="9">
        <v>26.6</v>
      </c>
      <c r="G495" s="9">
        <v>50.2</v>
      </c>
      <c r="H495" s="9">
        <v>20</v>
      </c>
      <c r="I495" s="9">
        <v>11.9</v>
      </c>
      <c r="J495" s="9">
        <v>0.88</v>
      </c>
      <c r="K495" s="9">
        <v>76.599999999999994</v>
      </c>
      <c r="L495" s="7">
        <v>24.7</v>
      </c>
      <c r="M495" s="7">
        <v>82.2</v>
      </c>
      <c r="N495" s="7">
        <v>2.7</v>
      </c>
      <c r="O495" s="7">
        <v>156</v>
      </c>
      <c r="P495" s="7" t="s">
        <v>33</v>
      </c>
      <c r="Q495" s="7" t="str">
        <f t="shared" si="28"/>
        <v>Moderate</v>
      </c>
      <c r="R495" s="7" t="str">
        <f t="shared" si="29"/>
        <v>Normal</v>
      </c>
      <c r="S495" s="7" t="str">
        <f t="shared" si="30"/>
        <v>High Humidity</v>
      </c>
      <c r="T495" s="7" t="str">
        <f t="shared" si="31"/>
        <v>Moderate Wind</v>
      </c>
    </row>
    <row r="496" spans="1:20" x14ac:dyDescent="0.25">
      <c r="A496" s="7" t="s">
        <v>555</v>
      </c>
      <c r="B496" s="10">
        <v>45877</v>
      </c>
      <c r="C496" s="11" t="s">
        <v>35</v>
      </c>
      <c r="D496" s="11" t="s">
        <v>36</v>
      </c>
      <c r="E496" s="7" t="s">
        <v>68</v>
      </c>
      <c r="F496" s="9">
        <v>56.7</v>
      </c>
      <c r="G496" s="9">
        <v>199.8</v>
      </c>
      <c r="H496" s="9">
        <v>23.3</v>
      </c>
      <c r="I496" s="9">
        <v>18.5</v>
      </c>
      <c r="J496" s="9">
        <v>0.47</v>
      </c>
      <c r="K496" s="9">
        <v>30.4</v>
      </c>
      <c r="L496" s="7">
        <v>28.3</v>
      </c>
      <c r="M496" s="7">
        <v>98</v>
      </c>
      <c r="N496" s="7">
        <v>3</v>
      </c>
      <c r="O496" s="7">
        <v>278</v>
      </c>
      <c r="P496" s="7" t="s">
        <v>28</v>
      </c>
      <c r="Q496" s="7" t="str">
        <f t="shared" si="28"/>
        <v>VeryUnhealthy</v>
      </c>
      <c r="R496" s="7" t="str">
        <f t="shared" si="29"/>
        <v>Normal</v>
      </c>
      <c r="S496" s="7" t="str">
        <f t="shared" si="30"/>
        <v>High Humidity</v>
      </c>
      <c r="T496" s="7" t="str">
        <f t="shared" si="31"/>
        <v>Moderate Wind</v>
      </c>
    </row>
    <row r="497" spans="1:20" x14ac:dyDescent="0.25">
      <c r="A497" s="7" t="s">
        <v>556</v>
      </c>
      <c r="B497" s="10">
        <v>45742</v>
      </c>
      <c r="C497" s="11" t="s">
        <v>42</v>
      </c>
      <c r="D497" s="11" t="s">
        <v>23</v>
      </c>
      <c r="E497" s="7" t="s">
        <v>61</v>
      </c>
      <c r="F497" s="9">
        <v>48</v>
      </c>
      <c r="G497" s="9">
        <v>46.9</v>
      </c>
      <c r="H497" s="9">
        <v>10.199999999999999</v>
      </c>
      <c r="I497" s="9">
        <v>4.3</v>
      </c>
      <c r="J497" s="9">
        <v>0.08</v>
      </c>
      <c r="K497" s="9">
        <v>17.7</v>
      </c>
      <c r="L497" s="7">
        <v>18.100000000000001</v>
      </c>
      <c r="M497" s="7">
        <v>82</v>
      </c>
      <c r="N497" s="7">
        <v>1</v>
      </c>
      <c r="O497" s="7">
        <v>128</v>
      </c>
      <c r="P497" s="7" t="s">
        <v>33</v>
      </c>
      <c r="Q497" s="7" t="str">
        <f t="shared" si="28"/>
        <v>Good</v>
      </c>
      <c r="R497" s="7" t="str">
        <f t="shared" si="29"/>
        <v>Cool</v>
      </c>
      <c r="S497" s="7" t="str">
        <f t="shared" si="30"/>
        <v>High Humidity</v>
      </c>
      <c r="T497" s="7" t="str">
        <f t="shared" si="31"/>
        <v>Low Wind</v>
      </c>
    </row>
    <row r="498" spans="1:20" x14ac:dyDescent="0.25">
      <c r="A498" s="7" t="s">
        <v>557</v>
      </c>
      <c r="B498" s="10">
        <v>45905</v>
      </c>
      <c r="C498" s="11" t="s">
        <v>17</v>
      </c>
      <c r="D498" s="11" t="s">
        <v>18</v>
      </c>
      <c r="E498" s="7" t="s">
        <v>24</v>
      </c>
      <c r="F498" s="9">
        <v>48.7</v>
      </c>
      <c r="G498" s="9">
        <v>76.2</v>
      </c>
      <c r="H498" s="9">
        <v>32</v>
      </c>
      <c r="I498" s="9">
        <v>9.3000000000000007</v>
      </c>
      <c r="J498" s="9">
        <v>1.06</v>
      </c>
      <c r="K498" s="9">
        <v>26.4</v>
      </c>
      <c r="L498" s="7">
        <v>18.100000000000001</v>
      </c>
      <c r="M498" s="7">
        <v>68.400000000000006</v>
      </c>
      <c r="N498" s="7">
        <v>2.4</v>
      </c>
      <c r="O498" s="7">
        <v>198</v>
      </c>
      <c r="P498" s="7" t="s">
        <v>33</v>
      </c>
      <c r="Q498" s="7" t="str">
        <f t="shared" si="28"/>
        <v>Moderate</v>
      </c>
      <c r="R498" s="7" t="str">
        <f t="shared" si="29"/>
        <v>Cool</v>
      </c>
      <c r="S498" s="7" t="str">
        <f t="shared" si="30"/>
        <v>High Humidity</v>
      </c>
      <c r="T498" s="7" t="str">
        <f t="shared" si="31"/>
        <v>Moderate Wind</v>
      </c>
    </row>
    <row r="499" spans="1:20" x14ac:dyDescent="0.25">
      <c r="A499" s="7" t="s">
        <v>558</v>
      </c>
      <c r="B499" s="10">
        <v>45752</v>
      </c>
      <c r="C499" s="11" t="s">
        <v>42</v>
      </c>
      <c r="D499" s="11" t="s">
        <v>23</v>
      </c>
      <c r="E499" s="7" t="s">
        <v>91</v>
      </c>
      <c r="F499" s="9">
        <v>51.9</v>
      </c>
      <c r="G499" s="9">
        <v>45.9</v>
      </c>
      <c r="H499" s="9">
        <v>24.2</v>
      </c>
      <c r="I499" s="9">
        <v>27.1</v>
      </c>
      <c r="J499" s="9">
        <v>0.69</v>
      </c>
      <c r="K499" s="9">
        <v>54.9</v>
      </c>
      <c r="L499" s="7">
        <v>31.4</v>
      </c>
      <c r="M499" s="7">
        <v>57.4</v>
      </c>
      <c r="N499" s="7">
        <v>1.5</v>
      </c>
      <c r="O499" s="7">
        <v>193</v>
      </c>
      <c r="P499" s="7" t="s">
        <v>33</v>
      </c>
      <c r="Q499" s="7" t="str">
        <f t="shared" si="28"/>
        <v>Good</v>
      </c>
      <c r="R499" s="7" t="str">
        <f t="shared" si="29"/>
        <v>Hot</v>
      </c>
      <c r="S499" s="7" t="str">
        <f t="shared" si="30"/>
        <v>Normal Humidity</v>
      </c>
      <c r="T499" s="7" t="str">
        <f t="shared" si="31"/>
        <v>Low Wind</v>
      </c>
    </row>
    <row r="500" spans="1:20" x14ac:dyDescent="0.25">
      <c r="A500" s="7" t="s">
        <v>559</v>
      </c>
      <c r="B500" s="10">
        <v>45791</v>
      </c>
      <c r="C500" s="11" t="s">
        <v>93</v>
      </c>
      <c r="D500" s="11" t="s">
        <v>36</v>
      </c>
      <c r="E500" s="7" t="s">
        <v>43</v>
      </c>
      <c r="F500" s="9">
        <v>22</v>
      </c>
      <c r="G500" s="9">
        <v>115.9</v>
      </c>
      <c r="H500" s="9">
        <v>32.299999999999997</v>
      </c>
      <c r="I500" s="9">
        <v>8.1999999999999993</v>
      </c>
      <c r="J500" s="9">
        <v>1.1100000000000001</v>
      </c>
      <c r="K500" s="9">
        <v>120.8</v>
      </c>
      <c r="L500" s="7">
        <v>31.9</v>
      </c>
      <c r="M500" s="7">
        <v>65.400000000000006</v>
      </c>
      <c r="N500" s="7">
        <v>1.8</v>
      </c>
      <c r="O500" s="7">
        <v>224</v>
      </c>
      <c r="P500" s="7" t="s">
        <v>28</v>
      </c>
      <c r="Q500" s="7" t="str">
        <f t="shared" si="28"/>
        <v>Unhealthy</v>
      </c>
      <c r="R500" s="7" t="str">
        <f t="shared" si="29"/>
        <v>Hot</v>
      </c>
      <c r="S500" s="7" t="str">
        <f t="shared" si="30"/>
        <v>High Humidity</v>
      </c>
      <c r="T500" s="7" t="str">
        <f t="shared" si="31"/>
        <v>Low Wind</v>
      </c>
    </row>
    <row r="501" spans="1:20" x14ac:dyDescent="0.25">
      <c r="A501" s="7" t="s">
        <v>560</v>
      </c>
      <c r="B501" s="10">
        <v>45821</v>
      </c>
      <c r="C501" s="11" t="s">
        <v>93</v>
      </c>
      <c r="D501" s="11" t="s">
        <v>36</v>
      </c>
      <c r="E501" s="7" t="s">
        <v>19</v>
      </c>
      <c r="F501" s="9">
        <v>47.2</v>
      </c>
      <c r="G501" s="9">
        <v>115.6</v>
      </c>
      <c r="H501" s="9">
        <v>10.7</v>
      </c>
      <c r="I501" s="9">
        <v>13.9</v>
      </c>
      <c r="J501" s="9">
        <v>0.18</v>
      </c>
      <c r="K501" s="9">
        <v>32.299999999999997</v>
      </c>
      <c r="L501" s="7">
        <v>24.8</v>
      </c>
      <c r="M501" s="7">
        <v>50.4</v>
      </c>
      <c r="N501" s="7">
        <v>1</v>
      </c>
      <c r="O501" s="7">
        <v>188</v>
      </c>
      <c r="P501" s="7" t="s">
        <v>33</v>
      </c>
      <c r="Q501" s="7" t="str">
        <f t="shared" si="28"/>
        <v>Unhealthy</v>
      </c>
      <c r="R501" s="7" t="str">
        <f t="shared" si="29"/>
        <v>Normal</v>
      </c>
      <c r="S501" s="7" t="str">
        <f t="shared" si="30"/>
        <v>Normal Humidity</v>
      </c>
      <c r="T501" s="7" t="str">
        <f t="shared" si="31"/>
        <v>Low Wind</v>
      </c>
    </row>
    <row r="502" spans="1:20" x14ac:dyDescent="0.25">
      <c r="A502" s="7" t="s">
        <v>561</v>
      </c>
      <c r="B502" s="10">
        <v>45843</v>
      </c>
      <c r="C502" s="11" t="s">
        <v>81</v>
      </c>
      <c r="D502" s="11" t="s">
        <v>39</v>
      </c>
      <c r="E502" s="7" t="s">
        <v>70</v>
      </c>
      <c r="F502" s="9">
        <v>8.8000000000000007</v>
      </c>
      <c r="G502" s="9">
        <v>67.599999999999994</v>
      </c>
      <c r="H502" s="9">
        <v>11.7</v>
      </c>
      <c r="I502" s="9">
        <v>15.5</v>
      </c>
      <c r="J502" s="9">
        <v>0.96</v>
      </c>
      <c r="K502" s="9">
        <v>17.2</v>
      </c>
      <c r="L502" s="7">
        <v>15</v>
      </c>
      <c r="M502" s="7">
        <v>59.3</v>
      </c>
      <c r="N502" s="7">
        <v>0.4</v>
      </c>
      <c r="O502" s="7">
        <v>110</v>
      </c>
      <c r="P502" s="7" t="s">
        <v>33</v>
      </c>
      <c r="Q502" s="7" t="str">
        <f t="shared" si="28"/>
        <v>Moderate</v>
      </c>
      <c r="R502" s="7" t="str">
        <f t="shared" si="29"/>
        <v>Cool</v>
      </c>
      <c r="S502" s="7" t="str">
        <f t="shared" si="30"/>
        <v>Normal Humidity</v>
      </c>
      <c r="T502" s="7" t="str">
        <f t="shared" si="31"/>
        <v>Low Wind</v>
      </c>
    </row>
    <row r="503" spans="1:20" x14ac:dyDescent="0.25">
      <c r="A503" s="7" t="s">
        <v>562</v>
      </c>
      <c r="B503" s="10">
        <v>45951</v>
      </c>
      <c r="C503" s="11" t="s">
        <v>67</v>
      </c>
      <c r="D503" s="11" t="s">
        <v>18</v>
      </c>
      <c r="E503" s="7" t="s">
        <v>68</v>
      </c>
      <c r="F503" s="9">
        <v>20.5</v>
      </c>
      <c r="G503" s="9">
        <v>109.6</v>
      </c>
      <c r="H503" s="9">
        <v>16.5</v>
      </c>
      <c r="I503" s="9">
        <v>16.399999999999999</v>
      </c>
      <c r="J503" s="9">
        <v>1.07</v>
      </c>
      <c r="K503" s="9">
        <v>18</v>
      </c>
      <c r="L503" s="7">
        <v>21.1</v>
      </c>
      <c r="M503" s="7">
        <v>80.599999999999994</v>
      </c>
      <c r="N503" s="7">
        <v>0.6</v>
      </c>
      <c r="O503" s="7">
        <v>164</v>
      </c>
      <c r="P503" s="7" t="s">
        <v>33</v>
      </c>
      <c r="Q503" s="7" t="str">
        <f t="shared" si="28"/>
        <v>Unhealthy</v>
      </c>
      <c r="R503" s="7" t="str">
        <f t="shared" si="29"/>
        <v>Normal</v>
      </c>
      <c r="S503" s="7" t="str">
        <f t="shared" si="30"/>
        <v>High Humidity</v>
      </c>
      <c r="T503" s="7" t="str">
        <f t="shared" si="31"/>
        <v>Low Wind</v>
      </c>
    </row>
    <row r="504" spans="1:20" x14ac:dyDescent="0.25">
      <c r="A504" s="7" t="s">
        <v>563</v>
      </c>
      <c r="B504" s="10">
        <v>45749</v>
      </c>
      <c r="C504" s="11" t="s">
        <v>26</v>
      </c>
      <c r="D504" s="11" t="s">
        <v>23</v>
      </c>
      <c r="E504" s="7" t="s">
        <v>70</v>
      </c>
      <c r="F504" s="9">
        <v>37.9</v>
      </c>
      <c r="G504" s="9">
        <v>130</v>
      </c>
      <c r="H504" s="9">
        <v>55.9</v>
      </c>
      <c r="I504" s="9">
        <v>8.9</v>
      </c>
      <c r="J504" s="9">
        <v>0.12</v>
      </c>
      <c r="K504" s="9">
        <v>52</v>
      </c>
      <c r="L504" s="7">
        <v>26.3</v>
      </c>
      <c r="M504" s="7">
        <v>67.400000000000006</v>
      </c>
      <c r="N504" s="7">
        <v>3.1</v>
      </c>
      <c r="O504" s="7">
        <v>222</v>
      </c>
      <c r="P504" s="7" t="s">
        <v>28</v>
      </c>
      <c r="Q504" s="7" t="str">
        <f t="shared" si="28"/>
        <v>Unhealthy</v>
      </c>
      <c r="R504" s="7" t="str">
        <f t="shared" si="29"/>
        <v>Normal</v>
      </c>
      <c r="S504" s="7" t="str">
        <f t="shared" si="30"/>
        <v>High Humidity</v>
      </c>
      <c r="T504" s="7" t="str">
        <f t="shared" si="31"/>
        <v>Moderate Wind</v>
      </c>
    </row>
    <row r="505" spans="1:20" x14ac:dyDescent="0.25">
      <c r="A505" s="7" t="s">
        <v>564</v>
      </c>
      <c r="B505" s="10">
        <v>45693</v>
      </c>
      <c r="C505" s="11" t="s">
        <v>22</v>
      </c>
      <c r="D505" s="11" t="s">
        <v>23</v>
      </c>
      <c r="E505" s="7" t="s">
        <v>91</v>
      </c>
      <c r="F505" s="9">
        <v>25.5</v>
      </c>
      <c r="G505" s="9">
        <v>53.5</v>
      </c>
      <c r="H505" s="9">
        <v>36.4</v>
      </c>
      <c r="I505" s="9">
        <v>3.3</v>
      </c>
      <c r="J505" s="9">
        <v>0.88</v>
      </c>
      <c r="K505" s="9">
        <v>27.1</v>
      </c>
      <c r="L505" s="7">
        <v>27.3</v>
      </c>
      <c r="M505" s="7">
        <v>73.5</v>
      </c>
      <c r="N505" s="7">
        <v>0.5</v>
      </c>
      <c r="O505" s="7">
        <v>141</v>
      </c>
      <c r="P505" s="7" t="s">
        <v>33</v>
      </c>
      <c r="Q505" s="7" t="str">
        <f t="shared" si="28"/>
        <v>Moderate</v>
      </c>
      <c r="R505" s="7" t="str">
        <f t="shared" si="29"/>
        <v>Normal</v>
      </c>
      <c r="S505" s="7" t="str">
        <f t="shared" si="30"/>
        <v>High Humidity</v>
      </c>
      <c r="T505" s="7" t="str">
        <f t="shared" si="31"/>
        <v>Low Wind</v>
      </c>
    </row>
    <row r="506" spans="1:20" x14ac:dyDescent="0.25">
      <c r="A506" s="7" t="s">
        <v>565</v>
      </c>
      <c r="B506" s="10">
        <v>45905</v>
      </c>
      <c r="C506" s="11" t="s">
        <v>35</v>
      </c>
      <c r="D506" s="11" t="s">
        <v>36</v>
      </c>
      <c r="E506" s="7" t="s">
        <v>68</v>
      </c>
      <c r="F506" s="9">
        <v>65.2</v>
      </c>
      <c r="G506" s="9">
        <v>73.3</v>
      </c>
      <c r="H506" s="9">
        <v>63.8</v>
      </c>
      <c r="I506" s="9">
        <v>18.2</v>
      </c>
      <c r="J506" s="9">
        <v>2.35</v>
      </c>
      <c r="K506" s="9">
        <v>31.1</v>
      </c>
      <c r="L506" s="7">
        <v>18.399999999999999</v>
      </c>
      <c r="M506" s="7">
        <v>38.6</v>
      </c>
      <c r="N506" s="7">
        <v>2.4</v>
      </c>
      <c r="O506" s="7">
        <v>288</v>
      </c>
      <c r="P506" s="7" t="s">
        <v>28</v>
      </c>
      <c r="Q506" s="7" t="str">
        <f t="shared" si="28"/>
        <v>Moderate</v>
      </c>
      <c r="R506" s="7" t="str">
        <f t="shared" si="29"/>
        <v>Cool</v>
      </c>
      <c r="S506" s="7" t="str">
        <f t="shared" si="30"/>
        <v>Normal Humidity</v>
      </c>
      <c r="T506" s="7" t="str">
        <f t="shared" si="31"/>
        <v>Moderate Wind</v>
      </c>
    </row>
    <row r="507" spans="1:20" x14ac:dyDescent="0.25">
      <c r="A507" s="7" t="s">
        <v>566</v>
      </c>
      <c r="B507" s="10">
        <v>45914</v>
      </c>
      <c r="C507" s="11" t="s">
        <v>42</v>
      </c>
      <c r="D507" s="11" t="s">
        <v>23</v>
      </c>
      <c r="E507" s="7" t="s">
        <v>40</v>
      </c>
      <c r="F507" s="9">
        <v>27.9</v>
      </c>
      <c r="G507" s="9">
        <v>81.599999999999994</v>
      </c>
      <c r="H507" s="9">
        <v>7.2</v>
      </c>
      <c r="I507" s="9">
        <v>10.8</v>
      </c>
      <c r="J507" s="9">
        <v>0.23</v>
      </c>
      <c r="K507" s="9">
        <v>45.6</v>
      </c>
      <c r="L507" s="7">
        <v>16.600000000000001</v>
      </c>
      <c r="M507" s="7">
        <v>72</v>
      </c>
      <c r="N507" s="7">
        <v>3.1</v>
      </c>
      <c r="O507" s="7">
        <v>137</v>
      </c>
      <c r="P507" s="7" t="s">
        <v>33</v>
      </c>
      <c r="Q507" s="7" t="str">
        <f t="shared" si="28"/>
        <v>Moderate</v>
      </c>
      <c r="R507" s="7" t="str">
        <f t="shared" si="29"/>
        <v>Cool</v>
      </c>
      <c r="S507" s="7" t="str">
        <f t="shared" si="30"/>
        <v>High Humidity</v>
      </c>
      <c r="T507" s="7" t="str">
        <f t="shared" si="31"/>
        <v>Moderate Wind</v>
      </c>
    </row>
    <row r="508" spans="1:20" x14ac:dyDescent="0.25">
      <c r="A508" s="7" t="s">
        <v>567</v>
      </c>
      <c r="B508" s="10">
        <v>45709</v>
      </c>
      <c r="C508" s="11" t="s">
        <v>26</v>
      </c>
      <c r="D508" s="11" t="s">
        <v>23</v>
      </c>
      <c r="E508" s="7" t="s">
        <v>58</v>
      </c>
      <c r="F508" s="9">
        <v>120.9</v>
      </c>
      <c r="G508" s="9">
        <v>101.4</v>
      </c>
      <c r="H508" s="9">
        <v>30.2</v>
      </c>
      <c r="I508" s="9">
        <v>21.5</v>
      </c>
      <c r="J508" s="9">
        <v>0.43</v>
      </c>
      <c r="K508" s="9">
        <v>75.3</v>
      </c>
      <c r="L508" s="7">
        <v>24.7</v>
      </c>
      <c r="M508" s="7">
        <v>50.4</v>
      </c>
      <c r="N508" s="7">
        <v>3.4</v>
      </c>
      <c r="O508" s="7">
        <v>343</v>
      </c>
      <c r="P508" s="7" t="s">
        <v>20</v>
      </c>
      <c r="Q508" s="7" t="str">
        <f t="shared" si="28"/>
        <v>Unhealthy</v>
      </c>
      <c r="R508" s="7" t="str">
        <f t="shared" si="29"/>
        <v>Normal</v>
      </c>
      <c r="S508" s="7" t="str">
        <f t="shared" si="30"/>
        <v>Normal Humidity</v>
      </c>
      <c r="T508" s="7" t="str">
        <f t="shared" si="31"/>
        <v>Moderate Wind</v>
      </c>
    </row>
    <row r="509" spans="1:20" x14ac:dyDescent="0.25">
      <c r="A509" s="7" t="s">
        <v>568</v>
      </c>
      <c r="B509" s="10">
        <v>45868</v>
      </c>
      <c r="C509" s="11" t="s">
        <v>54</v>
      </c>
      <c r="D509" s="11" t="s">
        <v>18</v>
      </c>
      <c r="E509" s="7" t="s">
        <v>70</v>
      </c>
      <c r="F509" s="9">
        <v>53.3</v>
      </c>
      <c r="G509" s="9">
        <v>26.4</v>
      </c>
      <c r="H509" s="9">
        <v>29.9</v>
      </c>
      <c r="I509" s="9">
        <v>9.9</v>
      </c>
      <c r="J509" s="9">
        <v>0.12</v>
      </c>
      <c r="K509" s="9">
        <v>30.4</v>
      </c>
      <c r="L509" s="7">
        <v>23.1</v>
      </c>
      <c r="M509" s="7">
        <v>72.7</v>
      </c>
      <c r="N509" s="7">
        <v>2.2000000000000002</v>
      </c>
      <c r="O509" s="7">
        <v>150</v>
      </c>
      <c r="P509" s="7" t="s">
        <v>33</v>
      </c>
      <c r="Q509" s="7" t="str">
        <f t="shared" si="28"/>
        <v>Good</v>
      </c>
      <c r="R509" s="7" t="str">
        <f t="shared" si="29"/>
        <v>Normal</v>
      </c>
      <c r="S509" s="7" t="str">
        <f t="shared" si="30"/>
        <v>High Humidity</v>
      </c>
      <c r="T509" s="7" t="str">
        <f t="shared" si="31"/>
        <v>Moderate Wind</v>
      </c>
    </row>
    <row r="510" spans="1:20" x14ac:dyDescent="0.25">
      <c r="A510" s="7" t="s">
        <v>569</v>
      </c>
      <c r="B510" s="10">
        <v>45834</v>
      </c>
      <c r="C510" s="11" t="s">
        <v>93</v>
      </c>
      <c r="D510" s="11" t="s">
        <v>36</v>
      </c>
      <c r="E510" s="7" t="s">
        <v>24</v>
      </c>
      <c r="F510" s="9">
        <v>38.9</v>
      </c>
      <c r="G510" s="9">
        <v>36.200000000000003</v>
      </c>
      <c r="H510" s="9">
        <v>35.700000000000003</v>
      </c>
      <c r="I510" s="9">
        <v>12.8</v>
      </c>
      <c r="J510" s="9">
        <v>0.35</v>
      </c>
      <c r="K510" s="9">
        <v>14.7</v>
      </c>
      <c r="L510" s="7">
        <v>34.700000000000003</v>
      </c>
      <c r="M510" s="7">
        <v>59.6</v>
      </c>
      <c r="N510" s="7">
        <v>1.6</v>
      </c>
      <c r="O510" s="7">
        <v>139</v>
      </c>
      <c r="P510" s="7" t="s">
        <v>33</v>
      </c>
      <c r="Q510" s="7" t="str">
        <f t="shared" si="28"/>
        <v>Good</v>
      </c>
      <c r="R510" s="7" t="str">
        <f t="shared" si="29"/>
        <v>Hot</v>
      </c>
      <c r="S510" s="7" t="str">
        <f t="shared" si="30"/>
        <v>Normal Humidity</v>
      </c>
      <c r="T510" s="7" t="str">
        <f t="shared" si="31"/>
        <v>Low Wind</v>
      </c>
    </row>
    <row r="511" spans="1:20" x14ac:dyDescent="0.25">
      <c r="A511" s="7" t="s">
        <v>570</v>
      </c>
      <c r="B511" s="10">
        <v>45916</v>
      </c>
      <c r="C511" s="11" t="s">
        <v>77</v>
      </c>
      <c r="D511" s="11" t="s">
        <v>39</v>
      </c>
      <c r="E511" s="7" t="s">
        <v>97</v>
      </c>
      <c r="F511" s="9">
        <v>29.6</v>
      </c>
      <c r="G511" s="9">
        <v>70.900000000000006</v>
      </c>
      <c r="H511" s="9">
        <v>12.3</v>
      </c>
      <c r="I511" s="9">
        <v>9.6999999999999993</v>
      </c>
      <c r="J511" s="9">
        <v>0.43</v>
      </c>
      <c r="K511" s="9">
        <v>8.1</v>
      </c>
      <c r="L511" s="7">
        <v>28</v>
      </c>
      <c r="M511" s="7">
        <v>66</v>
      </c>
      <c r="N511" s="7">
        <v>6.1</v>
      </c>
      <c r="O511" s="7">
        <v>124</v>
      </c>
      <c r="P511" s="7" t="s">
        <v>33</v>
      </c>
      <c r="Q511" s="7" t="str">
        <f t="shared" si="28"/>
        <v>Moderate</v>
      </c>
      <c r="R511" s="7" t="str">
        <f t="shared" si="29"/>
        <v>Normal</v>
      </c>
      <c r="S511" s="7" t="str">
        <f t="shared" si="30"/>
        <v>High Humidity</v>
      </c>
      <c r="T511" s="7" t="str">
        <f t="shared" si="31"/>
        <v>High Wind</v>
      </c>
    </row>
    <row r="512" spans="1:20" x14ac:dyDescent="0.25">
      <c r="A512" s="7" t="s">
        <v>571</v>
      </c>
      <c r="B512" s="10">
        <v>45686</v>
      </c>
      <c r="C512" s="11" t="s">
        <v>54</v>
      </c>
      <c r="D512" s="11" t="s">
        <v>18</v>
      </c>
      <c r="E512" s="7" t="s">
        <v>91</v>
      </c>
      <c r="F512" s="9">
        <v>50.2</v>
      </c>
      <c r="G512" s="9">
        <v>80.900000000000006</v>
      </c>
      <c r="H512" s="9">
        <v>23.3</v>
      </c>
      <c r="I512" s="9">
        <v>10.8</v>
      </c>
      <c r="J512" s="9">
        <v>0.26</v>
      </c>
      <c r="K512" s="9">
        <v>10.6</v>
      </c>
      <c r="L512" s="7">
        <v>24.3</v>
      </c>
      <c r="M512" s="7">
        <v>58.3</v>
      </c>
      <c r="N512" s="7">
        <v>2.2999999999999998</v>
      </c>
      <c r="O512" s="7">
        <v>170</v>
      </c>
      <c r="P512" s="7" t="s">
        <v>33</v>
      </c>
      <c r="Q512" s="7" t="str">
        <f t="shared" si="28"/>
        <v>Moderate</v>
      </c>
      <c r="R512" s="7" t="str">
        <f t="shared" si="29"/>
        <v>Normal</v>
      </c>
      <c r="S512" s="7" t="str">
        <f t="shared" si="30"/>
        <v>Normal Humidity</v>
      </c>
      <c r="T512" s="7" t="str">
        <f t="shared" si="31"/>
        <v>Moderate Wind</v>
      </c>
    </row>
    <row r="513" spans="1:20" x14ac:dyDescent="0.25">
      <c r="A513" s="7" t="s">
        <v>572</v>
      </c>
      <c r="B513" s="10">
        <v>45714</v>
      </c>
      <c r="C513" s="11" t="s">
        <v>52</v>
      </c>
      <c r="D513" s="11" t="s">
        <v>31</v>
      </c>
      <c r="E513" s="7" t="s">
        <v>40</v>
      </c>
      <c r="F513" s="9">
        <v>30.8</v>
      </c>
      <c r="G513" s="9">
        <v>73.5</v>
      </c>
      <c r="H513" s="9">
        <v>17.3</v>
      </c>
      <c r="I513" s="9">
        <v>15.2</v>
      </c>
      <c r="J513" s="9">
        <v>0.38</v>
      </c>
      <c r="K513" s="9">
        <v>19.399999999999999</v>
      </c>
      <c r="L513" s="7">
        <v>23.6</v>
      </c>
      <c r="M513" s="7">
        <v>69.3</v>
      </c>
      <c r="N513" s="7">
        <v>0.1</v>
      </c>
      <c r="O513" s="7">
        <v>140</v>
      </c>
      <c r="P513" s="7" t="s">
        <v>33</v>
      </c>
      <c r="Q513" s="7" t="str">
        <f t="shared" si="28"/>
        <v>Moderate</v>
      </c>
      <c r="R513" s="7" t="str">
        <f t="shared" si="29"/>
        <v>Normal</v>
      </c>
      <c r="S513" s="7" t="str">
        <f t="shared" si="30"/>
        <v>High Humidity</v>
      </c>
      <c r="T513" s="7" t="str">
        <f t="shared" si="31"/>
        <v>Low Wind</v>
      </c>
    </row>
    <row r="514" spans="1:20" x14ac:dyDescent="0.25">
      <c r="A514" s="7" t="s">
        <v>573</v>
      </c>
      <c r="B514" s="10">
        <v>45695</v>
      </c>
      <c r="C514" s="11" t="s">
        <v>26</v>
      </c>
      <c r="D514" s="11" t="s">
        <v>23</v>
      </c>
      <c r="E514" s="7" t="s">
        <v>45</v>
      </c>
      <c r="F514" s="9">
        <v>65.900000000000006</v>
      </c>
      <c r="G514" s="9">
        <v>38</v>
      </c>
      <c r="H514" s="9">
        <v>6.7</v>
      </c>
      <c r="I514" s="9">
        <v>24.5</v>
      </c>
      <c r="J514" s="9">
        <v>0.69</v>
      </c>
      <c r="K514" s="9">
        <v>17.5</v>
      </c>
      <c r="L514" s="7">
        <v>31.8</v>
      </c>
      <c r="M514" s="7">
        <v>52.6</v>
      </c>
      <c r="N514" s="7">
        <v>3.9</v>
      </c>
      <c r="O514" s="7">
        <v>178</v>
      </c>
      <c r="P514" s="7" t="s">
        <v>33</v>
      </c>
      <c r="Q514" s="7" t="str">
        <f t="shared" si="28"/>
        <v>Good</v>
      </c>
      <c r="R514" s="7" t="str">
        <f t="shared" si="29"/>
        <v>Hot</v>
      </c>
      <c r="S514" s="7" t="str">
        <f t="shared" si="30"/>
        <v>Normal Humidity</v>
      </c>
      <c r="T514" s="7" t="str">
        <f t="shared" si="31"/>
        <v>Moderate Wind</v>
      </c>
    </row>
    <row r="515" spans="1:20" x14ac:dyDescent="0.25">
      <c r="A515" s="7" t="s">
        <v>574</v>
      </c>
      <c r="B515" s="10">
        <v>46010</v>
      </c>
      <c r="C515" s="11" t="s">
        <v>35</v>
      </c>
      <c r="D515" s="11" t="s">
        <v>36</v>
      </c>
      <c r="E515" s="7" t="s">
        <v>45</v>
      </c>
      <c r="F515" s="9">
        <v>41</v>
      </c>
      <c r="G515" s="9">
        <v>131.80000000000001</v>
      </c>
      <c r="H515" s="9">
        <v>96.2</v>
      </c>
      <c r="I515" s="9">
        <v>25</v>
      </c>
      <c r="J515" s="9">
        <v>0.15</v>
      </c>
      <c r="K515" s="9">
        <v>52.5</v>
      </c>
      <c r="L515" s="7">
        <v>31.7</v>
      </c>
      <c r="M515" s="7">
        <v>31.5</v>
      </c>
      <c r="N515" s="7">
        <v>2.4</v>
      </c>
      <c r="O515" s="7">
        <v>273</v>
      </c>
      <c r="P515" s="7" t="s">
        <v>28</v>
      </c>
      <c r="Q515" s="7" t="str">
        <f t="shared" ref="Q515:Q578" si="32">IF(G515&lt;50,"Good",IF(G515&lt;=100,"Moderate",IF(G515&lt;=150,"Unhealthy","VeryUnhealthy")))</f>
        <v>Unhealthy</v>
      </c>
      <c r="R515" s="7" t="str">
        <f t="shared" ref="R515:R578" si="33">IF(L515&lt;20,"Cool",IF(L515&lt;=30,"Normal","Hot"))</f>
        <v>Hot</v>
      </c>
      <c r="S515" s="7" t="str">
        <f t="shared" ref="S515:S578" si="34">IF(M515&lt;30,"Low Humidity",IF(M515&lt;=60,"Normal Humidity","High Humidity"))</f>
        <v>Normal Humidity</v>
      </c>
      <c r="T515" s="7" t="str">
        <f t="shared" ref="T515:T578" si="35">IF(N515&lt;2,"Low Wind",IF(N515&lt;=5,"Moderate Wind","High Wind"))</f>
        <v>Moderate Wind</v>
      </c>
    </row>
    <row r="516" spans="1:20" x14ac:dyDescent="0.25">
      <c r="A516" s="7" t="s">
        <v>575</v>
      </c>
      <c r="B516" s="10">
        <v>45907</v>
      </c>
      <c r="C516" s="11" t="s">
        <v>26</v>
      </c>
      <c r="D516" s="11" t="s">
        <v>23</v>
      </c>
      <c r="E516" s="7" t="s">
        <v>40</v>
      </c>
      <c r="F516" s="9">
        <v>82.6</v>
      </c>
      <c r="G516" s="9">
        <v>51.7</v>
      </c>
      <c r="H516" s="9">
        <v>25.3</v>
      </c>
      <c r="I516" s="9">
        <v>14.7</v>
      </c>
      <c r="J516" s="9">
        <v>0.96</v>
      </c>
      <c r="K516" s="9">
        <v>70.599999999999994</v>
      </c>
      <c r="L516" s="7">
        <v>23.3</v>
      </c>
      <c r="M516" s="7">
        <v>45.9</v>
      </c>
      <c r="N516" s="7">
        <v>0.8</v>
      </c>
      <c r="O516" s="7">
        <v>252</v>
      </c>
      <c r="P516" s="7" t="s">
        <v>28</v>
      </c>
      <c r="Q516" s="7" t="str">
        <f t="shared" si="32"/>
        <v>Moderate</v>
      </c>
      <c r="R516" s="7" t="str">
        <f t="shared" si="33"/>
        <v>Normal</v>
      </c>
      <c r="S516" s="7" t="str">
        <f t="shared" si="34"/>
        <v>Normal Humidity</v>
      </c>
      <c r="T516" s="7" t="str">
        <f t="shared" si="35"/>
        <v>Low Wind</v>
      </c>
    </row>
    <row r="517" spans="1:20" x14ac:dyDescent="0.25">
      <c r="A517" s="7" t="s">
        <v>576</v>
      </c>
      <c r="B517" s="10">
        <v>45714</v>
      </c>
      <c r="C517" s="11" t="s">
        <v>54</v>
      </c>
      <c r="D517" s="11" t="s">
        <v>18</v>
      </c>
      <c r="E517" s="7" t="s">
        <v>40</v>
      </c>
      <c r="F517" s="9">
        <v>12.7</v>
      </c>
      <c r="G517" s="9">
        <v>179.7</v>
      </c>
      <c r="H517" s="9">
        <v>11.1</v>
      </c>
      <c r="I517" s="9">
        <v>5.9</v>
      </c>
      <c r="J517" s="9">
        <v>1.64</v>
      </c>
      <c r="K517" s="9">
        <v>28.7</v>
      </c>
      <c r="L517" s="7">
        <v>22.2</v>
      </c>
      <c r="M517" s="7">
        <v>89.3</v>
      </c>
      <c r="N517" s="7">
        <v>0.8</v>
      </c>
      <c r="O517" s="7">
        <v>204</v>
      </c>
      <c r="P517" s="7" t="s">
        <v>28</v>
      </c>
      <c r="Q517" s="7" t="str">
        <f t="shared" si="32"/>
        <v>VeryUnhealthy</v>
      </c>
      <c r="R517" s="7" t="str">
        <f t="shared" si="33"/>
        <v>Normal</v>
      </c>
      <c r="S517" s="7" t="str">
        <f t="shared" si="34"/>
        <v>High Humidity</v>
      </c>
      <c r="T517" s="7" t="str">
        <f t="shared" si="35"/>
        <v>Low Wind</v>
      </c>
    </row>
    <row r="518" spans="1:20" x14ac:dyDescent="0.25">
      <c r="A518" s="7" t="s">
        <v>577</v>
      </c>
      <c r="B518" s="10">
        <v>45659</v>
      </c>
      <c r="C518" s="11" t="s">
        <v>38</v>
      </c>
      <c r="D518" s="11" t="s">
        <v>39</v>
      </c>
      <c r="E518" s="7" t="s">
        <v>43</v>
      </c>
      <c r="F518" s="9">
        <v>22.1</v>
      </c>
      <c r="G518" s="9">
        <v>33.799999999999997</v>
      </c>
      <c r="H518" s="9">
        <v>17.399999999999999</v>
      </c>
      <c r="I518" s="9">
        <v>11.1</v>
      </c>
      <c r="J518" s="9">
        <v>0.38</v>
      </c>
      <c r="K518" s="9">
        <v>65.5</v>
      </c>
      <c r="L518" s="7">
        <v>29.2</v>
      </c>
      <c r="M518" s="7">
        <v>37.6</v>
      </c>
      <c r="N518" s="7">
        <v>1.8</v>
      </c>
      <c r="O518" s="7">
        <v>118</v>
      </c>
      <c r="P518" s="7" t="s">
        <v>33</v>
      </c>
      <c r="Q518" s="7" t="str">
        <f t="shared" si="32"/>
        <v>Good</v>
      </c>
      <c r="R518" s="7" t="str">
        <f t="shared" si="33"/>
        <v>Normal</v>
      </c>
      <c r="S518" s="7" t="str">
        <f t="shared" si="34"/>
        <v>Normal Humidity</v>
      </c>
      <c r="T518" s="7" t="str">
        <f t="shared" si="35"/>
        <v>Low Wind</v>
      </c>
    </row>
    <row r="519" spans="1:20" x14ac:dyDescent="0.25">
      <c r="A519" s="7" t="s">
        <v>578</v>
      </c>
      <c r="B519" s="10">
        <v>45958</v>
      </c>
      <c r="C519" s="11" t="s">
        <v>67</v>
      </c>
      <c r="D519" s="11" t="s">
        <v>18</v>
      </c>
      <c r="E519" s="7" t="s">
        <v>58</v>
      </c>
      <c r="F519" s="9">
        <v>37.799999999999997</v>
      </c>
      <c r="G519" s="9">
        <v>56.8</v>
      </c>
      <c r="H519" s="9">
        <v>69.8</v>
      </c>
      <c r="I519" s="9">
        <v>9.9</v>
      </c>
      <c r="J519" s="9">
        <v>0.94</v>
      </c>
      <c r="K519" s="9">
        <v>27.2</v>
      </c>
      <c r="L519" s="7">
        <v>22.5</v>
      </c>
      <c r="M519" s="7">
        <v>72.2</v>
      </c>
      <c r="N519" s="7">
        <v>4.5999999999999996</v>
      </c>
      <c r="O519" s="7">
        <v>196</v>
      </c>
      <c r="P519" s="7" t="s">
        <v>33</v>
      </c>
      <c r="Q519" s="7" t="str">
        <f t="shared" si="32"/>
        <v>Moderate</v>
      </c>
      <c r="R519" s="7" t="str">
        <f t="shared" si="33"/>
        <v>Normal</v>
      </c>
      <c r="S519" s="7" t="str">
        <f t="shared" si="34"/>
        <v>High Humidity</v>
      </c>
      <c r="T519" s="7" t="str">
        <f t="shared" si="35"/>
        <v>Moderate Wind</v>
      </c>
    </row>
    <row r="520" spans="1:20" x14ac:dyDescent="0.25">
      <c r="A520" s="7" t="s">
        <v>579</v>
      </c>
      <c r="B520" s="10">
        <v>45833</v>
      </c>
      <c r="C520" s="11" t="s">
        <v>99</v>
      </c>
      <c r="D520" s="11" t="s">
        <v>36</v>
      </c>
      <c r="E520" s="7" t="s">
        <v>61</v>
      </c>
      <c r="F520" s="9">
        <v>71.7</v>
      </c>
      <c r="G520" s="9">
        <v>53.1</v>
      </c>
      <c r="H520" s="9">
        <v>31.6</v>
      </c>
      <c r="I520" s="9">
        <v>11.6</v>
      </c>
      <c r="J520" s="9">
        <v>0.13</v>
      </c>
      <c r="K520" s="9">
        <v>22.9</v>
      </c>
      <c r="L520" s="7">
        <v>12.6</v>
      </c>
      <c r="M520" s="7">
        <v>86.3</v>
      </c>
      <c r="N520" s="7">
        <v>2.8</v>
      </c>
      <c r="O520" s="7">
        <v>196</v>
      </c>
      <c r="P520" s="7" t="s">
        <v>33</v>
      </c>
      <c r="Q520" s="7" t="str">
        <f t="shared" si="32"/>
        <v>Moderate</v>
      </c>
      <c r="R520" s="7" t="str">
        <f t="shared" si="33"/>
        <v>Cool</v>
      </c>
      <c r="S520" s="7" t="str">
        <f t="shared" si="34"/>
        <v>High Humidity</v>
      </c>
      <c r="T520" s="7" t="str">
        <f t="shared" si="35"/>
        <v>Moderate Wind</v>
      </c>
    </row>
    <row r="521" spans="1:20" x14ac:dyDescent="0.25">
      <c r="A521" s="7" t="s">
        <v>580</v>
      </c>
      <c r="B521" s="10">
        <v>45661</v>
      </c>
      <c r="C521" s="11" t="s">
        <v>81</v>
      </c>
      <c r="D521" s="11" t="s">
        <v>39</v>
      </c>
      <c r="E521" s="7" t="s">
        <v>40</v>
      </c>
      <c r="F521" s="9">
        <v>28.1</v>
      </c>
      <c r="G521" s="9">
        <v>112.6</v>
      </c>
      <c r="H521" s="9">
        <v>3.9</v>
      </c>
      <c r="I521" s="9">
        <v>8.8000000000000007</v>
      </c>
      <c r="J521" s="9">
        <v>1.48</v>
      </c>
      <c r="K521" s="9">
        <v>32.299999999999997</v>
      </c>
      <c r="L521" s="7">
        <v>29.2</v>
      </c>
      <c r="M521" s="7">
        <v>61.6</v>
      </c>
      <c r="N521" s="7">
        <v>1</v>
      </c>
      <c r="O521" s="7">
        <v>179</v>
      </c>
      <c r="P521" s="7" t="s">
        <v>33</v>
      </c>
      <c r="Q521" s="7" t="str">
        <f t="shared" si="32"/>
        <v>Unhealthy</v>
      </c>
      <c r="R521" s="7" t="str">
        <f t="shared" si="33"/>
        <v>Normal</v>
      </c>
      <c r="S521" s="7" t="str">
        <f t="shared" si="34"/>
        <v>High Humidity</v>
      </c>
      <c r="T521" s="7" t="str">
        <f t="shared" si="35"/>
        <v>Low Wind</v>
      </c>
    </row>
    <row r="522" spans="1:20" x14ac:dyDescent="0.25">
      <c r="A522" s="7" t="s">
        <v>581</v>
      </c>
      <c r="B522" s="10">
        <v>45898</v>
      </c>
      <c r="C522" s="11" t="s">
        <v>42</v>
      </c>
      <c r="D522" s="11" t="s">
        <v>23</v>
      </c>
      <c r="E522" s="7" t="s">
        <v>27</v>
      </c>
      <c r="F522" s="9">
        <v>123.5</v>
      </c>
      <c r="G522" s="9">
        <v>144.69999999999999</v>
      </c>
      <c r="H522" s="9">
        <v>22.8</v>
      </c>
      <c r="I522" s="9">
        <v>21.7</v>
      </c>
      <c r="J522" s="9">
        <v>0.65</v>
      </c>
      <c r="K522" s="9">
        <v>48.5</v>
      </c>
      <c r="L522" s="7">
        <v>19</v>
      </c>
      <c r="M522" s="7">
        <v>66.599999999999994</v>
      </c>
      <c r="N522" s="7">
        <v>0.7</v>
      </c>
      <c r="O522" s="7">
        <v>363</v>
      </c>
      <c r="P522" s="7" t="s">
        <v>20</v>
      </c>
      <c r="Q522" s="7" t="str">
        <f t="shared" si="32"/>
        <v>Unhealthy</v>
      </c>
      <c r="R522" s="7" t="str">
        <f t="shared" si="33"/>
        <v>Cool</v>
      </c>
      <c r="S522" s="7" t="str">
        <f t="shared" si="34"/>
        <v>High Humidity</v>
      </c>
      <c r="T522" s="7" t="str">
        <f t="shared" si="35"/>
        <v>Low Wind</v>
      </c>
    </row>
    <row r="523" spans="1:20" x14ac:dyDescent="0.25">
      <c r="A523" s="7" t="s">
        <v>582</v>
      </c>
      <c r="B523" s="10">
        <v>45920</v>
      </c>
      <c r="C523" s="11" t="s">
        <v>67</v>
      </c>
      <c r="D523" s="11" t="s">
        <v>18</v>
      </c>
      <c r="E523" s="7" t="s">
        <v>24</v>
      </c>
      <c r="F523" s="9">
        <v>43.8</v>
      </c>
      <c r="G523" s="9">
        <v>80.599999999999994</v>
      </c>
      <c r="H523" s="9">
        <v>5.8</v>
      </c>
      <c r="I523" s="9">
        <v>5.3</v>
      </c>
      <c r="J523" s="9">
        <v>0.34</v>
      </c>
      <c r="K523" s="9">
        <v>25.4</v>
      </c>
      <c r="L523" s="7">
        <v>31.9</v>
      </c>
      <c r="M523" s="7">
        <v>43.1</v>
      </c>
      <c r="N523" s="7">
        <v>2.9</v>
      </c>
      <c r="O523" s="7">
        <v>151</v>
      </c>
      <c r="P523" s="7" t="s">
        <v>33</v>
      </c>
      <c r="Q523" s="7" t="str">
        <f t="shared" si="32"/>
        <v>Moderate</v>
      </c>
      <c r="R523" s="7" t="str">
        <f t="shared" si="33"/>
        <v>Hot</v>
      </c>
      <c r="S523" s="7" t="str">
        <f t="shared" si="34"/>
        <v>Normal Humidity</v>
      </c>
      <c r="T523" s="7" t="str">
        <f t="shared" si="35"/>
        <v>Moderate Wind</v>
      </c>
    </row>
    <row r="524" spans="1:20" x14ac:dyDescent="0.25">
      <c r="A524" s="7" t="s">
        <v>583</v>
      </c>
      <c r="B524" s="10">
        <v>45806</v>
      </c>
      <c r="C524" s="11" t="s">
        <v>17</v>
      </c>
      <c r="D524" s="11" t="s">
        <v>18</v>
      </c>
      <c r="E524" s="7" t="s">
        <v>40</v>
      </c>
      <c r="F524" s="9">
        <v>91.4</v>
      </c>
      <c r="G524" s="9">
        <v>100.5</v>
      </c>
      <c r="H524" s="9">
        <v>16.5</v>
      </c>
      <c r="I524" s="9">
        <v>7.1</v>
      </c>
      <c r="J524" s="9">
        <v>1</v>
      </c>
      <c r="K524" s="9">
        <v>40.4</v>
      </c>
      <c r="L524" s="7">
        <v>33.6</v>
      </c>
      <c r="M524" s="7">
        <v>60.1</v>
      </c>
      <c r="N524" s="7">
        <v>0.4</v>
      </c>
      <c r="O524" s="7">
        <v>273</v>
      </c>
      <c r="P524" s="7" t="s">
        <v>28</v>
      </c>
      <c r="Q524" s="7" t="str">
        <f t="shared" si="32"/>
        <v>Unhealthy</v>
      </c>
      <c r="R524" s="7" t="str">
        <f t="shared" si="33"/>
        <v>Hot</v>
      </c>
      <c r="S524" s="7" t="str">
        <f t="shared" si="34"/>
        <v>High Humidity</v>
      </c>
      <c r="T524" s="7" t="str">
        <f t="shared" si="35"/>
        <v>Low Wind</v>
      </c>
    </row>
    <row r="525" spans="1:20" x14ac:dyDescent="0.25">
      <c r="A525" s="7" t="s">
        <v>584</v>
      </c>
      <c r="B525" s="10">
        <v>45769</v>
      </c>
      <c r="C525" s="11" t="s">
        <v>81</v>
      </c>
      <c r="D525" s="11" t="s">
        <v>39</v>
      </c>
      <c r="E525" s="7" t="s">
        <v>91</v>
      </c>
      <c r="F525" s="9">
        <v>81.900000000000006</v>
      </c>
      <c r="G525" s="9">
        <v>49.3</v>
      </c>
      <c r="H525" s="9">
        <v>29.8</v>
      </c>
      <c r="I525" s="9">
        <v>28.2</v>
      </c>
      <c r="J525" s="9">
        <v>0.66</v>
      </c>
      <c r="K525" s="9">
        <v>2.7</v>
      </c>
      <c r="L525" s="7">
        <v>38.200000000000003</v>
      </c>
      <c r="M525" s="7">
        <v>56.5</v>
      </c>
      <c r="N525" s="7">
        <v>2.4</v>
      </c>
      <c r="O525" s="7">
        <v>224</v>
      </c>
      <c r="P525" s="7" t="s">
        <v>28</v>
      </c>
      <c r="Q525" s="7" t="str">
        <f t="shared" si="32"/>
        <v>Good</v>
      </c>
      <c r="R525" s="7" t="str">
        <f t="shared" si="33"/>
        <v>Hot</v>
      </c>
      <c r="S525" s="7" t="str">
        <f t="shared" si="34"/>
        <v>Normal Humidity</v>
      </c>
      <c r="T525" s="7" t="str">
        <f t="shared" si="35"/>
        <v>Moderate Wind</v>
      </c>
    </row>
    <row r="526" spans="1:20" x14ac:dyDescent="0.25">
      <c r="A526" s="7" t="s">
        <v>585</v>
      </c>
      <c r="B526" s="10">
        <v>45714</v>
      </c>
      <c r="C526" s="11" t="s">
        <v>93</v>
      </c>
      <c r="D526" s="11" t="s">
        <v>36</v>
      </c>
      <c r="E526" s="7" t="s">
        <v>70</v>
      </c>
      <c r="F526" s="9">
        <v>73.8</v>
      </c>
      <c r="G526" s="9">
        <v>69.900000000000006</v>
      </c>
      <c r="H526" s="9">
        <v>48.7</v>
      </c>
      <c r="I526" s="9">
        <v>35.799999999999997</v>
      </c>
      <c r="J526" s="9">
        <v>0.94</v>
      </c>
      <c r="K526" s="9">
        <v>42.6</v>
      </c>
      <c r="L526" s="7">
        <v>25.8</v>
      </c>
      <c r="M526" s="7">
        <v>75.8</v>
      </c>
      <c r="N526" s="7">
        <v>1.8</v>
      </c>
      <c r="O526" s="7">
        <v>270</v>
      </c>
      <c r="P526" s="7" t="s">
        <v>28</v>
      </c>
      <c r="Q526" s="7" t="str">
        <f t="shared" si="32"/>
        <v>Moderate</v>
      </c>
      <c r="R526" s="7" t="str">
        <f t="shared" si="33"/>
        <v>Normal</v>
      </c>
      <c r="S526" s="7" t="str">
        <f t="shared" si="34"/>
        <v>High Humidity</v>
      </c>
      <c r="T526" s="7" t="str">
        <f t="shared" si="35"/>
        <v>Low Wind</v>
      </c>
    </row>
    <row r="527" spans="1:20" x14ac:dyDescent="0.25">
      <c r="A527" s="7" t="s">
        <v>586</v>
      </c>
      <c r="B527" s="10">
        <v>45796</v>
      </c>
      <c r="C527" s="11" t="s">
        <v>38</v>
      </c>
      <c r="D527" s="11" t="s">
        <v>39</v>
      </c>
      <c r="E527" s="7" t="s">
        <v>45</v>
      </c>
      <c r="F527" s="9">
        <v>27.6</v>
      </c>
      <c r="G527" s="9">
        <v>112.4</v>
      </c>
      <c r="H527" s="9">
        <v>10</v>
      </c>
      <c r="I527" s="9">
        <v>2.5</v>
      </c>
      <c r="J527" s="9">
        <v>0.17</v>
      </c>
      <c r="K527" s="9">
        <v>11.6</v>
      </c>
      <c r="L527" s="7">
        <v>15.9</v>
      </c>
      <c r="M527" s="7">
        <v>57.5</v>
      </c>
      <c r="N527" s="7">
        <v>2.2999999999999998</v>
      </c>
      <c r="O527" s="7">
        <v>136</v>
      </c>
      <c r="P527" s="7" t="s">
        <v>33</v>
      </c>
      <c r="Q527" s="7" t="str">
        <f t="shared" si="32"/>
        <v>Unhealthy</v>
      </c>
      <c r="R527" s="7" t="str">
        <f t="shared" si="33"/>
        <v>Cool</v>
      </c>
      <c r="S527" s="7" t="str">
        <f t="shared" si="34"/>
        <v>Normal Humidity</v>
      </c>
      <c r="T527" s="7" t="str">
        <f t="shared" si="35"/>
        <v>Moderate Wind</v>
      </c>
    </row>
    <row r="528" spans="1:20" x14ac:dyDescent="0.25">
      <c r="A528" s="7" t="s">
        <v>587</v>
      </c>
      <c r="B528" s="10">
        <v>45937</v>
      </c>
      <c r="C528" s="11" t="s">
        <v>99</v>
      </c>
      <c r="D528" s="11" t="s">
        <v>36</v>
      </c>
      <c r="E528" s="7" t="s">
        <v>61</v>
      </c>
      <c r="F528" s="9">
        <v>155.69999999999999</v>
      </c>
      <c r="G528" s="9">
        <v>80.8</v>
      </c>
      <c r="H528" s="9">
        <v>38.200000000000003</v>
      </c>
      <c r="I528" s="9">
        <v>32.6</v>
      </c>
      <c r="J528" s="9">
        <v>1.22</v>
      </c>
      <c r="K528" s="9">
        <v>7.6</v>
      </c>
      <c r="L528" s="7">
        <v>18.2</v>
      </c>
      <c r="M528" s="7">
        <v>47.8</v>
      </c>
      <c r="N528" s="7">
        <v>3.3</v>
      </c>
      <c r="O528" s="7">
        <v>389</v>
      </c>
      <c r="P528" s="7" t="s">
        <v>20</v>
      </c>
      <c r="Q528" s="7" t="str">
        <f t="shared" si="32"/>
        <v>Moderate</v>
      </c>
      <c r="R528" s="7" t="str">
        <f t="shared" si="33"/>
        <v>Cool</v>
      </c>
      <c r="S528" s="7" t="str">
        <f t="shared" si="34"/>
        <v>Normal Humidity</v>
      </c>
      <c r="T528" s="7" t="str">
        <f t="shared" si="35"/>
        <v>Moderate Wind</v>
      </c>
    </row>
    <row r="529" spans="1:20" x14ac:dyDescent="0.25">
      <c r="A529" s="7" t="s">
        <v>588</v>
      </c>
      <c r="B529" s="10">
        <v>45979</v>
      </c>
      <c r="C529" s="11" t="s">
        <v>50</v>
      </c>
      <c r="D529" s="11" t="s">
        <v>31</v>
      </c>
      <c r="E529" s="7" t="s">
        <v>68</v>
      </c>
      <c r="F529" s="9">
        <v>80.599999999999994</v>
      </c>
      <c r="G529" s="9">
        <v>34.5</v>
      </c>
      <c r="H529" s="9">
        <v>29.6</v>
      </c>
      <c r="I529" s="9">
        <v>4.2</v>
      </c>
      <c r="J529" s="9">
        <v>1.36</v>
      </c>
      <c r="K529" s="9">
        <v>12.8</v>
      </c>
      <c r="L529" s="7">
        <v>18.899999999999999</v>
      </c>
      <c r="M529" s="7">
        <v>67.3</v>
      </c>
      <c r="N529" s="7">
        <v>2.5</v>
      </c>
      <c r="O529" s="7">
        <v>218</v>
      </c>
      <c r="P529" s="7" t="s">
        <v>28</v>
      </c>
      <c r="Q529" s="7" t="str">
        <f t="shared" si="32"/>
        <v>Good</v>
      </c>
      <c r="R529" s="7" t="str">
        <f t="shared" si="33"/>
        <v>Cool</v>
      </c>
      <c r="S529" s="7" t="str">
        <f t="shared" si="34"/>
        <v>High Humidity</v>
      </c>
      <c r="T529" s="7" t="str">
        <f t="shared" si="35"/>
        <v>Moderate Wind</v>
      </c>
    </row>
    <row r="530" spans="1:20" x14ac:dyDescent="0.25">
      <c r="A530" s="7" t="s">
        <v>589</v>
      </c>
      <c r="B530" s="10">
        <v>45735</v>
      </c>
      <c r="C530" s="11" t="s">
        <v>64</v>
      </c>
      <c r="D530" s="11" t="s">
        <v>36</v>
      </c>
      <c r="E530" s="7" t="s">
        <v>97</v>
      </c>
      <c r="F530" s="9">
        <v>15.6</v>
      </c>
      <c r="G530" s="9">
        <v>209.1</v>
      </c>
      <c r="H530" s="9">
        <v>45.3</v>
      </c>
      <c r="I530" s="9">
        <v>9.6999999999999993</v>
      </c>
      <c r="J530" s="9">
        <v>1.61</v>
      </c>
      <c r="K530" s="9">
        <v>24.6</v>
      </c>
      <c r="L530" s="7">
        <v>38.9</v>
      </c>
      <c r="M530" s="7">
        <v>66.5</v>
      </c>
      <c r="N530" s="7">
        <v>1.7</v>
      </c>
      <c r="O530" s="7">
        <v>255</v>
      </c>
      <c r="P530" s="7" t="s">
        <v>28</v>
      </c>
      <c r="Q530" s="7" t="str">
        <f t="shared" si="32"/>
        <v>VeryUnhealthy</v>
      </c>
      <c r="R530" s="7" t="str">
        <f t="shared" si="33"/>
        <v>Hot</v>
      </c>
      <c r="S530" s="7" t="str">
        <f t="shared" si="34"/>
        <v>High Humidity</v>
      </c>
      <c r="T530" s="7" t="str">
        <f t="shared" si="35"/>
        <v>Low Wind</v>
      </c>
    </row>
    <row r="531" spans="1:20" x14ac:dyDescent="0.25">
      <c r="A531" s="7" t="s">
        <v>590</v>
      </c>
      <c r="B531" s="10">
        <v>45801</v>
      </c>
      <c r="C531" s="11" t="s">
        <v>30</v>
      </c>
      <c r="D531" s="11" t="s">
        <v>31</v>
      </c>
      <c r="E531" s="7" t="s">
        <v>43</v>
      </c>
      <c r="F531" s="9">
        <v>24</v>
      </c>
      <c r="G531" s="9">
        <v>171.9</v>
      </c>
      <c r="H531" s="9">
        <v>19.5</v>
      </c>
      <c r="I531" s="9">
        <v>3.2</v>
      </c>
      <c r="J531" s="9">
        <v>0.28000000000000003</v>
      </c>
      <c r="K531" s="9">
        <v>23.1</v>
      </c>
      <c r="L531" s="7">
        <v>33.5</v>
      </c>
      <c r="M531" s="7">
        <v>76.2</v>
      </c>
      <c r="N531" s="7">
        <v>1.8</v>
      </c>
      <c r="O531" s="7">
        <v>185</v>
      </c>
      <c r="P531" s="7" t="s">
        <v>33</v>
      </c>
      <c r="Q531" s="7" t="str">
        <f t="shared" si="32"/>
        <v>VeryUnhealthy</v>
      </c>
      <c r="R531" s="7" t="str">
        <f t="shared" si="33"/>
        <v>Hot</v>
      </c>
      <c r="S531" s="7" t="str">
        <f t="shared" si="34"/>
        <v>High Humidity</v>
      </c>
      <c r="T531" s="7" t="str">
        <f t="shared" si="35"/>
        <v>Low Wind</v>
      </c>
    </row>
    <row r="532" spans="1:20" x14ac:dyDescent="0.25">
      <c r="A532" s="7" t="s">
        <v>591</v>
      </c>
      <c r="B532" s="10">
        <v>45824</v>
      </c>
      <c r="C532" s="11" t="s">
        <v>50</v>
      </c>
      <c r="D532" s="11" t="s">
        <v>31</v>
      </c>
      <c r="E532" s="7" t="s">
        <v>24</v>
      </c>
      <c r="F532" s="9">
        <v>123.2</v>
      </c>
      <c r="G532" s="9">
        <v>143.4</v>
      </c>
      <c r="H532" s="9">
        <v>9.3000000000000007</v>
      </c>
      <c r="I532" s="9">
        <v>17.5</v>
      </c>
      <c r="J532" s="9">
        <v>0.93</v>
      </c>
      <c r="K532" s="9">
        <v>16.100000000000001</v>
      </c>
      <c r="L532" s="7">
        <v>33</v>
      </c>
      <c r="M532" s="7">
        <v>73.099999999999994</v>
      </c>
      <c r="N532" s="7">
        <v>0.9</v>
      </c>
      <c r="O532" s="7">
        <v>341</v>
      </c>
      <c r="P532" s="7" t="s">
        <v>20</v>
      </c>
      <c r="Q532" s="7" t="str">
        <f t="shared" si="32"/>
        <v>Unhealthy</v>
      </c>
      <c r="R532" s="7" t="str">
        <f t="shared" si="33"/>
        <v>Hot</v>
      </c>
      <c r="S532" s="7" t="str">
        <f t="shared" si="34"/>
        <v>High Humidity</v>
      </c>
      <c r="T532" s="7" t="str">
        <f t="shared" si="35"/>
        <v>Low Wind</v>
      </c>
    </row>
    <row r="533" spans="1:20" x14ac:dyDescent="0.25">
      <c r="A533" s="7" t="s">
        <v>592</v>
      </c>
      <c r="B533" s="10">
        <v>45852</v>
      </c>
      <c r="C533" s="11" t="s">
        <v>93</v>
      </c>
      <c r="D533" s="11" t="s">
        <v>36</v>
      </c>
      <c r="E533" s="7" t="s">
        <v>45</v>
      </c>
      <c r="F533" s="9">
        <v>56.9</v>
      </c>
      <c r="G533" s="9">
        <v>76.900000000000006</v>
      </c>
      <c r="H533" s="9">
        <v>32.799999999999997</v>
      </c>
      <c r="I533" s="9">
        <v>17</v>
      </c>
      <c r="J533" s="9">
        <v>0.89</v>
      </c>
      <c r="K533" s="9">
        <v>7.2</v>
      </c>
      <c r="L533" s="7">
        <v>24.1</v>
      </c>
      <c r="M533" s="7">
        <v>70</v>
      </c>
      <c r="N533" s="7">
        <v>3.4</v>
      </c>
      <c r="O533" s="7">
        <v>205</v>
      </c>
      <c r="P533" s="7" t="s">
        <v>28</v>
      </c>
      <c r="Q533" s="7" t="str">
        <f t="shared" si="32"/>
        <v>Moderate</v>
      </c>
      <c r="R533" s="7" t="str">
        <f t="shared" si="33"/>
        <v>Normal</v>
      </c>
      <c r="S533" s="7" t="str">
        <f t="shared" si="34"/>
        <v>High Humidity</v>
      </c>
      <c r="T533" s="7" t="str">
        <f t="shared" si="35"/>
        <v>Moderate Wind</v>
      </c>
    </row>
    <row r="534" spans="1:20" x14ac:dyDescent="0.25">
      <c r="A534" s="7" t="s">
        <v>593</v>
      </c>
      <c r="B534" s="10">
        <v>45802</v>
      </c>
      <c r="C534" s="11" t="s">
        <v>50</v>
      </c>
      <c r="D534" s="11" t="s">
        <v>31</v>
      </c>
      <c r="E534" s="7" t="s">
        <v>32</v>
      </c>
      <c r="F534" s="9">
        <v>55.8</v>
      </c>
      <c r="G534" s="9">
        <v>169.8</v>
      </c>
      <c r="H534" s="9">
        <v>10.199999999999999</v>
      </c>
      <c r="I534" s="9">
        <v>8.1999999999999993</v>
      </c>
      <c r="J534" s="9">
        <v>1.18</v>
      </c>
      <c r="K534" s="9">
        <v>58.8</v>
      </c>
      <c r="L534" s="7">
        <v>26.1</v>
      </c>
      <c r="M534" s="7">
        <v>65.5</v>
      </c>
      <c r="N534" s="7">
        <v>2.7</v>
      </c>
      <c r="O534" s="7">
        <v>270</v>
      </c>
      <c r="P534" s="7" t="s">
        <v>28</v>
      </c>
      <c r="Q534" s="7" t="str">
        <f t="shared" si="32"/>
        <v>VeryUnhealthy</v>
      </c>
      <c r="R534" s="7" t="str">
        <f t="shared" si="33"/>
        <v>Normal</v>
      </c>
      <c r="S534" s="7" t="str">
        <f t="shared" si="34"/>
        <v>High Humidity</v>
      </c>
      <c r="T534" s="7" t="str">
        <f t="shared" si="35"/>
        <v>Moderate Wind</v>
      </c>
    </row>
    <row r="535" spans="1:20" x14ac:dyDescent="0.25">
      <c r="A535" s="7" t="s">
        <v>594</v>
      </c>
      <c r="B535" s="10">
        <v>45882</v>
      </c>
      <c r="C535" s="11" t="s">
        <v>81</v>
      </c>
      <c r="D535" s="11" t="s">
        <v>39</v>
      </c>
      <c r="E535" s="7" t="s">
        <v>19</v>
      </c>
      <c r="F535" s="9">
        <v>51.7</v>
      </c>
      <c r="G535" s="9">
        <v>158.1</v>
      </c>
      <c r="H535" s="9">
        <v>17.7</v>
      </c>
      <c r="I535" s="9">
        <v>0.5</v>
      </c>
      <c r="J535" s="9">
        <v>0.52</v>
      </c>
      <c r="K535" s="9">
        <v>38.5</v>
      </c>
      <c r="L535" s="7">
        <v>24.9</v>
      </c>
      <c r="M535" s="7">
        <v>90.6</v>
      </c>
      <c r="N535" s="7">
        <v>3.7</v>
      </c>
      <c r="O535" s="7">
        <v>230</v>
      </c>
      <c r="P535" s="7" t="s">
        <v>28</v>
      </c>
      <c r="Q535" s="7" t="str">
        <f t="shared" si="32"/>
        <v>VeryUnhealthy</v>
      </c>
      <c r="R535" s="7" t="str">
        <f t="shared" si="33"/>
        <v>Normal</v>
      </c>
      <c r="S535" s="7" t="str">
        <f t="shared" si="34"/>
        <v>High Humidity</v>
      </c>
      <c r="T535" s="7" t="str">
        <f t="shared" si="35"/>
        <v>Moderate Wind</v>
      </c>
    </row>
    <row r="536" spans="1:20" x14ac:dyDescent="0.25">
      <c r="A536" s="7" t="s">
        <v>595</v>
      </c>
      <c r="B536" s="10">
        <v>45895</v>
      </c>
      <c r="C536" s="11" t="s">
        <v>93</v>
      </c>
      <c r="D536" s="11" t="s">
        <v>36</v>
      </c>
      <c r="E536" s="7" t="s">
        <v>19</v>
      </c>
      <c r="F536" s="9">
        <v>102.9</v>
      </c>
      <c r="G536" s="9">
        <v>182.1</v>
      </c>
      <c r="H536" s="9">
        <v>13.5</v>
      </c>
      <c r="I536" s="9">
        <v>12.1</v>
      </c>
      <c r="J536" s="9">
        <v>1.46</v>
      </c>
      <c r="K536" s="9">
        <v>28.4</v>
      </c>
      <c r="L536" s="7">
        <v>16.399999999999999</v>
      </c>
      <c r="M536" s="7">
        <v>54.6</v>
      </c>
      <c r="N536" s="7">
        <v>0.5</v>
      </c>
      <c r="O536" s="7">
        <v>352</v>
      </c>
      <c r="P536" s="7" t="s">
        <v>20</v>
      </c>
      <c r="Q536" s="7" t="str">
        <f t="shared" si="32"/>
        <v>VeryUnhealthy</v>
      </c>
      <c r="R536" s="7" t="str">
        <f t="shared" si="33"/>
        <v>Cool</v>
      </c>
      <c r="S536" s="7" t="str">
        <f t="shared" si="34"/>
        <v>Normal Humidity</v>
      </c>
      <c r="T536" s="7" t="str">
        <f t="shared" si="35"/>
        <v>Low Wind</v>
      </c>
    </row>
    <row r="537" spans="1:20" x14ac:dyDescent="0.25">
      <c r="A537" s="7" t="s">
        <v>596</v>
      </c>
      <c r="B537" s="10">
        <v>45662</v>
      </c>
      <c r="C537" s="11" t="s">
        <v>26</v>
      </c>
      <c r="D537" s="11" t="s">
        <v>23</v>
      </c>
      <c r="E537" s="7" t="s">
        <v>19</v>
      </c>
      <c r="F537" s="9">
        <v>92.5</v>
      </c>
      <c r="G537" s="9">
        <v>120.8</v>
      </c>
      <c r="H537" s="9">
        <v>5.6</v>
      </c>
      <c r="I537" s="9">
        <v>11.4</v>
      </c>
      <c r="J537" s="9">
        <v>0.93</v>
      </c>
      <c r="K537" s="9">
        <v>29.3</v>
      </c>
      <c r="L537" s="7">
        <v>29.3</v>
      </c>
      <c r="M537" s="7">
        <v>74.7</v>
      </c>
      <c r="N537" s="7">
        <v>2.4</v>
      </c>
      <c r="O537" s="7">
        <v>275</v>
      </c>
      <c r="P537" s="7" t="s">
        <v>28</v>
      </c>
      <c r="Q537" s="7" t="str">
        <f t="shared" si="32"/>
        <v>Unhealthy</v>
      </c>
      <c r="R537" s="7" t="str">
        <f t="shared" si="33"/>
        <v>Normal</v>
      </c>
      <c r="S537" s="7" t="str">
        <f t="shared" si="34"/>
        <v>High Humidity</v>
      </c>
      <c r="T537" s="7" t="str">
        <f t="shared" si="35"/>
        <v>Moderate Wind</v>
      </c>
    </row>
    <row r="538" spans="1:20" x14ac:dyDescent="0.25">
      <c r="A538" s="7" t="s">
        <v>597</v>
      </c>
      <c r="B538" s="10">
        <v>45663</v>
      </c>
      <c r="C538" s="11" t="s">
        <v>54</v>
      </c>
      <c r="D538" s="11" t="s">
        <v>18</v>
      </c>
      <c r="E538" s="7" t="s">
        <v>32</v>
      </c>
      <c r="F538" s="9">
        <v>74.5</v>
      </c>
      <c r="G538" s="9">
        <v>57.5</v>
      </c>
      <c r="H538" s="9">
        <v>6.1</v>
      </c>
      <c r="I538" s="9">
        <v>2.9</v>
      </c>
      <c r="J538" s="9">
        <v>0.83</v>
      </c>
      <c r="K538" s="9">
        <v>63.2</v>
      </c>
      <c r="L538" s="7">
        <v>21</v>
      </c>
      <c r="M538" s="7">
        <v>67.8</v>
      </c>
      <c r="N538" s="7">
        <v>1.1000000000000001</v>
      </c>
      <c r="O538" s="7">
        <v>213</v>
      </c>
      <c r="P538" s="7" t="s">
        <v>28</v>
      </c>
      <c r="Q538" s="7" t="str">
        <f t="shared" si="32"/>
        <v>Moderate</v>
      </c>
      <c r="R538" s="7" t="str">
        <f t="shared" si="33"/>
        <v>Normal</v>
      </c>
      <c r="S538" s="7" t="str">
        <f t="shared" si="34"/>
        <v>High Humidity</v>
      </c>
      <c r="T538" s="7" t="str">
        <f t="shared" si="35"/>
        <v>Low Wind</v>
      </c>
    </row>
    <row r="539" spans="1:20" x14ac:dyDescent="0.25">
      <c r="A539" s="7" t="s">
        <v>598</v>
      </c>
      <c r="B539" s="10">
        <v>45910</v>
      </c>
      <c r="C539" s="11" t="s">
        <v>54</v>
      </c>
      <c r="D539" s="11" t="s">
        <v>18</v>
      </c>
      <c r="E539" s="7" t="s">
        <v>58</v>
      </c>
      <c r="F539" s="9">
        <v>21.7</v>
      </c>
      <c r="G539" s="9">
        <v>104</v>
      </c>
      <c r="H539" s="9">
        <v>35.5</v>
      </c>
      <c r="I539" s="9">
        <v>21.1</v>
      </c>
      <c r="J539" s="9">
        <v>0.61</v>
      </c>
      <c r="K539" s="9">
        <v>36.6</v>
      </c>
      <c r="L539" s="7">
        <v>22.4</v>
      </c>
      <c r="M539" s="7">
        <v>62.2</v>
      </c>
      <c r="N539" s="7">
        <v>0.9</v>
      </c>
      <c r="O539" s="7">
        <v>177</v>
      </c>
      <c r="P539" s="7" t="s">
        <v>33</v>
      </c>
      <c r="Q539" s="7" t="str">
        <f t="shared" si="32"/>
        <v>Unhealthy</v>
      </c>
      <c r="R539" s="7" t="str">
        <f t="shared" si="33"/>
        <v>Normal</v>
      </c>
      <c r="S539" s="7" t="str">
        <f t="shared" si="34"/>
        <v>High Humidity</v>
      </c>
      <c r="T539" s="7" t="str">
        <f t="shared" si="35"/>
        <v>Low Wind</v>
      </c>
    </row>
    <row r="540" spans="1:20" x14ac:dyDescent="0.25">
      <c r="A540" s="7" t="s">
        <v>599</v>
      </c>
      <c r="B540" s="10">
        <v>45952</v>
      </c>
      <c r="C540" s="11" t="s">
        <v>42</v>
      </c>
      <c r="D540" s="11" t="s">
        <v>23</v>
      </c>
      <c r="E540" s="7" t="s">
        <v>74</v>
      </c>
      <c r="F540" s="9">
        <v>166.5</v>
      </c>
      <c r="G540" s="9">
        <v>170.9</v>
      </c>
      <c r="H540" s="9">
        <v>20.399999999999999</v>
      </c>
      <c r="I540" s="9">
        <v>9.5</v>
      </c>
      <c r="J540" s="9">
        <v>0.85</v>
      </c>
      <c r="K540" s="9">
        <v>35.4</v>
      </c>
      <c r="L540" s="7">
        <v>31.4</v>
      </c>
      <c r="M540" s="7">
        <v>63.6</v>
      </c>
      <c r="N540" s="7">
        <v>2.1</v>
      </c>
      <c r="O540" s="7">
        <v>438</v>
      </c>
      <c r="P540" s="7" t="s">
        <v>20</v>
      </c>
      <c r="Q540" s="7" t="str">
        <f t="shared" si="32"/>
        <v>VeryUnhealthy</v>
      </c>
      <c r="R540" s="7" t="str">
        <f t="shared" si="33"/>
        <v>Hot</v>
      </c>
      <c r="S540" s="7" t="str">
        <f t="shared" si="34"/>
        <v>High Humidity</v>
      </c>
      <c r="T540" s="7" t="str">
        <f t="shared" si="35"/>
        <v>Moderate Wind</v>
      </c>
    </row>
    <row r="541" spans="1:20" x14ac:dyDescent="0.25">
      <c r="A541" s="7" t="s">
        <v>600</v>
      </c>
      <c r="B541" s="10">
        <v>46004</v>
      </c>
      <c r="C541" s="11" t="s">
        <v>81</v>
      </c>
      <c r="D541" s="11" t="s">
        <v>39</v>
      </c>
      <c r="E541" s="7" t="s">
        <v>91</v>
      </c>
      <c r="F541" s="9">
        <v>18.600000000000001</v>
      </c>
      <c r="G541" s="9">
        <v>56.5</v>
      </c>
      <c r="H541" s="9">
        <v>28</v>
      </c>
      <c r="I541" s="9">
        <v>26.1</v>
      </c>
      <c r="J541" s="9">
        <v>1.22</v>
      </c>
      <c r="K541" s="9">
        <v>5</v>
      </c>
      <c r="L541" s="7">
        <v>31.9</v>
      </c>
      <c r="M541" s="7">
        <v>56.2</v>
      </c>
      <c r="N541" s="7">
        <v>2</v>
      </c>
      <c r="O541" s="7">
        <v>140</v>
      </c>
      <c r="P541" s="7" t="s">
        <v>33</v>
      </c>
      <c r="Q541" s="7" t="str">
        <f t="shared" si="32"/>
        <v>Moderate</v>
      </c>
      <c r="R541" s="7" t="str">
        <f t="shared" si="33"/>
        <v>Hot</v>
      </c>
      <c r="S541" s="7" t="str">
        <f t="shared" si="34"/>
        <v>Normal Humidity</v>
      </c>
      <c r="T541" s="7" t="str">
        <f t="shared" si="35"/>
        <v>Moderate Wind</v>
      </c>
    </row>
    <row r="542" spans="1:20" x14ac:dyDescent="0.25">
      <c r="A542" s="7" t="s">
        <v>601</v>
      </c>
      <c r="B542" s="10">
        <v>45851</v>
      </c>
      <c r="C542" s="11" t="s">
        <v>42</v>
      </c>
      <c r="D542" s="11" t="s">
        <v>23</v>
      </c>
      <c r="E542" s="7" t="s">
        <v>24</v>
      </c>
      <c r="F542" s="9">
        <v>8.3000000000000007</v>
      </c>
      <c r="G542" s="9">
        <v>93.5</v>
      </c>
      <c r="H542" s="9">
        <v>45.6</v>
      </c>
      <c r="I542" s="9">
        <v>13.6</v>
      </c>
      <c r="J542" s="9">
        <v>0.37</v>
      </c>
      <c r="K542" s="9">
        <v>72.099999999999994</v>
      </c>
      <c r="L542" s="7">
        <v>33.1</v>
      </c>
      <c r="M542" s="7">
        <v>42</v>
      </c>
      <c r="N542" s="7">
        <v>2.5</v>
      </c>
      <c r="O542" s="7">
        <v>162</v>
      </c>
      <c r="P542" s="7" t="s">
        <v>33</v>
      </c>
      <c r="Q542" s="7" t="str">
        <f t="shared" si="32"/>
        <v>Moderate</v>
      </c>
      <c r="R542" s="7" t="str">
        <f t="shared" si="33"/>
        <v>Hot</v>
      </c>
      <c r="S542" s="7" t="str">
        <f t="shared" si="34"/>
        <v>Normal Humidity</v>
      </c>
      <c r="T542" s="7" t="str">
        <f t="shared" si="35"/>
        <v>Moderate Wind</v>
      </c>
    </row>
    <row r="543" spans="1:20" x14ac:dyDescent="0.25">
      <c r="A543" s="7" t="s">
        <v>602</v>
      </c>
      <c r="B543" s="10">
        <v>45804</v>
      </c>
      <c r="C543" s="11" t="s">
        <v>26</v>
      </c>
      <c r="D543" s="11" t="s">
        <v>23</v>
      </c>
      <c r="E543" s="7" t="s">
        <v>97</v>
      </c>
      <c r="F543" s="9">
        <v>113.9</v>
      </c>
      <c r="G543" s="9">
        <v>102.2</v>
      </c>
      <c r="H543" s="9">
        <v>36.5</v>
      </c>
      <c r="I543" s="9">
        <v>3.2</v>
      </c>
      <c r="J543" s="9">
        <v>1.18</v>
      </c>
      <c r="K543" s="9">
        <v>18</v>
      </c>
      <c r="L543" s="7">
        <v>24</v>
      </c>
      <c r="M543" s="7">
        <v>63.3</v>
      </c>
      <c r="N543" s="7">
        <v>2.5</v>
      </c>
      <c r="O543" s="7">
        <v>318</v>
      </c>
      <c r="P543" s="7" t="s">
        <v>20</v>
      </c>
      <c r="Q543" s="7" t="str">
        <f t="shared" si="32"/>
        <v>Unhealthy</v>
      </c>
      <c r="R543" s="7" t="str">
        <f t="shared" si="33"/>
        <v>Normal</v>
      </c>
      <c r="S543" s="7" t="str">
        <f t="shared" si="34"/>
        <v>High Humidity</v>
      </c>
      <c r="T543" s="7" t="str">
        <f t="shared" si="35"/>
        <v>Moderate Wind</v>
      </c>
    </row>
    <row r="544" spans="1:20" x14ac:dyDescent="0.25">
      <c r="A544" s="7" t="s">
        <v>603</v>
      </c>
      <c r="B544" s="10">
        <v>45726</v>
      </c>
      <c r="C544" s="11" t="s">
        <v>26</v>
      </c>
      <c r="D544" s="11" t="s">
        <v>23</v>
      </c>
      <c r="E544" s="7" t="s">
        <v>74</v>
      </c>
      <c r="F544" s="9">
        <v>24.9</v>
      </c>
      <c r="G544" s="9">
        <v>72.599999999999994</v>
      </c>
      <c r="H544" s="9">
        <v>70.7</v>
      </c>
      <c r="I544" s="9">
        <v>4.4000000000000004</v>
      </c>
      <c r="J544" s="9">
        <v>0.15</v>
      </c>
      <c r="K544" s="9">
        <v>35.799999999999997</v>
      </c>
      <c r="L544" s="7">
        <v>20.399999999999999</v>
      </c>
      <c r="M544" s="7">
        <v>58.4</v>
      </c>
      <c r="N544" s="7">
        <v>3.6</v>
      </c>
      <c r="O544" s="7">
        <v>167</v>
      </c>
      <c r="P544" s="7" t="s">
        <v>33</v>
      </c>
      <c r="Q544" s="7" t="str">
        <f t="shared" si="32"/>
        <v>Moderate</v>
      </c>
      <c r="R544" s="7" t="str">
        <f t="shared" si="33"/>
        <v>Normal</v>
      </c>
      <c r="S544" s="7" t="str">
        <f t="shared" si="34"/>
        <v>Normal Humidity</v>
      </c>
      <c r="T544" s="7" t="str">
        <f t="shared" si="35"/>
        <v>Moderate Wind</v>
      </c>
    </row>
    <row r="545" spans="1:20" x14ac:dyDescent="0.25">
      <c r="A545" s="7" t="s">
        <v>604</v>
      </c>
      <c r="B545" s="10">
        <v>45965</v>
      </c>
      <c r="C545" s="11" t="s">
        <v>67</v>
      </c>
      <c r="D545" s="11" t="s">
        <v>18</v>
      </c>
      <c r="E545" s="7" t="s">
        <v>58</v>
      </c>
      <c r="F545" s="9">
        <v>31</v>
      </c>
      <c r="G545" s="9">
        <v>48.5</v>
      </c>
      <c r="H545" s="9">
        <v>28.1</v>
      </c>
      <c r="I545" s="9">
        <v>12.9</v>
      </c>
      <c r="J545" s="9">
        <v>0.15</v>
      </c>
      <c r="K545" s="9">
        <v>44.3</v>
      </c>
      <c r="L545" s="7">
        <v>31.5</v>
      </c>
      <c r="M545" s="7">
        <v>56.2</v>
      </c>
      <c r="N545" s="7">
        <v>2.6</v>
      </c>
      <c r="O545" s="7">
        <v>136</v>
      </c>
      <c r="P545" s="7" t="s">
        <v>33</v>
      </c>
      <c r="Q545" s="7" t="str">
        <f t="shared" si="32"/>
        <v>Good</v>
      </c>
      <c r="R545" s="7" t="str">
        <f t="shared" si="33"/>
        <v>Hot</v>
      </c>
      <c r="S545" s="7" t="str">
        <f t="shared" si="34"/>
        <v>Normal Humidity</v>
      </c>
      <c r="T545" s="7" t="str">
        <f t="shared" si="35"/>
        <v>Moderate Wind</v>
      </c>
    </row>
    <row r="546" spans="1:20" x14ac:dyDescent="0.25">
      <c r="A546" s="7" t="s">
        <v>605</v>
      </c>
      <c r="B546" s="10">
        <v>45701</v>
      </c>
      <c r="C546" s="11" t="s">
        <v>81</v>
      </c>
      <c r="D546" s="11" t="s">
        <v>39</v>
      </c>
      <c r="E546" s="7" t="s">
        <v>55</v>
      </c>
      <c r="F546" s="9">
        <v>61.4</v>
      </c>
      <c r="G546" s="9">
        <v>99.3</v>
      </c>
      <c r="H546" s="9">
        <v>21.4</v>
      </c>
      <c r="I546" s="9">
        <v>12.2</v>
      </c>
      <c r="J546" s="9">
        <v>0.48</v>
      </c>
      <c r="K546" s="9">
        <v>21.7</v>
      </c>
      <c r="L546" s="7">
        <v>22.9</v>
      </c>
      <c r="M546" s="7">
        <v>70.5</v>
      </c>
      <c r="N546" s="7">
        <v>3.7</v>
      </c>
      <c r="O546" s="7">
        <v>210</v>
      </c>
      <c r="P546" s="7" t="s">
        <v>28</v>
      </c>
      <c r="Q546" s="7" t="str">
        <f t="shared" si="32"/>
        <v>Moderate</v>
      </c>
      <c r="R546" s="7" t="str">
        <f t="shared" si="33"/>
        <v>Normal</v>
      </c>
      <c r="S546" s="7" t="str">
        <f t="shared" si="34"/>
        <v>High Humidity</v>
      </c>
      <c r="T546" s="7" t="str">
        <f t="shared" si="35"/>
        <v>Moderate Wind</v>
      </c>
    </row>
    <row r="547" spans="1:20" x14ac:dyDescent="0.25">
      <c r="A547" s="7" t="s">
        <v>606</v>
      </c>
      <c r="B547" s="10">
        <v>45741</v>
      </c>
      <c r="C547" s="11" t="s">
        <v>67</v>
      </c>
      <c r="D547" s="11" t="s">
        <v>18</v>
      </c>
      <c r="E547" s="7" t="s">
        <v>24</v>
      </c>
      <c r="F547" s="9">
        <v>31.1</v>
      </c>
      <c r="G547" s="9">
        <v>107.1</v>
      </c>
      <c r="H547" s="9">
        <v>15.8</v>
      </c>
      <c r="I547" s="9">
        <v>12.4</v>
      </c>
      <c r="J547" s="9">
        <v>0.15</v>
      </c>
      <c r="K547" s="9">
        <v>16.600000000000001</v>
      </c>
      <c r="L547" s="7">
        <v>17.7</v>
      </c>
      <c r="M547" s="7">
        <v>68.400000000000006</v>
      </c>
      <c r="N547" s="7">
        <v>2.7</v>
      </c>
      <c r="O547" s="7">
        <v>152</v>
      </c>
      <c r="P547" s="7" t="s">
        <v>33</v>
      </c>
      <c r="Q547" s="7" t="str">
        <f t="shared" si="32"/>
        <v>Unhealthy</v>
      </c>
      <c r="R547" s="7" t="str">
        <f t="shared" si="33"/>
        <v>Cool</v>
      </c>
      <c r="S547" s="7" t="str">
        <f t="shared" si="34"/>
        <v>High Humidity</v>
      </c>
      <c r="T547" s="7" t="str">
        <f t="shared" si="35"/>
        <v>Moderate Wind</v>
      </c>
    </row>
    <row r="548" spans="1:20" x14ac:dyDescent="0.25">
      <c r="A548" s="7" t="s">
        <v>607</v>
      </c>
      <c r="B548" s="10">
        <v>45831</v>
      </c>
      <c r="C548" s="11" t="s">
        <v>50</v>
      </c>
      <c r="D548" s="11" t="s">
        <v>31</v>
      </c>
      <c r="E548" s="7" t="s">
        <v>55</v>
      </c>
      <c r="F548" s="9">
        <v>29.7</v>
      </c>
      <c r="G548" s="9">
        <v>98</v>
      </c>
      <c r="H548" s="9">
        <v>11.9</v>
      </c>
      <c r="I548" s="9">
        <v>28.8</v>
      </c>
      <c r="J548" s="9">
        <v>2.31</v>
      </c>
      <c r="K548" s="9">
        <v>32.299999999999997</v>
      </c>
      <c r="L548" s="7">
        <v>21.1</v>
      </c>
      <c r="M548" s="7">
        <v>70.8</v>
      </c>
      <c r="N548" s="7">
        <v>2</v>
      </c>
      <c r="O548" s="7">
        <v>213</v>
      </c>
      <c r="P548" s="7" t="s">
        <v>28</v>
      </c>
      <c r="Q548" s="7" t="str">
        <f t="shared" si="32"/>
        <v>Moderate</v>
      </c>
      <c r="R548" s="7" t="str">
        <f t="shared" si="33"/>
        <v>Normal</v>
      </c>
      <c r="S548" s="7" t="str">
        <f t="shared" si="34"/>
        <v>High Humidity</v>
      </c>
      <c r="T548" s="7" t="str">
        <f t="shared" si="35"/>
        <v>Moderate Wind</v>
      </c>
    </row>
    <row r="549" spans="1:20" x14ac:dyDescent="0.25">
      <c r="A549" s="7" t="s">
        <v>608</v>
      </c>
      <c r="B549" s="10">
        <v>45857</v>
      </c>
      <c r="C549" s="11" t="s">
        <v>52</v>
      </c>
      <c r="D549" s="11" t="s">
        <v>31</v>
      </c>
      <c r="E549" s="7" t="s">
        <v>58</v>
      </c>
      <c r="F549" s="9">
        <v>38.6</v>
      </c>
      <c r="G549" s="9">
        <v>77.7</v>
      </c>
      <c r="H549" s="9">
        <v>31.6</v>
      </c>
      <c r="I549" s="9">
        <v>14.4</v>
      </c>
      <c r="J549" s="9">
        <v>0.66</v>
      </c>
      <c r="K549" s="9">
        <v>100.1</v>
      </c>
      <c r="L549" s="7">
        <v>28.8</v>
      </c>
      <c r="M549" s="7">
        <v>54.3</v>
      </c>
      <c r="N549" s="7">
        <v>3</v>
      </c>
      <c r="O549" s="7">
        <v>209</v>
      </c>
      <c r="P549" s="7" t="s">
        <v>28</v>
      </c>
      <c r="Q549" s="7" t="str">
        <f t="shared" si="32"/>
        <v>Moderate</v>
      </c>
      <c r="R549" s="7" t="str">
        <f t="shared" si="33"/>
        <v>Normal</v>
      </c>
      <c r="S549" s="7" t="str">
        <f t="shared" si="34"/>
        <v>Normal Humidity</v>
      </c>
      <c r="T549" s="7" t="str">
        <f t="shared" si="35"/>
        <v>Moderate Wind</v>
      </c>
    </row>
    <row r="550" spans="1:20" x14ac:dyDescent="0.25">
      <c r="A550" s="7" t="s">
        <v>609</v>
      </c>
      <c r="B550" s="10">
        <v>45865</v>
      </c>
      <c r="C550" s="11" t="s">
        <v>42</v>
      </c>
      <c r="D550" s="11" t="s">
        <v>23</v>
      </c>
      <c r="E550" s="7" t="s">
        <v>61</v>
      </c>
      <c r="F550" s="9">
        <v>64.7</v>
      </c>
      <c r="G550" s="9">
        <v>46.8</v>
      </c>
      <c r="H550" s="9">
        <v>17</v>
      </c>
      <c r="I550" s="9">
        <v>48.1</v>
      </c>
      <c r="J550" s="9">
        <v>0.26</v>
      </c>
      <c r="K550" s="9">
        <v>17.5</v>
      </c>
      <c r="L550" s="7">
        <v>21.2</v>
      </c>
      <c r="M550" s="7">
        <v>46.4</v>
      </c>
      <c r="N550" s="7">
        <v>0.4</v>
      </c>
      <c r="O550" s="7">
        <v>196</v>
      </c>
      <c r="P550" s="7" t="s">
        <v>33</v>
      </c>
      <c r="Q550" s="7" t="str">
        <f t="shared" si="32"/>
        <v>Good</v>
      </c>
      <c r="R550" s="7" t="str">
        <f t="shared" si="33"/>
        <v>Normal</v>
      </c>
      <c r="S550" s="7" t="str">
        <f t="shared" si="34"/>
        <v>Normal Humidity</v>
      </c>
      <c r="T550" s="7" t="str">
        <f t="shared" si="35"/>
        <v>Low Wind</v>
      </c>
    </row>
    <row r="551" spans="1:20" x14ac:dyDescent="0.25">
      <c r="A551" s="7" t="s">
        <v>610</v>
      </c>
      <c r="B551" s="10">
        <v>45747</v>
      </c>
      <c r="C551" s="11" t="s">
        <v>99</v>
      </c>
      <c r="D551" s="11" t="s">
        <v>36</v>
      </c>
      <c r="E551" s="7" t="s">
        <v>32</v>
      </c>
      <c r="F551" s="9">
        <v>42.8</v>
      </c>
      <c r="G551" s="9">
        <v>40.5</v>
      </c>
      <c r="H551" s="9">
        <v>40.700000000000003</v>
      </c>
      <c r="I551" s="9">
        <v>13.3</v>
      </c>
      <c r="J551" s="9">
        <v>2.12</v>
      </c>
      <c r="K551" s="9">
        <v>35.6</v>
      </c>
      <c r="L551" s="7">
        <v>34.9</v>
      </c>
      <c r="M551" s="7">
        <v>32.4</v>
      </c>
      <c r="N551" s="7">
        <v>0.7</v>
      </c>
      <c r="O551" s="7">
        <v>206</v>
      </c>
      <c r="P551" s="7" t="s">
        <v>28</v>
      </c>
      <c r="Q551" s="7" t="str">
        <f t="shared" si="32"/>
        <v>Good</v>
      </c>
      <c r="R551" s="7" t="str">
        <f t="shared" si="33"/>
        <v>Hot</v>
      </c>
      <c r="S551" s="7" t="str">
        <f t="shared" si="34"/>
        <v>Normal Humidity</v>
      </c>
      <c r="T551" s="7" t="str">
        <f t="shared" si="35"/>
        <v>Low Wind</v>
      </c>
    </row>
    <row r="552" spans="1:20" x14ac:dyDescent="0.25">
      <c r="A552" s="7" t="s">
        <v>611</v>
      </c>
      <c r="B552" s="10">
        <v>45747</v>
      </c>
      <c r="C552" s="11" t="s">
        <v>77</v>
      </c>
      <c r="D552" s="11" t="s">
        <v>39</v>
      </c>
      <c r="E552" s="7" t="s">
        <v>55</v>
      </c>
      <c r="F552" s="9">
        <v>88.1</v>
      </c>
      <c r="G552" s="9">
        <v>28.1</v>
      </c>
      <c r="H552" s="9">
        <v>24.9</v>
      </c>
      <c r="I552" s="9">
        <v>14.9</v>
      </c>
      <c r="J552" s="9">
        <v>0.97</v>
      </c>
      <c r="K552" s="9">
        <v>13</v>
      </c>
      <c r="L552" s="7">
        <v>28.7</v>
      </c>
      <c r="M552" s="7">
        <v>42.4</v>
      </c>
      <c r="N552" s="7">
        <v>0.1</v>
      </c>
      <c r="O552" s="7">
        <v>220</v>
      </c>
      <c r="P552" s="7" t="s">
        <v>28</v>
      </c>
      <c r="Q552" s="7" t="str">
        <f t="shared" si="32"/>
        <v>Good</v>
      </c>
      <c r="R552" s="7" t="str">
        <f t="shared" si="33"/>
        <v>Normal</v>
      </c>
      <c r="S552" s="7" t="str">
        <f t="shared" si="34"/>
        <v>Normal Humidity</v>
      </c>
      <c r="T552" s="7" t="str">
        <f t="shared" si="35"/>
        <v>Low Wind</v>
      </c>
    </row>
    <row r="553" spans="1:20" x14ac:dyDescent="0.25">
      <c r="A553" s="7" t="s">
        <v>612</v>
      </c>
      <c r="B553" s="10">
        <v>45733</v>
      </c>
      <c r="C553" s="11" t="s">
        <v>77</v>
      </c>
      <c r="D553" s="11" t="s">
        <v>39</v>
      </c>
      <c r="E553" s="7" t="s">
        <v>24</v>
      </c>
      <c r="F553" s="9">
        <v>123.5</v>
      </c>
      <c r="G553" s="9">
        <v>125.4</v>
      </c>
      <c r="H553" s="9">
        <v>40.9</v>
      </c>
      <c r="I553" s="9">
        <v>23.9</v>
      </c>
      <c r="J553" s="9">
        <v>0.11</v>
      </c>
      <c r="K553" s="9">
        <v>40.299999999999997</v>
      </c>
      <c r="L553" s="7">
        <v>27.2</v>
      </c>
      <c r="M553" s="7">
        <v>70.900000000000006</v>
      </c>
      <c r="N553" s="7">
        <v>0.9</v>
      </c>
      <c r="O553" s="7">
        <v>349</v>
      </c>
      <c r="P553" s="7" t="s">
        <v>20</v>
      </c>
      <c r="Q553" s="7" t="str">
        <f t="shared" si="32"/>
        <v>Unhealthy</v>
      </c>
      <c r="R553" s="7" t="str">
        <f t="shared" si="33"/>
        <v>Normal</v>
      </c>
      <c r="S553" s="7" t="str">
        <f t="shared" si="34"/>
        <v>High Humidity</v>
      </c>
      <c r="T553" s="7" t="str">
        <f t="shared" si="35"/>
        <v>Low Wind</v>
      </c>
    </row>
    <row r="554" spans="1:20" x14ac:dyDescent="0.25">
      <c r="A554" s="7" t="s">
        <v>613</v>
      </c>
      <c r="B554" s="10">
        <v>45770</v>
      </c>
      <c r="C554" s="11" t="s">
        <v>22</v>
      </c>
      <c r="D554" s="11" t="s">
        <v>23</v>
      </c>
      <c r="E554" s="7" t="s">
        <v>27</v>
      </c>
      <c r="F554" s="9">
        <v>45.8</v>
      </c>
      <c r="G554" s="9">
        <v>35.700000000000003</v>
      </c>
      <c r="H554" s="9">
        <v>30.9</v>
      </c>
      <c r="I554" s="9">
        <v>36.9</v>
      </c>
      <c r="J554" s="9">
        <v>1.01</v>
      </c>
      <c r="K554" s="9">
        <v>53.8</v>
      </c>
      <c r="L554" s="7">
        <v>14.1</v>
      </c>
      <c r="M554" s="7">
        <v>44.1</v>
      </c>
      <c r="N554" s="7">
        <v>2</v>
      </c>
      <c r="O554" s="7">
        <v>196</v>
      </c>
      <c r="P554" s="7" t="s">
        <v>33</v>
      </c>
      <c r="Q554" s="7" t="str">
        <f t="shared" si="32"/>
        <v>Good</v>
      </c>
      <c r="R554" s="7" t="str">
        <f t="shared" si="33"/>
        <v>Cool</v>
      </c>
      <c r="S554" s="7" t="str">
        <f t="shared" si="34"/>
        <v>Normal Humidity</v>
      </c>
      <c r="T554" s="7" t="str">
        <f t="shared" si="35"/>
        <v>Moderate Wind</v>
      </c>
    </row>
    <row r="555" spans="1:20" x14ac:dyDescent="0.25">
      <c r="A555" s="7" t="s">
        <v>614</v>
      </c>
      <c r="B555" s="10">
        <v>45890</v>
      </c>
      <c r="C555" s="11" t="s">
        <v>26</v>
      </c>
      <c r="D555" s="11" t="s">
        <v>23</v>
      </c>
      <c r="E555" s="7" t="s">
        <v>61</v>
      </c>
      <c r="F555" s="9">
        <v>23.4</v>
      </c>
      <c r="G555" s="9">
        <v>55.5</v>
      </c>
      <c r="H555" s="9">
        <v>20.8</v>
      </c>
      <c r="I555" s="9">
        <v>4.8</v>
      </c>
      <c r="J555" s="9">
        <v>0.84</v>
      </c>
      <c r="K555" s="9">
        <v>39.700000000000003</v>
      </c>
      <c r="L555" s="7">
        <v>31.5</v>
      </c>
      <c r="M555" s="7">
        <v>80.3</v>
      </c>
      <c r="N555" s="7">
        <v>2.9</v>
      </c>
      <c r="O555" s="7">
        <v>132</v>
      </c>
      <c r="P555" s="7" t="s">
        <v>33</v>
      </c>
      <c r="Q555" s="7" t="str">
        <f t="shared" si="32"/>
        <v>Moderate</v>
      </c>
      <c r="R555" s="7" t="str">
        <f t="shared" si="33"/>
        <v>Hot</v>
      </c>
      <c r="S555" s="7" t="str">
        <f t="shared" si="34"/>
        <v>High Humidity</v>
      </c>
      <c r="T555" s="7" t="str">
        <f t="shared" si="35"/>
        <v>Moderate Wind</v>
      </c>
    </row>
    <row r="556" spans="1:20" x14ac:dyDescent="0.25">
      <c r="A556" s="7" t="s">
        <v>615</v>
      </c>
      <c r="B556" s="10">
        <v>45736</v>
      </c>
      <c r="C556" s="11" t="s">
        <v>77</v>
      </c>
      <c r="D556" s="11" t="s">
        <v>39</v>
      </c>
      <c r="E556" s="7" t="s">
        <v>55</v>
      </c>
      <c r="F556" s="9">
        <v>20.3</v>
      </c>
      <c r="G556" s="9">
        <v>45.5</v>
      </c>
      <c r="H556" s="9">
        <v>18.399999999999999</v>
      </c>
      <c r="I556" s="9">
        <v>10.7</v>
      </c>
      <c r="J556" s="9">
        <v>0.41</v>
      </c>
      <c r="K556" s="9">
        <v>5.8</v>
      </c>
      <c r="L556" s="7">
        <v>39</v>
      </c>
      <c r="M556" s="7">
        <v>74.099999999999994</v>
      </c>
      <c r="N556" s="7">
        <v>1.8</v>
      </c>
      <c r="O556" s="7">
        <v>97</v>
      </c>
      <c r="P556" s="7" t="s">
        <v>71</v>
      </c>
      <c r="Q556" s="7" t="str">
        <f t="shared" si="32"/>
        <v>Good</v>
      </c>
      <c r="R556" s="7" t="str">
        <f t="shared" si="33"/>
        <v>Hot</v>
      </c>
      <c r="S556" s="7" t="str">
        <f t="shared" si="34"/>
        <v>High Humidity</v>
      </c>
      <c r="T556" s="7" t="str">
        <f t="shared" si="35"/>
        <v>Low Wind</v>
      </c>
    </row>
    <row r="557" spans="1:20" x14ac:dyDescent="0.25">
      <c r="A557" s="7" t="s">
        <v>616</v>
      </c>
      <c r="B557" s="10">
        <v>45668</v>
      </c>
      <c r="C557" s="11" t="s">
        <v>42</v>
      </c>
      <c r="D557" s="11" t="s">
        <v>23</v>
      </c>
      <c r="E557" s="7" t="s">
        <v>70</v>
      </c>
      <c r="F557" s="9">
        <v>27.7</v>
      </c>
      <c r="G557" s="9">
        <v>80.900000000000006</v>
      </c>
      <c r="H557" s="9">
        <v>23.4</v>
      </c>
      <c r="I557" s="9">
        <v>1.9</v>
      </c>
      <c r="J557" s="9">
        <v>0.77</v>
      </c>
      <c r="K557" s="9">
        <v>21.8</v>
      </c>
      <c r="L557" s="7">
        <v>37.5</v>
      </c>
      <c r="M557" s="7">
        <v>58.4</v>
      </c>
      <c r="N557" s="7">
        <v>2.2000000000000002</v>
      </c>
      <c r="O557" s="7">
        <v>146</v>
      </c>
      <c r="P557" s="7" t="s">
        <v>33</v>
      </c>
      <c r="Q557" s="7" t="str">
        <f t="shared" si="32"/>
        <v>Moderate</v>
      </c>
      <c r="R557" s="7" t="str">
        <f t="shared" si="33"/>
        <v>Hot</v>
      </c>
      <c r="S557" s="7" t="str">
        <f t="shared" si="34"/>
        <v>Normal Humidity</v>
      </c>
      <c r="T557" s="7" t="str">
        <f t="shared" si="35"/>
        <v>Moderate Wind</v>
      </c>
    </row>
    <row r="558" spans="1:20" x14ac:dyDescent="0.25">
      <c r="A558" s="7" t="s">
        <v>617</v>
      </c>
      <c r="B558" s="10">
        <v>45894</v>
      </c>
      <c r="C558" s="11" t="s">
        <v>54</v>
      </c>
      <c r="D558" s="11" t="s">
        <v>18</v>
      </c>
      <c r="E558" s="7" t="s">
        <v>70</v>
      </c>
      <c r="F558" s="9">
        <v>18.8</v>
      </c>
      <c r="G558" s="9">
        <v>107.6</v>
      </c>
      <c r="H558" s="9">
        <v>24.3</v>
      </c>
      <c r="I558" s="9">
        <v>25.3</v>
      </c>
      <c r="J558" s="9">
        <v>0.85</v>
      </c>
      <c r="K558" s="9">
        <v>16.899999999999999</v>
      </c>
      <c r="L558" s="7">
        <v>20.399999999999999</v>
      </c>
      <c r="M558" s="7">
        <v>55.3</v>
      </c>
      <c r="N558" s="7">
        <v>2.2000000000000002</v>
      </c>
      <c r="O558" s="7">
        <v>166</v>
      </c>
      <c r="P558" s="7" t="s">
        <v>33</v>
      </c>
      <c r="Q558" s="7" t="str">
        <f t="shared" si="32"/>
        <v>Unhealthy</v>
      </c>
      <c r="R558" s="7" t="str">
        <f t="shared" si="33"/>
        <v>Normal</v>
      </c>
      <c r="S558" s="7" t="str">
        <f t="shared" si="34"/>
        <v>Normal Humidity</v>
      </c>
      <c r="T558" s="7" t="str">
        <f t="shared" si="35"/>
        <v>Moderate Wind</v>
      </c>
    </row>
    <row r="559" spans="1:20" x14ac:dyDescent="0.25">
      <c r="A559" s="7" t="s">
        <v>618</v>
      </c>
      <c r="B559" s="10">
        <v>46019</v>
      </c>
      <c r="C559" s="11" t="s">
        <v>35</v>
      </c>
      <c r="D559" s="11" t="s">
        <v>36</v>
      </c>
      <c r="E559" s="7" t="s">
        <v>61</v>
      </c>
      <c r="F559" s="9">
        <v>74.3</v>
      </c>
      <c r="G559" s="9">
        <v>88.8</v>
      </c>
      <c r="H559" s="9">
        <v>43.5</v>
      </c>
      <c r="I559" s="9">
        <v>17.7</v>
      </c>
      <c r="J559" s="9">
        <v>0.25</v>
      </c>
      <c r="K559" s="9">
        <v>9.3000000000000007</v>
      </c>
      <c r="L559" s="7">
        <v>36.799999999999997</v>
      </c>
      <c r="M559" s="7">
        <v>55.3</v>
      </c>
      <c r="N559" s="7">
        <v>3.5</v>
      </c>
      <c r="O559" s="7">
        <v>234</v>
      </c>
      <c r="P559" s="7" t="s">
        <v>28</v>
      </c>
      <c r="Q559" s="7" t="str">
        <f t="shared" si="32"/>
        <v>Moderate</v>
      </c>
      <c r="R559" s="7" t="str">
        <f t="shared" si="33"/>
        <v>Hot</v>
      </c>
      <c r="S559" s="7" t="str">
        <f t="shared" si="34"/>
        <v>Normal Humidity</v>
      </c>
      <c r="T559" s="7" t="str">
        <f t="shared" si="35"/>
        <v>Moderate Wind</v>
      </c>
    </row>
    <row r="560" spans="1:20" x14ac:dyDescent="0.25">
      <c r="A560" s="7" t="s">
        <v>619</v>
      </c>
      <c r="B560" s="10">
        <v>45930</v>
      </c>
      <c r="C560" s="11" t="s">
        <v>54</v>
      </c>
      <c r="D560" s="11" t="s">
        <v>18</v>
      </c>
      <c r="E560" s="7" t="s">
        <v>61</v>
      </c>
      <c r="F560" s="9">
        <v>53.2</v>
      </c>
      <c r="G560" s="9">
        <v>95.9</v>
      </c>
      <c r="H560" s="9">
        <v>11.8</v>
      </c>
      <c r="I560" s="9">
        <v>9</v>
      </c>
      <c r="J560" s="9">
        <v>0.46</v>
      </c>
      <c r="K560" s="9">
        <v>44.4</v>
      </c>
      <c r="L560" s="7">
        <v>19.5</v>
      </c>
      <c r="M560" s="7">
        <v>61.7</v>
      </c>
      <c r="N560" s="7">
        <v>1.7</v>
      </c>
      <c r="O560" s="7">
        <v>195</v>
      </c>
      <c r="P560" s="7" t="s">
        <v>33</v>
      </c>
      <c r="Q560" s="7" t="str">
        <f t="shared" si="32"/>
        <v>Moderate</v>
      </c>
      <c r="R560" s="7" t="str">
        <f t="shared" si="33"/>
        <v>Cool</v>
      </c>
      <c r="S560" s="7" t="str">
        <f t="shared" si="34"/>
        <v>High Humidity</v>
      </c>
      <c r="T560" s="7" t="str">
        <f t="shared" si="35"/>
        <v>Low Wind</v>
      </c>
    </row>
    <row r="561" spans="1:20" x14ac:dyDescent="0.25">
      <c r="A561" s="7" t="s">
        <v>620</v>
      </c>
      <c r="B561" s="10">
        <v>45913</v>
      </c>
      <c r="C561" s="11" t="s">
        <v>99</v>
      </c>
      <c r="D561" s="11" t="s">
        <v>36</v>
      </c>
      <c r="E561" s="7" t="s">
        <v>24</v>
      </c>
      <c r="F561" s="9">
        <v>56.7</v>
      </c>
      <c r="G561" s="9">
        <v>83.5</v>
      </c>
      <c r="H561" s="9">
        <v>5.7</v>
      </c>
      <c r="I561" s="9">
        <v>12.9</v>
      </c>
      <c r="J561" s="9">
        <v>0.51</v>
      </c>
      <c r="K561" s="9">
        <v>47.3</v>
      </c>
      <c r="L561" s="7">
        <v>26.4</v>
      </c>
      <c r="M561" s="7">
        <v>72.900000000000006</v>
      </c>
      <c r="N561" s="7">
        <v>2.6</v>
      </c>
      <c r="O561" s="7">
        <v>193</v>
      </c>
      <c r="P561" s="7" t="s">
        <v>33</v>
      </c>
      <c r="Q561" s="7" t="str">
        <f t="shared" si="32"/>
        <v>Moderate</v>
      </c>
      <c r="R561" s="7" t="str">
        <f t="shared" si="33"/>
        <v>Normal</v>
      </c>
      <c r="S561" s="7" t="str">
        <f t="shared" si="34"/>
        <v>High Humidity</v>
      </c>
      <c r="T561" s="7" t="str">
        <f t="shared" si="35"/>
        <v>Moderate Wind</v>
      </c>
    </row>
    <row r="562" spans="1:20" x14ac:dyDescent="0.25">
      <c r="A562" s="7" t="s">
        <v>621</v>
      </c>
      <c r="B562" s="10">
        <v>45803</v>
      </c>
      <c r="C562" s="11" t="s">
        <v>99</v>
      </c>
      <c r="D562" s="11" t="s">
        <v>36</v>
      </c>
      <c r="E562" s="7" t="s">
        <v>19</v>
      </c>
      <c r="F562" s="9">
        <v>51.6</v>
      </c>
      <c r="G562" s="9">
        <v>89.7</v>
      </c>
      <c r="H562" s="9">
        <v>25.8</v>
      </c>
      <c r="I562" s="9">
        <v>43.6</v>
      </c>
      <c r="J562" s="9">
        <v>0.21</v>
      </c>
      <c r="K562" s="9">
        <v>32.6</v>
      </c>
      <c r="L562" s="7">
        <v>34.200000000000003</v>
      </c>
      <c r="M562" s="7">
        <v>88.3</v>
      </c>
      <c r="N562" s="7">
        <v>1.6</v>
      </c>
      <c r="O562" s="7">
        <v>212</v>
      </c>
      <c r="P562" s="7" t="s">
        <v>28</v>
      </c>
      <c r="Q562" s="7" t="str">
        <f t="shared" si="32"/>
        <v>Moderate</v>
      </c>
      <c r="R562" s="7" t="str">
        <f t="shared" si="33"/>
        <v>Hot</v>
      </c>
      <c r="S562" s="7" t="str">
        <f t="shared" si="34"/>
        <v>High Humidity</v>
      </c>
      <c r="T562" s="7" t="str">
        <f t="shared" si="35"/>
        <v>Low Wind</v>
      </c>
    </row>
    <row r="563" spans="1:20" x14ac:dyDescent="0.25">
      <c r="A563" s="7" t="s">
        <v>622</v>
      </c>
      <c r="B563" s="10">
        <v>45756</v>
      </c>
      <c r="C563" s="11" t="s">
        <v>50</v>
      </c>
      <c r="D563" s="11" t="s">
        <v>31</v>
      </c>
      <c r="E563" s="7" t="s">
        <v>58</v>
      </c>
      <c r="F563" s="9">
        <v>33.1</v>
      </c>
      <c r="G563" s="9">
        <v>99.2</v>
      </c>
      <c r="H563" s="9">
        <v>57.2</v>
      </c>
      <c r="I563" s="9">
        <v>9.3000000000000007</v>
      </c>
      <c r="J563" s="9">
        <v>0.34</v>
      </c>
      <c r="K563" s="9">
        <v>30.5</v>
      </c>
      <c r="L563" s="7">
        <v>33.9</v>
      </c>
      <c r="M563" s="7">
        <v>61.1</v>
      </c>
      <c r="N563" s="7">
        <v>1.7</v>
      </c>
      <c r="O563" s="7">
        <v>192</v>
      </c>
      <c r="P563" s="7" t="s">
        <v>33</v>
      </c>
      <c r="Q563" s="7" t="str">
        <f t="shared" si="32"/>
        <v>Moderate</v>
      </c>
      <c r="R563" s="7" t="str">
        <f t="shared" si="33"/>
        <v>Hot</v>
      </c>
      <c r="S563" s="7" t="str">
        <f t="shared" si="34"/>
        <v>High Humidity</v>
      </c>
      <c r="T563" s="7" t="str">
        <f t="shared" si="35"/>
        <v>Low Wind</v>
      </c>
    </row>
    <row r="564" spans="1:20" x14ac:dyDescent="0.25">
      <c r="A564" s="7" t="s">
        <v>623</v>
      </c>
      <c r="B564" s="10">
        <v>45897</v>
      </c>
      <c r="C564" s="11" t="s">
        <v>54</v>
      </c>
      <c r="D564" s="11" t="s">
        <v>18</v>
      </c>
      <c r="E564" s="7" t="s">
        <v>45</v>
      </c>
      <c r="F564" s="9">
        <v>46.8</v>
      </c>
      <c r="G564" s="9">
        <v>78.3</v>
      </c>
      <c r="H564" s="9">
        <v>25.1</v>
      </c>
      <c r="I564" s="9">
        <v>24</v>
      </c>
      <c r="J564" s="9">
        <v>0.22</v>
      </c>
      <c r="K564" s="9">
        <v>19</v>
      </c>
      <c r="L564" s="7">
        <v>33.299999999999997</v>
      </c>
      <c r="M564" s="7">
        <v>60.2</v>
      </c>
      <c r="N564" s="7">
        <v>1.6</v>
      </c>
      <c r="O564" s="7">
        <v>177</v>
      </c>
      <c r="P564" s="7" t="s">
        <v>33</v>
      </c>
      <c r="Q564" s="7" t="str">
        <f t="shared" si="32"/>
        <v>Moderate</v>
      </c>
      <c r="R564" s="7" t="str">
        <f t="shared" si="33"/>
        <v>Hot</v>
      </c>
      <c r="S564" s="7" t="str">
        <f t="shared" si="34"/>
        <v>High Humidity</v>
      </c>
      <c r="T564" s="7" t="str">
        <f t="shared" si="35"/>
        <v>Low Wind</v>
      </c>
    </row>
    <row r="565" spans="1:20" x14ac:dyDescent="0.25">
      <c r="A565" s="7" t="s">
        <v>624</v>
      </c>
      <c r="B565" s="10">
        <v>45878</v>
      </c>
      <c r="C565" s="11" t="s">
        <v>22</v>
      </c>
      <c r="D565" s="11" t="s">
        <v>23</v>
      </c>
      <c r="E565" s="7" t="s">
        <v>74</v>
      </c>
      <c r="F565" s="9">
        <v>47.8</v>
      </c>
      <c r="G565" s="9">
        <v>15.6</v>
      </c>
      <c r="H565" s="9">
        <v>22.7</v>
      </c>
      <c r="I565" s="9">
        <v>14.2</v>
      </c>
      <c r="J565" s="9">
        <v>1.1100000000000001</v>
      </c>
      <c r="K565" s="9">
        <v>41.9</v>
      </c>
      <c r="L565" s="7">
        <v>26.9</v>
      </c>
      <c r="M565" s="7">
        <v>68.2</v>
      </c>
      <c r="N565" s="7">
        <v>3.6</v>
      </c>
      <c r="O565" s="7">
        <v>161</v>
      </c>
      <c r="P565" s="7" t="s">
        <v>33</v>
      </c>
      <c r="Q565" s="7" t="str">
        <f t="shared" si="32"/>
        <v>Good</v>
      </c>
      <c r="R565" s="7" t="str">
        <f t="shared" si="33"/>
        <v>Normal</v>
      </c>
      <c r="S565" s="7" t="str">
        <f t="shared" si="34"/>
        <v>High Humidity</v>
      </c>
      <c r="T565" s="7" t="str">
        <f t="shared" si="35"/>
        <v>Moderate Wind</v>
      </c>
    </row>
    <row r="566" spans="1:20" x14ac:dyDescent="0.25">
      <c r="A566" s="7" t="s">
        <v>625</v>
      </c>
      <c r="B566" s="10">
        <v>45933</v>
      </c>
      <c r="C566" s="11" t="s">
        <v>38</v>
      </c>
      <c r="D566" s="11" t="s">
        <v>39</v>
      </c>
      <c r="E566" s="7" t="s">
        <v>19</v>
      </c>
      <c r="F566" s="9">
        <v>13</v>
      </c>
      <c r="G566" s="9">
        <v>103.1</v>
      </c>
      <c r="H566" s="9">
        <v>64.8</v>
      </c>
      <c r="I566" s="9">
        <v>13.6</v>
      </c>
      <c r="J566" s="9">
        <v>0.72</v>
      </c>
      <c r="K566" s="9">
        <v>23.8</v>
      </c>
      <c r="L566" s="7">
        <v>35.200000000000003</v>
      </c>
      <c r="M566" s="7">
        <v>77.5</v>
      </c>
      <c r="N566" s="7">
        <v>0.2</v>
      </c>
      <c r="O566" s="7">
        <v>178</v>
      </c>
      <c r="P566" s="7" t="s">
        <v>33</v>
      </c>
      <c r="Q566" s="7" t="str">
        <f t="shared" si="32"/>
        <v>Unhealthy</v>
      </c>
      <c r="R566" s="7" t="str">
        <f t="shared" si="33"/>
        <v>Hot</v>
      </c>
      <c r="S566" s="7" t="str">
        <f t="shared" si="34"/>
        <v>High Humidity</v>
      </c>
      <c r="T566" s="7" t="str">
        <f t="shared" si="35"/>
        <v>Low Wind</v>
      </c>
    </row>
    <row r="567" spans="1:20" x14ac:dyDescent="0.25">
      <c r="A567" s="7" t="s">
        <v>626</v>
      </c>
      <c r="B567" s="10">
        <v>45678</v>
      </c>
      <c r="C567" s="11" t="s">
        <v>42</v>
      </c>
      <c r="D567" s="11" t="s">
        <v>23</v>
      </c>
      <c r="E567" s="7" t="s">
        <v>97</v>
      </c>
      <c r="F567" s="9">
        <v>70.3</v>
      </c>
      <c r="G567" s="9">
        <v>77.099999999999994</v>
      </c>
      <c r="H567" s="9">
        <v>11.2</v>
      </c>
      <c r="I567" s="9">
        <v>2.2999999999999998</v>
      </c>
      <c r="J567" s="9">
        <v>0.96</v>
      </c>
      <c r="K567" s="9">
        <v>13.7</v>
      </c>
      <c r="L567" s="7">
        <v>26.1</v>
      </c>
      <c r="M567" s="7">
        <v>81</v>
      </c>
      <c r="N567" s="7">
        <v>2.2999999999999998</v>
      </c>
      <c r="O567" s="7">
        <v>203</v>
      </c>
      <c r="P567" s="7" t="s">
        <v>28</v>
      </c>
      <c r="Q567" s="7" t="str">
        <f t="shared" si="32"/>
        <v>Moderate</v>
      </c>
      <c r="R567" s="7" t="str">
        <f t="shared" si="33"/>
        <v>Normal</v>
      </c>
      <c r="S567" s="7" t="str">
        <f t="shared" si="34"/>
        <v>High Humidity</v>
      </c>
      <c r="T567" s="7" t="str">
        <f t="shared" si="35"/>
        <v>Moderate Wind</v>
      </c>
    </row>
    <row r="568" spans="1:20" x14ac:dyDescent="0.25">
      <c r="A568" s="7" t="s">
        <v>627</v>
      </c>
      <c r="B568" s="10">
        <v>45744</v>
      </c>
      <c r="C568" s="11" t="s">
        <v>52</v>
      </c>
      <c r="D568" s="11" t="s">
        <v>31</v>
      </c>
      <c r="E568" s="7" t="s">
        <v>19</v>
      </c>
      <c r="F568" s="9">
        <v>114.7</v>
      </c>
      <c r="G568" s="9">
        <v>38.6</v>
      </c>
      <c r="H568" s="9">
        <v>18.7</v>
      </c>
      <c r="I568" s="9">
        <v>6.1</v>
      </c>
      <c r="J568" s="9">
        <v>0.44</v>
      </c>
      <c r="K568" s="9">
        <v>51.8</v>
      </c>
      <c r="L568" s="7">
        <v>21</v>
      </c>
      <c r="M568" s="7">
        <v>53.2</v>
      </c>
      <c r="N568" s="7">
        <v>3.9</v>
      </c>
      <c r="O568" s="7">
        <v>262</v>
      </c>
      <c r="P568" s="7" t="s">
        <v>28</v>
      </c>
      <c r="Q568" s="7" t="str">
        <f t="shared" si="32"/>
        <v>Good</v>
      </c>
      <c r="R568" s="7" t="str">
        <f t="shared" si="33"/>
        <v>Normal</v>
      </c>
      <c r="S568" s="7" t="str">
        <f t="shared" si="34"/>
        <v>Normal Humidity</v>
      </c>
      <c r="T568" s="7" t="str">
        <f t="shared" si="35"/>
        <v>Moderate Wind</v>
      </c>
    </row>
    <row r="569" spans="1:20" x14ac:dyDescent="0.25">
      <c r="A569" s="7" t="s">
        <v>628</v>
      </c>
      <c r="B569" s="10">
        <v>45900</v>
      </c>
      <c r="C569" s="11" t="s">
        <v>52</v>
      </c>
      <c r="D569" s="11" t="s">
        <v>31</v>
      </c>
      <c r="E569" s="7" t="s">
        <v>24</v>
      </c>
      <c r="F569" s="9">
        <v>62</v>
      </c>
      <c r="G569" s="9">
        <v>108.1</v>
      </c>
      <c r="H569" s="9">
        <v>53.8</v>
      </c>
      <c r="I569" s="9">
        <v>1.1000000000000001</v>
      </c>
      <c r="J569" s="9">
        <v>0.5</v>
      </c>
      <c r="K569" s="9">
        <v>9</v>
      </c>
      <c r="L569" s="7">
        <v>24.1</v>
      </c>
      <c r="M569" s="7">
        <v>64.8</v>
      </c>
      <c r="N569" s="7">
        <v>2</v>
      </c>
      <c r="O569" s="7">
        <v>230</v>
      </c>
      <c r="P569" s="7" t="s">
        <v>28</v>
      </c>
      <c r="Q569" s="7" t="str">
        <f t="shared" si="32"/>
        <v>Unhealthy</v>
      </c>
      <c r="R569" s="7" t="str">
        <f t="shared" si="33"/>
        <v>Normal</v>
      </c>
      <c r="S569" s="7" t="str">
        <f t="shared" si="34"/>
        <v>High Humidity</v>
      </c>
      <c r="T569" s="7" t="str">
        <f t="shared" si="35"/>
        <v>Moderate Wind</v>
      </c>
    </row>
    <row r="570" spans="1:20" x14ac:dyDescent="0.25">
      <c r="A570" s="7" t="s">
        <v>629</v>
      </c>
      <c r="B570" s="10">
        <v>45990</v>
      </c>
      <c r="C570" s="11" t="s">
        <v>22</v>
      </c>
      <c r="D570" s="11" t="s">
        <v>23</v>
      </c>
      <c r="E570" s="7" t="s">
        <v>24</v>
      </c>
      <c r="F570" s="9">
        <v>110.2</v>
      </c>
      <c r="G570" s="9">
        <v>106.3</v>
      </c>
      <c r="H570" s="9">
        <v>13.5</v>
      </c>
      <c r="I570" s="9">
        <v>14.8</v>
      </c>
      <c r="J570" s="9">
        <v>1.53</v>
      </c>
      <c r="K570" s="9">
        <v>18.8</v>
      </c>
      <c r="L570" s="7">
        <v>12.7</v>
      </c>
      <c r="M570" s="7">
        <v>58.7</v>
      </c>
      <c r="N570" s="7">
        <v>4.5999999999999996</v>
      </c>
      <c r="O570" s="7">
        <v>313</v>
      </c>
      <c r="P570" s="7" t="s">
        <v>20</v>
      </c>
      <c r="Q570" s="7" t="str">
        <f t="shared" si="32"/>
        <v>Unhealthy</v>
      </c>
      <c r="R570" s="7" t="str">
        <f t="shared" si="33"/>
        <v>Cool</v>
      </c>
      <c r="S570" s="7" t="str">
        <f t="shared" si="34"/>
        <v>Normal Humidity</v>
      </c>
      <c r="T570" s="7" t="str">
        <f t="shared" si="35"/>
        <v>Moderate Wind</v>
      </c>
    </row>
    <row r="571" spans="1:20" x14ac:dyDescent="0.25">
      <c r="A571" s="7" t="s">
        <v>630</v>
      </c>
      <c r="B571" s="10">
        <v>45965</v>
      </c>
      <c r="C571" s="11" t="s">
        <v>54</v>
      </c>
      <c r="D571" s="11" t="s">
        <v>18</v>
      </c>
      <c r="E571" s="7" t="s">
        <v>19</v>
      </c>
      <c r="F571" s="9">
        <v>19.2</v>
      </c>
      <c r="G571" s="9">
        <v>139.9</v>
      </c>
      <c r="H571" s="9">
        <v>26</v>
      </c>
      <c r="I571" s="9">
        <v>35.299999999999997</v>
      </c>
      <c r="J571" s="9">
        <v>1.58</v>
      </c>
      <c r="K571" s="9">
        <v>27.1</v>
      </c>
      <c r="L571" s="7">
        <v>18.899999999999999</v>
      </c>
      <c r="M571" s="7">
        <v>84.5</v>
      </c>
      <c r="N571" s="7">
        <v>2</v>
      </c>
      <c r="O571" s="7">
        <v>219</v>
      </c>
      <c r="P571" s="7" t="s">
        <v>28</v>
      </c>
      <c r="Q571" s="7" t="str">
        <f t="shared" si="32"/>
        <v>Unhealthy</v>
      </c>
      <c r="R571" s="7" t="str">
        <f t="shared" si="33"/>
        <v>Cool</v>
      </c>
      <c r="S571" s="7" t="str">
        <f t="shared" si="34"/>
        <v>High Humidity</v>
      </c>
      <c r="T571" s="7" t="str">
        <f t="shared" si="35"/>
        <v>Moderate Wind</v>
      </c>
    </row>
    <row r="572" spans="1:20" x14ac:dyDescent="0.25">
      <c r="A572" s="7" t="s">
        <v>631</v>
      </c>
      <c r="B572" s="10">
        <v>45930</v>
      </c>
      <c r="C572" s="11" t="s">
        <v>67</v>
      </c>
      <c r="D572" s="11" t="s">
        <v>18</v>
      </c>
      <c r="E572" s="7" t="s">
        <v>19</v>
      </c>
      <c r="F572" s="9">
        <v>97</v>
      </c>
      <c r="G572" s="9">
        <v>49.5</v>
      </c>
      <c r="H572" s="9">
        <v>35.6</v>
      </c>
      <c r="I572" s="9">
        <v>2.1</v>
      </c>
      <c r="J572" s="9">
        <v>0.52</v>
      </c>
      <c r="K572" s="9">
        <v>17.3</v>
      </c>
      <c r="L572" s="7">
        <v>25.9</v>
      </c>
      <c r="M572" s="7">
        <v>72.8</v>
      </c>
      <c r="N572" s="7">
        <v>1.5</v>
      </c>
      <c r="O572" s="7">
        <v>238</v>
      </c>
      <c r="P572" s="7" t="s">
        <v>28</v>
      </c>
      <c r="Q572" s="7" t="str">
        <f t="shared" si="32"/>
        <v>Good</v>
      </c>
      <c r="R572" s="7" t="str">
        <f t="shared" si="33"/>
        <v>Normal</v>
      </c>
      <c r="S572" s="7" t="str">
        <f t="shared" si="34"/>
        <v>High Humidity</v>
      </c>
      <c r="T572" s="7" t="str">
        <f t="shared" si="35"/>
        <v>Low Wind</v>
      </c>
    </row>
    <row r="573" spans="1:20" x14ac:dyDescent="0.25">
      <c r="A573" s="7" t="s">
        <v>632</v>
      </c>
      <c r="B573" s="10">
        <v>45952</v>
      </c>
      <c r="C573" s="11" t="s">
        <v>54</v>
      </c>
      <c r="D573" s="11" t="s">
        <v>18</v>
      </c>
      <c r="E573" s="7" t="s">
        <v>55</v>
      </c>
      <c r="F573" s="9">
        <v>64.099999999999994</v>
      </c>
      <c r="G573" s="9">
        <v>26.1</v>
      </c>
      <c r="H573" s="9">
        <v>23.7</v>
      </c>
      <c r="I573" s="9">
        <v>32.6</v>
      </c>
      <c r="J573" s="9">
        <v>0.9</v>
      </c>
      <c r="K573" s="9">
        <v>37</v>
      </c>
      <c r="L573" s="7">
        <v>32.4</v>
      </c>
      <c r="M573" s="7">
        <v>71</v>
      </c>
      <c r="N573" s="7">
        <v>0.3</v>
      </c>
      <c r="O573" s="7">
        <v>200</v>
      </c>
      <c r="P573" s="7" t="s">
        <v>33</v>
      </c>
      <c r="Q573" s="7" t="str">
        <f t="shared" si="32"/>
        <v>Good</v>
      </c>
      <c r="R573" s="7" t="str">
        <f t="shared" si="33"/>
        <v>Hot</v>
      </c>
      <c r="S573" s="7" t="str">
        <f t="shared" si="34"/>
        <v>High Humidity</v>
      </c>
      <c r="T573" s="7" t="str">
        <f t="shared" si="35"/>
        <v>Low Wind</v>
      </c>
    </row>
    <row r="574" spans="1:20" x14ac:dyDescent="0.25">
      <c r="A574" s="7" t="s">
        <v>633</v>
      </c>
      <c r="B574" s="10">
        <v>45999</v>
      </c>
      <c r="C574" s="11" t="s">
        <v>50</v>
      </c>
      <c r="D574" s="11" t="s">
        <v>31</v>
      </c>
      <c r="E574" s="7" t="s">
        <v>61</v>
      </c>
      <c r="F574" s="9">
        <v>61.1</v>
      </c>
      <c r="G574" s="9">
        <v>72.7</v>
      </c>
      <c r="H574" s="9">
        <v>30.3</v>
      </c>
      <c r="I574" s="9">
        <v>11.4</v>
      </c>
      <c r="J574" s="9">
        <v>1.58</v>
      </c>
      <c r="K574" s="9">
        <v>20.3</v>
      </c>
      <c r="L574" s="7">
        <v>30.1</v>
      </c>
      <c r="M574" s="7">
        <v>51.6</v>
      </c>
      <c r="N574" s="7">
        <v>1.8</v>
      </c>
      <c r="O574" s="7">
        <v>226</v>
      </c>
      <c r="P574" s="7" t="s">
        <v>28</v>
      </c>
      <c r="Q574" s="7" t="str">
        <f t="shared" si="32"/>
        <v>Moderate</v>
      </c>
      <c r="R574" s="7" t="str">
        <f t="shared" si="33"/>
        <v>Hot</v>
      </c>
      <c r="S574" s="7" t="str">
        <f t="shared" si="34"/>
        <v>Normal Humidity</v>
      </c>
      <c r="T574" s="7" t="str">
        <f t="shared" si="35"/>
        <v>Low Wind</v>
      </c>
    </row>
    <row r="575" spans="1:20" x14ac:dyDescent="0.25">
      <c r="A575" s="7" t="s">
        <v>634</v>
      </c>
      <c r="B575" s="10">
        <v>45705</v>
      </c>
      <c r="C575" s="11" t="s">
        <v>52</v>
      </c>
      <c r="D575" s="11" t="s">
        <v>31</v>
      </c>
      <c r="E575" s="7" t="s">
        <v>32</v>
      </c>
      <c r="F575" s="9">
        <v>61.8</v>
      </c>
      <c r="G575" s="9">
        <v>108.5</v>
      </c>
      <c r="H575" s="9">
        <v>28.3</v>
      </c>
      <c r="I575" s="9">
        <v>7.2</v>
      </c>
      <c r="J575" s="9">
        <v>0.64</v>
      </c>
      <c r="K575" s="9">
        <v>36.700000000000003</v>
      </c>
      <c r="L575" s="7">
        <v>45.1</v>
      </c>
      <c r="M575" s="7">
        <v>42.8</v>
      </c>
      <c r="N575" s="7">
        <v>3</v>
      </c>
      <c r="O575" s="7">
        <v>230</v>
      </c>
      <c r="P575" s="7" t="s">
        <v>28</v>
      </c>
      <c r="Q575" s="7" t="str">
        <f t="shared" si="32"/>
        <v>Unhealthy</v>
      </c>
      <c r="R575" s="7" t="str">
        <f t="shared" si="33"/>
        <v>Hot</v>
      </c>
      <c r="S575" s="7" t="str">
        <f t="shared" si="34"/>
        <v>Normal Humidity</v>
      </c>
      <c r="T575" s="7" t="str">
        <f t="shared" si="35"/>
        <v>Moderate Wind</v>
      </c>
    </row>
    <row r="576" spans="1:20" x14ac:dyDescent="0.25">
      <c r="A576" s="7" t="s">
        <v>635</v>
      </c>
      <c r="B576" s="10">
        <v>45944</v>
      </c>
      <c r="C576" s="11" t="s">
        <v>64</v>
      </c>
      <c r="D576" s="11" t="s">
        <v>36</v>
      </c>
      <c r="E576" s="7" t="s">
        <v>27</v>
      </c>
      <c r="F576" s="9">
        <v>40.4</v>
      </c>
      <c r="G576" s="9">
        <v>52.5</v>
      </c>
      <c r="H576" s="9">
        <v>31.3</v>
      </c>
      <c r="I576" s="9">
        <v>4</v>
      </c>
      <c r="J576" s="9">
        <v>0.51</v>
      </c>
      <c r="K576" s="9">
        <v>73.2</v>
      </c>
      <c r="L576" s="7">
        <v>26.7</v>
      </c>
      <c r="M576" s="7">
        <v>52.9</v>
      </c>
      <c r="N576" s="7">
        <v>4.8</v>
      </c>
      <c r="O576" s="7">
        <v>172</v>
      </c>
      <c r="P576" s="7" t="s">
        <v>33</v>
      </c>
      <c r="Q576" s="7" t="str">
        <f t="shared" si="32"/>
        <v>Moderate</v>
      </c>
      <c r="R576" s="7" t="str">
        <f t="shared" si="33"/>
        <v>Normal</v>
      </c>
      <c r="S576" s="7" t="str">
        <f t="shared" si="34"/>
        <v>Normal Humidity</v>
      </c>
      <c r="T576" s="7" t="str">
        <f t="shared" si="35"/>
        <v>Moderate Wind</v>
      </c>
    </row>
    <row r="577" spans="1:20" x14ac:dyDescent="0.25">
      <c r="A577" s="7" t="s">
        <v>636</v>
      </c>
      <c r="B577" s="10">
        <v>45711</v>
      </c>
      <c r="C577" s="11" t="s">
        <v>67</v>
      </c>
      <c r="D577" s="11" t="s">
        <v>18</v>
      </c>
      <c r="E577" s="7" t="s">
        <v>27</v>
      </c>
      <c r="F577" s="9">
        <v>47.6</v>
      </c>
      <c r="G577" s="9">
        <v>32</v>
      </c>
      <c r="H577" s="9">
        <v>43.4</v>
      </c>
      <c r="I577" s="9">
        <v>40.700000000000003</v>
      </c>
      <c r="J577" s="9">
        <v>0.76</v>
      </c>
      <c r="K577" s="9">
        <v>38.799999999999997</v>
      </c>
      <c r="L577" s="7">
        <v>37.6</v>
      </c>
      <c r="M577" s="7">
        <v>52.4</v>
      </c>
      <c r="N577" s="7">
        <v>1.8</v>
      </c>
      <c r="O577" s="7">
        <v>197</v>
      </c>
      <c r="P577" s="7" t="s">
        <v>33</v>
      </c>
      <c r="Q577" s="7" t="str">
        <f t="shared" si="32"/>
        <v>Good</v>
      </c>
      <c r="R577" s="7" t="str">
        <f t="shared" si="33"/>
        <v>Hot</v>
      </c>
      <c r="S577" s="7" t="str">
        <f t="shared" si="34"/>
        <v>Normal Humidity</v>
      </c>
      <c r="T577" s="7" t="str">
        <f t="shared" si="35"/>
        <v>Low Wind</v>
      </c>
    </row>
    <row r="578" spans="1:20" x14ac:dyDescent="0.25">
      <c r="A578" s="7" t="s">
        <v>637</v>
      </c>
      <c r="B578" s="10">
        <v>45821</v>
      </c>
      <c r="C578" s="11" t="s">
        <v>64</v>
      </c>
      <c r="D578" s="11" t="s">
        <v>36</v>
      </c>
      <c r="E578" s="7" t="s">
        <v>70</v>
      </c>
      <c r="F578" s="9">
        <v>43.3</v>
      </c>
      <c r="G578" s="9">
        <v>45.9</v>
      </c>
      <c r="H578" s="9">
        <v>21.9</v>
      </c>
      <c r="I578" s="9">
        <v>24</v>
      </c>
      <c r="J578" s="9">
        <v>0.85</v>
      </c>
      <c r="K578" s="9">
        <v>62.5</v>
      </c>
      <c r="L578" s="7">
        <v>13.7</v>
      </c>
      <c r="M578" s="7">
        <v>87.2</v>
      </c>
      <c r="N578" s="7">
        <v>1.3</v>
      </c>
      <c r="O578" s="7">
        <v>183</v>
      </c>
      <c r="P578" s="7" t="s">
        <v>33</v>
      </c>
      <c r="Q578" s="7" t="str">
        <f t="shared" si="32"/>
        <v>Good</v>
      </c>
      <c r="R578" s="7" t="str">
        <f t="shared" si="33"/>
        <v>Cool</v>
      </c>
      <c r="S578" s="7" t="str">
        <f t="shared" si="34"/>
        <v>High Humidity</v>
      </c>
      <c r="T578" s="7" t="str">
        <f t="shared" si="35"/>
        <v>Low Wind</v>
      </c>
    </row>
    <row r="579" spans="1:20" x14ac:dyDescent="0.25">
      <c r="A579" s="7" t="s">
        <v>638</v>
      </c>
      <c r="B579" s="10">
        <v>45898</v>
      </c>
      <c r="C579" s="11" t="s">
        <v>81</v>
      </c>
      <c r="D579" s="11" t="s">
        <v>39</v>
      </c>
      <c r="E579" s="7" t="s">
        <v>43</v>
      </c>
      <c r="F579" s="9">
        <v>13.5</v>
      </c>
      <c r="G579" s="9">
        <v>132.69999999999999</v>
      </c>
      <c r="H579" s="9">
        <v>11.2</v>
      </c>
      <c r="I579" s="9">
        <v>10.199999999999999</v>
      </c>
      <c r="J579" s="9">
        <v>0.55000000000000004</v>
      </c>
      <c r="K579" s="9">
        <v>9.5</v>
      </c>
      <c r="L579" s="7">
        <v>36.200000000000003</v>
      </c>
      <c r="M579" s="7">
        <v>58.1</v>
      </c>
      <c r="N579" s="7">
        <v>2.5</v>
      </c>
      <c r="O579" s="7">
        <v>142</v>
      </c>
      <c r="P579" s="7" t="s">
        <v>33</v>
      </c>
      <c r="Q579" s="7" t="str">
        <f t="shared" ref="Q579:Q642" si="36">IF(G579&lt;50,"Good",IF(G579&lt;=100,"Moderate",IF(G579&lt;=150,"Unhealthy","VeryUnhealthy")))</f>
        <v>Unhealthy</v>
      </c>
      <c r="R579" s="7" t="str">
        <f t="shared" ref="R579:R642" si="37">IF(L579&lt;20,"Cool",IF(L579&lt;=30,"Normal","Hot"))</f>
        <v>Hot</v>
      </c>
      <c r="S579" s="7" t="str">
        <f t="shared" ref="S579:S642" si="38">IF(M579&lt;30,"Low Humidity",IF(M579&lt;=60,"Normal Humidity","High Humidity"))</f>
        <v>Normal Humidity</v>
      </c>
      <c r="T579" s="7" t="str">
        <f t="shared" ref="T579:T642" si="39">IF(N579&lt;2,"Low Wind",IF(N579&lt;=5,"Moderate Wind","High Wind"))</f>
        <v>Moderate Wind</v>
      </c>
    </row>
    <row r="580" spans="1:20" x14ac:dyDescent="0.25">
      <c r="A580" s="7" t="s">
        <v>639</v>
      </c>
      <c r="B580" s="10">
        <v>45783</v>
      </c>
      <c r="C580" s="11" t="s">
        <v>52</v>
      </c>
      <c r="D580" s="11" t="s">
        <v>31</v>
      </c>
      <c r="E580" s="7" t="s">
        <v>91</v>
      </c>
      <c r="F580" s="9">
        <v>41.6</v>
      </c>
      <c r="G580" s="9">
        <v>62.9</v>
      </c>
      <c r="H580" s="9">
        <v>33.799999999999997</v>
      </c>
      <c r="I580" s="9">
        <v>19</v>
      </c>
      <c r="J580" s="9">
        <v>1.22</v>
      </c>
      <c r="K580" s="9">
        <v>31</v>
      </c>
      <c r="L580" s="7">
        <v>19.100000000000001</v>
      </c>
      <c r="M580" s="7">
        <v>68.900000000000006</v>
      </c>
      <c r="N580" s="7">
        <v>2.4</v>
      </c>
      <c r="O580" s="7">
        <v>192</v>
      </c>
      <c r="P580" s="7" t="s">
        <v>33</v>
      </c>
      <c r="Q580" s="7" t="str">
        <f t="shared" si="36"/>
        <v>Moderate</v>
      </c>
      <c r="R580" s="7" t="str">
        <f t="shared" si="37"/>
        <v>Cool</v>
      </c>
      <c r="S580" s="7" t="str">
        <f t="shared" si="38"/>
        <v>High Humidity</v>
      </c>
      <c r="T580" s="7" t="str">
        <f t="shared" si="39"/>
        <v>Moderate Wind</v>
      </c>
    </row>
    <row r="581" spans="1:20" x14ac:dyDescent="0.25">
      <c r="A581" s="7" t="s">
        <v>640</v>
      </c>
      <c r="B581" s="10">
        <v>45762</v>
      </c>
      <c r="C581" s="11" t="s">
        <v>50</v>
      </c>
      <c r="D581" s="11" t="s">
        <v>31</v>
      </c>
      <c r="E581" s="7" t="s">
        <v>24</v>
      </c>
      <c r="F581" s="9">
        <v>54.6</v>
      </c>
      <c r="G581" s="9">
        <v>73.7</v>
      </c>
      <c r="H581" s="9">
        <v>44</v>
      </c>
      <c r="I581" s="9">
        <v>3.2</v>
      </c>
      <c r="J581" s="9">
        <v>1.02</v>
      </c>
      <c r="K581" s="9">
        <v>15.4</v>
      </c>
      <c r="L581" s="7">
        <v>31.8</v>
      </c>
      <c r="M581" s="7">
        <v>60.7</v>
      </c>
      <c r="N581" s="7">
        <v>2</v>
      </c>
      <c r="O581" s="7">
        <v>205</v>
      </c>
      <c r="P581" s="7" t="s">
        <v>28</v>
      </c>
      <c r="Q581" s="7" t="str">
        <f t="shared" si="36"/>
        <v>Moderate</v>
      </c>
      <c r="R581" s="7" t="str">
        <f t="shared" si="37"/>
        <v>Hot</v>
      </c>
      <c r="S581" s="7" t="str">
        <f t="shared" si="38"/>
        <v>High Humidity</v>
      </c>
      <c r="T581" s="7" t="str">
        <f t="shared" si="39"/>
        <v>Moderate Wind</v>
      </c>
    </row>
    <row r="582" spans="1:20" x14ac:dyDescent="0.25">
      <c r="A582" s="7" t="s">
        <v>641</v>
      </c>
      <c r="B582" s="10">
        <v>45743</v>
      </c>
      <c r="C582" s="11" t="s">
        <v>35</v>
      </c>
      <c r="D582" s="11" t="s">
        <v>36</v>
      </c>
      <c r="E582" s="7" t="s">
        <v>97</v>
      </c>
      <c r="F582" s="9">
        <v>92.5</v>
      </c>
      <c r="G582" s="9">
        <v>46.4</v>
      </c>
      <c r="H582" s="9">
        <v>2.4</v>
      </c>
      <c r="I582" s="9">
        <v>3.3</v>
      </c>
      <c r="J582" s="9">
        <v>1.19</v>
      </c>
      <c r="K582" s="9">
        <v>44.3</v>
      </c>
      <c r="L582" s="7">
        <v>28</v>
      </c>
      <c r="M582" s="7">
        <v>64.5</v>
      </c>
      <c r="N582" s="7">
        <v>2.8</v>
      </c>
      <c r="O582" s="7">
        <v>232</v>
      </c>
      <c r="P582" s="7" t="s">
        <v>28</v>
      </c>
      <c r="Q582" s="7" t="str">
        <f t="shared" si="36"/>
        <v>Good</v>
      </c>
      <c r="R582" s="7" t="str">
        <f t="shared" si="37"/>
        <v>Normal</v>
      </c>
      <c r="S582" s="7" t="str">
        <f t="shared" si="38"/>
        <v>High Humidity</v>
      </c>
      <c r="T582" s="7" t="str">
        <f t="shared" si="39"/>
        <v>Moderate Wind</v>
      </c>
    </row>
    <row r="583" spans="1:20" x14ac:dyDescent="0.25">
      <c r="A583" s="7" t="s">
        <v>642</v>
      </c>
      <c r="B583" s="10">
        <v>45997</v>
      </c>
      <c r="C583" s="11" t="s">
        <v>99</v>
      </c>
      <c r="D583" s="11" t="s">
        <v>36</v>
      </c>
      <c r="E583" s="7" t="s">
        <v>61</v>
      </c>
      <c r="F583" s="9">
        <v>106.6</v>
      </c>
      <c r="G583" s="9">
        <v>79.8</v>
      </c>
      <c r="H583" s="9">
        <v>31.7</v>
      </c>
      <c r="I583" s="9">
        <v>10.3</v>
      </c>
      <c r="J583" s="9">
        <v>0.19</v>
      </c>
      <c r="K583" s="9">
        <v>47.1</v>
      </c>
      <c r="L583" s="7">
        <v>35</v>
      </c>
      <c r="M583" s="7">
        <v>71.400000000000006</v>
      </c>
      <c r="N583" s="7">
        <v>2.6</v>
      </c>
      <c r="O583" s="7">
        <v>281</v>
      </c>
      <c r="P583" s="7" t="s">
        <v>28</v>
      </c>
      <c r="Q583" s="7" t="str">
        <f t="shared" si="36"/>
        <v>Moderate</v>
      </c>
      <c r="R583" s="7" t="str">
        <f t="shared" si="37"/>
        <v>Hot</v>
      </c>
      <c r="S583" s="7" t="str">
        <f t="shared" si="38"/>
        <v>High Humidity</v>
      </c>
      <c r="T583" s="7" t="str">
        <f t="shared" si="39"/>
        <v>Moderate Wind</v>
      </c>
    </row>
    <row r="584" spans="1:20" x14ac:dyDescent="0.25">
      <c r="A584" s="7" t="s">
        <v>643</v>
      </c>
      <c r="B584" s="10">
        <v>45668</v>
      </c>
      <c r="C584" s="11" t="s">
        <v>38</v>
      </c>
      <c r="D584" s="11" t="s">
        <v>39</v>
      </c>
      <c r="E584" s="7" t="s">
        <v>61</v>
      </c>
      <c r="F584" s="9">
        <v>86.2</v>
      </c>
      <c r="G584" s="9">
        <v>127.6</v>
      </c>
      <c r="H584" s="9">
        <v>7.6</v>
      </c>
      <c r="I584" s="9">
        <v>13.3</v>
      </c>
      <c r="J584" s="9">
        <v>0.04</v>
      </c>
      <c r="K584" s="9">
        <v>49.5</v>
      </c>
      <c r="L584" s="7">
        <v>25.2</v>
      </c>
      <c r="M584" s="7">
        <v>66</v>
      </c>
      <c r="N584" s="7">
        <v>0.1</v>
      </c>
      <c r="O584" s="7">
        <v>260</v>
      </c>
      <c r="P584" s="7" t="s">
        <v>28</v>
      </c>
      <c r="Q584" s="7" t="str">
        <f t="shared" si="36"/>
        <v>Unhealthy</v>
      </c>
      <c r="R584" s="7" t="str">
        <f t="shared" si="37"/>
        <v>Normal</v>
      </c>
      <c r="S584" s="7" t="str">
        <f t="shared" si="38"/>
        <v>High Humidity</v>
      </c>
      <c r="T584" s="7" t="str">
        <f t="shared" si="39"/>
        <v>Low Wind</v>
      </c>
    </row>
    <row r="585" spans="1:20" x14ac:dyDescent="0.25">
      <c r="A585" s="7" t="s">
        <v>644</v>
      </c>
      <c r="B585" s="10">
        <v>45866</v>
      </c>
      <c r="C585" s="11" t="s">
        <v>35</v>
      </c>
      <c r="D585" s="11" t="s">
        <v>36</v>
      </c>
      <c r="E585" s="7" t="s">
        <v>40</v>
      </c>
      <c r="F585" s="9">
        <v>35.200000000000003</v>
      </c>
      <c r="G585" s="9">
        <v>46.3</v>
      </c>
      <c r="H585" s="9">
        <v>13.5</v>
      </c>
      <c r="I585" s="9">
        <v>9.6</v>
      </c>
      <c r="J585" s="9">
        <v>0.06</v>
      </c>
      <c r="K585" s="9">
        <v>19.5</v>
      </c>
      <c r="L585" s="7">
        <v>32.1</v>
      </c>
      <c r="M585" s="7">
        <v>40.4</v>
      </c>
      <c r="N585" s="7">
        <v>3.6</v>
      </c>
      <c r="O585" s="7">
        <v>114</v>
      </c>
      <c r="P585" s="7" t="s">
        <v>33</v>
      </c>
      <c r="Q585" s="7" t="str">
        <f t="shared" si="36"/>
        <v>Good</v>
      </c>
      <c r="R585" s="7" t="str">
        <f t="shared" si="37"/>
        <v>Hot</v>
      </c>
      <c r="S585" s="7" t="str">
        <f t="shared" si="38"/>
        <v>Normal Humidity</v>
      </c>
      <c r="T585" s="7" t="str">
        <f t="shared" si="39"/>
        <v>Moderate Wind</v>
      </c>
    </row>
    <row r="586" spans="1:20" x14ac:dyDescent="0.25">
      <c r="A586" s="7" t="s">
        <v>645</v>
      </c>
      <c r="B586" s="10">
        <v>45701</v>
      </c>
      <c r="C586" s="11" t="s">
        <v>35</v>
      </c>
      <c r="D586" s="11" t="s">
        <v>36</v>
      </c>
      <c r="E586" s="7" t="s">
        <v>97</v>
      </c>
      <c r="F586" s="9">
        <v>74.8</v>
      </c>
      <c r="G586" s="9">
        <v>18.7</v>
      </c>
      <c r="H586" s="9">
        <v>35.9</v>
      </c>
      <c r="I586" s="9">
        <v>20.399999999999999</v>
      </c>
      <c r="J586" s="9">
        <v>1.37</v>
      </c>
      <c r="K586" s="9">
        <v>24.5</v>
      </c>
      <c r="L586" s="7">
        <v>19.3</v>
      </c>
      <c r="M586" s="7">
        <v>86.4</v>
      </c>
      <c r="N586" s="7">
        <v>2.5</v>
      </c>
      <c r="O586" s="7">
        <v>220</v>
      </c>
      <c r="P586" s="7" t="s">
        <v>28</v>
      </c>
      <c r="Q586" s="7" t="str">
        <f t="shared" si="36"/>
        <v>Good</v>
      </c>
      <c r="R586" s="7" t="str">
        <f t="shared" si="37"/>
        <v>Cool</v>
      </c>
      <c r="S586" s="7" t="str">
        <f t="shared" si="38"/>
        <v>High Humidity</v>
      </c>
      <c r="T586" s="7" t="str">
        <f t="shared" si="39"/>
        <v>Moderate Wind</v>
      </c>
    </row>
    <row r="587" spans="1:20" x14ac:dyDescent="0.25">
      <c r="A587" s="7" t="s">
        <v>646</v>
      </c>
      <c r="B587" s="10">
        <v>45863</v>
      </c>
      <c r="C587" s="11" t="s">
        <v>54</v>
      </c>
      <c r="D587" s="11" t="s">
        <v>18</v>
      </c>
      <c r="E587" s="7" t="s">
        <v>74</v>
      </c>
      <c r="F587" s="9">
        <v>11.6</v>
      </c>
      <c r="G587" s="9">
        <v>34.4</v>
      </c>
      <c r="H587" s="9">
        <v>8.3000000000000007</v>
      </c>
      <c r="I587" s="9">
        <v>3.2</v>
      </c>
      <c r="J587" s="9">
        <v>1.96</v>
      </c>
      <c r="K587" s="9">
        <v>3.5</v>
      </c>
      <c r="L587" s="7">
        <v>32</v>
      </c>
      <c r="M587" s="7">
        <v>69.2</v>
      </c>
      <c r="N587" s="7">
        <v>2.2000000000000002</v>
      </c>
      <c r="O587" s="7">
        <v>100</v>
      </c>
      <c r="P587" s="7" t="s">
        <v>71</v>
      </c>
      <c r="Q587" s="7" t="str">
        <f t="shared" si="36"/>
        <v>Good</v>
      </c>
      <c r="R587" s="7" t="str">
        <f t="shared" si="37"/>
        <v>Hot</v>
      </c>
      <c r="S587" s="7" t="str">
        <f t="shared" si="38"/>
        <v>High Humidity</v>
      </c>
      <c r="T587" s="7" t="str">
        <f t="shared" si="39"/>
        <v>Moderate Wind</v>
      </c>
    </row>
    <row r="588" spans="1:20" x14ac:dyDescent="0.25">
      <c r="A588" s="7" t="s">
        <v>647</v>
      </c>
      <c r="B588" s="10">
        <v>45927</v>
      </c>
      <c r="C588" s="11" t="s">
        <v>93</v>
      </c>
      <c r="D588" s="11" t="s">
        <v>36</v>
      </c>
      <c r="E588" s="7" t="s">
        <v>55</v>
      </c>
      <c r="F588" s="9">
        <v>53.5</v>
      </c>
      <c r="G588" s="9">
        <v>106.8</v>
      </c>
      <c r="H588" s="9">
        <v>11.2</v>
      </c>
      <c r="I588" s="9">
        <v>7.4</v>
      </c>
      <c r="J588" s="9">
        <v>3.19</v>
      </c>
      <c r="K588" s="9">
        <v>36.4</v>
      </c>
      <c r="L588" s="7">
        <v>34.700000000000003</v>
      </c>
      <c r="M588" s="7">
        <v>51.5</v>
      </c>
      <c r="N588" s="7">
        <v>1.7</v>
      </c>
      <c r="O588" s="7">
        <v>265</v>
      </c>
      <c r="P588" s="7" t="s">
        <v>28</v>
      </c>
      <c r="Q588" s="7" t="str">
        <f t="shared" si="36"/>
        <v>Unhealthy</v>
      </c>
      <c r="R588" s="7" t="str">
        <f t="shared" si="37"/>
        <v>Hot</v>
      </c>
      <c r="S588" s="7" t="str">
        <f t="shared" si="38"/>
        <v>Normal Humidity</v>
      </c>
      <c r="T588" s="7" t="str">
        <f t="shared" si="39"/>
        <v>Low Wind</v>
      </c>
    </row>
    <row r="589" spans="1:20" x14ac:dyDescent="0.25">
      <c r="A589" s="7" t="s">
        <v>648</v>
      </c>
      <c r="B589" s="10">
        <v>45935</v>
      </c>
      <c r="C589" s="11" t="s">
        <v>99</v>
      </c>
      <c r="D589" s="11" t="s">
        <v>36</v>
      </c>
      <c r="E589" s="7" t="s">
        <v>45</v>
      </c>
      <c r="F589" s="9">
        <v>68.3</v>
      </c>
      <c r="G589" s="9">
        <v>39.1</v>
      </c>
      <c r="H589" s="9">
        <v>34.1</v>
      </c>
      <c r="I589" s="9">
        <v>29.1</v>
      </c>
      <c r="J589" s="9">
        <v>0.12</v>
      </c>
      <c r="K589" s="9">
        <v>11.5</v>
      </c>
      <c r="L589" s="7">
        <v>34.4</v>
      </c>
      <c r="M589" s="7">
        <v>47.5</v>
      </c>
      <c r="N589" s="7">
        <v>1.4</v>
      </c>
      <c r="O589" s="7">
        <v>191</v>
      </c>
      <c r="P589" s="7" t="s">
        <v>33</v>
      </c>
      <c r="Q589" s="7" t="str">
        <f t="shared" si="36"/>
        <v>Good</v>
      </c>
      <c r="R589" s="7" t="str">
        <f t="shared" si="37"/>
        <v>Hot</v>
      </c>
      <c r="S589" s="7" t="str">
        <f t="shared" si="38"/>
        <v>Normal Humidity</v>
      </c>
      <c r="T589" s="7" t="str">
        <f t="shared" si="39"/>
        <v>Low Wind</v>
      </c>
    </row>
    <row r="590" spans="1:20" x14ac:dyDescent="0.25">
      <c r="A590" s="7" t="s">
        <v>649</v>
      </c>
      <c r="B590" s="10">
        <v>45728</v>
      </c>
      <c r="C590" s="11" t="s">
        <v>22</v>
      </c>
      <c r="D590" s="11" t="s">
        <v>23</v>
      </c>
      <c r="E590" s="7" t="s">
        <v>32</v>
      </c>
      <c r="F590" s="9">
        <v>16.5</v>
      </c>
      <c r="G590" s="9">
        <v>67.900000000000006</v>
      </c>
      <c r="H590" s="9">
        <v>23.9</v>
      </c>
      <c r="I590" s="9">
        <v>7.7</v>
      </c>
      <c r="J590" s="9">
        <v>2.5099999999999998</v>
      </c>
      <c r="K590" s="9">
        <v>27.9</v>
      </c>
      <c r="L590" s="7">
        <v>26.7</v>
      </c>
      <c r="M590" s="7">
        <v>60.1</v>
      </c>
      <c r="N590" s="7">
        <v>1.4</v>
      </c>
      <c r="O590" s="7">
        <v>170</v>
      </c>
      <c r="P590" s="7" t="s">
        <v>33</v>
      </c>
      <c r="Q590" s="7" t="str">
        <f t="shared" si="36"/>
        <v>Moderate</v>
      </c>
      <c r="R590" s="7" t="str">
        <f t="shared" si="37"/>
        <v>Normal</v>
      </c>
      <c r="S590" s="7" t="str">
        <f t="shared" si="38"/>
        <v>High Humidity</v>
      </c>
      <c r="T590" s="7" t="str">
        <f t="shared" si="39"/>
        <v>Low Wind</v>
      </c>
    </row>
    <row r="591" spans="1:20" x14ac:dyDescent="0.25">
      <c r="A591" s="7" t="s">
        <v>650</v>
      </c>
      <c r="B591" s="10">
        <v>45980</v>
      </c>
      <c r="C591" s="11" t="s">
        <v>52</v>
      </c>
      <c r="D591" s="11" t="s">
        <v>31</v>
      </c>
      <c r="E591" s="7" t="s">
        <v>70</v>
      </c>
      <c r="F591" s="9">
        <v>68.900000000000006</v>
      </c>
      <c r="G591" s="9">
        <v>53.4</v>
      </c>
      <c r="H591" s="9">
        <v>22.1</v>
      </c>
      <c r="I591" s="9">
        <v>21.2</v>
      </c>
      <c r="J591" s="9">
        <v>0.71</v>
      </c>
      <c r="K591" s="9">
        <v>36.700000000000003</v>
      </c>
      <c r="L591" s="7">
        <v>23.2</v>
      </c>
      <c r="M591" s="7">
        <v>61.2</v>
      </c>
      <c r="N591" s="7">
        <v>3.2</v>
      </c>
      <c r="O591" s="7">
        <v>212</v>
      </c>
      <c r="P591" s="7" t="s">
        <v>28</v>
      </c>
      <c r="Q591" s="7" t="str">
        <f t="shared" si="36"/>
        <v>Moderate</v>
      </c>
      <c r="R591" s="7" t="str">
        <f t="shared" si="37"/>
        <v>Normal</v>
      </c>
      <c r="S591" s="7" t="str">
        <f t="shared" si="38"/>
        <v>High Humidity</v>
      </c>
      <c r="T591" s="7" t="str">
        <f t="shared" si="39"/>
        <v>Moderate Wind</v>
      </c>
    </row>
    <row r="592" spans="1:20" x14ac:dyDescent="0.25">
      <c r="A592" s="7" t="s">
        <v>651</v>
      </c>
      <c r="B592" s="10">
        <v>45778</v>
      </c>
      <c r="C592" s="11" t="s">
        <v>50</v>
      </c>
      <c r="D592" s="11" t="s">
        <v>31</v>
      </c>
      <c r="E592" s="7" t="s">
        <v>43</v>
      </c>
      <c r="F592" s="9">
        <v>18.5</v>
      </c>
      <c r="G592" s="9">
        <v>127.8</v>
      </c>
      <c r="H592" s="9">
        <v>26.1</v>
      </c>
      <c r="I592" s="9">
        <v>21.9</v>
      </c>
      <c r="J592" s="9">
        <v>1.1200000000000001</v>
      </c>
      <c r="K592" s="9">
        <v>21.9</v>
      </c>
      <c r="L592" s="7">
        <v>16.899999999999999</v>
      </c>
      <c r="M592" s="7">
        <v>86.3</v>
      </c>
      <c r="N592" s="7">
        <v>0.6</v>
      </c>
      <c r="O592" s="7">
        <v>187</v>
      </c>
      <c r="P592" s="7" t="s">
        <v>33</v>
      </c>
      <c r="Q592" s="7" t="str">
        <f t="shared" si="36"/>
        <v>Unhealthy</v>
      </c>
      <c r="R592" s="7" t="str">
        <f t="shared" si="37"/>
        <v>Cool</v>
      </c>
      <c r="S592" s="7" t="str">
        <f t="shared" si="38"/>
        <v>High Humidity</v>
      </c>
      <c r="T592" s="7" t="str">
        <f t="shared" si="39"/>
        <v>Low Wind</v>
      </c>
    </row>
    <row r="593" spans="1:20" x14ac:dyDescent="0.25">
      <c r="A593" s="7" t="s">
        <v>652</v>
      </c>
      <c r="B593" s="10">
        <v>45826</v>
      </c>
      <c r="C593" s="11" t="s">
        <v>38</v>
      </c>
      <c r="D593" s="11" t="s">
        <v>39</v>
      </c>
      <c r="E593" s="7" t="s">
        <v>55</v>
      </c>
      <c r="F593" s="9">
        <v>64.7</v>
      </c>
      <c r="G593" s="9">
        <v>46.3</v>
      </c>
      <c r="H593" s="9">
        <v>58.9</v>
      </c>
      <c r="I593" s="9">
        <v>9.3000000000000007</v>
      </c>
      <c r="J593" s="9">
        <v>0.71</v>
      </c>
      <c r="K593" s="9">
        <v>38.700000000000003</v>
      </c>
      <c r="L593" s="7">
        <v>34.200000000000003</v>
      </c>
      <c r="M593" s="7">
        <v>82.1</v>
      </c>
      <c r="N593" s="7">
        <v>3.2</v>
      </c>
      <c r="O593" s="7">
        <v>222</v>
      </c>
      <c r="P593" s="7" t="s">
        <v>28</v>
      </c>
      <c r="Q593" s="7" t="str">
        <f t="shared" si="36"/>
        <v>Good</v>
      </c>
      <c r="R593" s="7" t="str">
        <f t="shared" si="37"/>
        <v>Hot</v>
      </c>
      <c r="S593" s="7" t="str">
        <f t="shared" si="38"/>
        <v>High Humidity</v>
      </c>
      <c r="T593" s="7" t="str">
        <f t="shared" si="39"/>
        <v>Moderate Wind</v>
      </c>
    </row>
    <row r="594" spans="1:20" x14ac:dyDescent="0.25">
      <c r="A594" s="7" t="s">
        <v>653</v>
      </c>
      <c r="B594" s="10">
        <v>45989</v>
      </c>
      <c r="C594" s="11" t="s">
        <v>26</v>
      </c>
      <c r="D594" s="11" t="s">
        <v>23</v>
      </c>
      <c r="E594" s="7" t="s">
        <v>40</v>
      </c>
      <c r="F594" s="9">
        <v>34.799999999999997</v>
      </c>
      <c r="G594" s="9">
        <v>144.69999999999999</v>
      </c>
      <c r="H594" s="9">
        <v>14.2</v>
      </c>
      <c r="I594" s="9">
        <v>16.7</v>
      </c>
      <c r="J594" s="9">
        <v>0.28999999999999998</v>
      </c>
      <c r="K594" s="9">
        <v>42.6</v>
      </c>
      <c r="L594" s="7">
        <v>32.1</v>
      </c>
      <c r="M594" s="7">
        <v>67.8</v>
      </c>
      <c r="N594" s="7">
        <v>2.1</v>
      </c>
      <c r="O594" s="7">
        <v>199</v>
      </c>
      <c r="P594" s="7" t="s">
        <v>33</v>
      </c>
      <c r="Q594" s="7" t="str">
        <f t="shared" si="36"/>
        <v>Unhealthy</v>
      </c>
      <c r="R594" s="7" t="str">
        <f t="shared" si="37"/>
        <v>Hot</v>
      </c>
      <c r="S594" s="7" t="str">
        <f t="shared" si="38"/>
        <v>High Humidity</v>
      </c>
      <c r="T594" s="7" t="str">
        <f t="shared" si="39"/>
        <v>Moderate Wind</v>
      </c>
    </row>
    <row r="595" spans="1:20" x14ac:dyDescent="0.25">
      <c r="A595" s="7" t="s">
        <v>654</v>
      </c>
      <c r="B595" s="10">
        <v>45863</v>
      </c>
      <c r="C595" s="11" t="s">
        <v>42</v>
      </c>
      <c r="D595" s="11" t="s">
        <v>23</v>
      </c>
      <c r="E595" s="7" t="s">
        <v>91</v>
      </c>
      <c r="F595" s="9">
        <v>27.8</v>
      </c>
      <c r="G595" s="9">
        <v>83</v>
      </c>
      <c r="H595" s="9">
        <v>74.400000000000006</v>
      </c>
      <c r="I595" s="9">
        <v>6.8</v>
      </c>
      <c r="J595" s="9">
        <v>0.28000000000000003</v>
      </c>
      <c r="K595" s="9">
        <v>69.8</v>
      </c>
      <c r="L595" s="7">
        <v>19.899999999999999</v>
      </c>
      <c r="M595" s="7">
        <v>80.5</v>
      </c>
      <c r="N595" s="7">
        <v>1</v>
      </c>
      <c r="O595" s="7">
        <v>201</v>
      </c>
      <c r="P595" s="7" t="s">
        <v>28</v>
      </c>
      <c r="Q595" s="7" t="str">
        <f t="shared" si="36"/>
        <v>Moderate</v>
      </c>
      <c r="R595" s="7" t="str">
        <f t="shared" si="37"/>
        <v>Cool</v>
      </c>
      <c r="S595" s="7" t="str">
        <f t="shared" si="38"/>
        <v>High Humidity</v>
      </c>
      <c r="T595" s="7" t="str">
        <f t="shared" si="39"/>
        <v>Low Wind</v>
      </c>
    </row>
    <row r="596" spans="1:20" x14ac:dyDescent="0.25">
      <c r="A596" s="7" t="s">
        <v>655</v>
      </c>
      <c r="B596" s="10">
        <v>45966</v>
      </c>
      <c r="C596" s="11" t="s">
        <v>64</v>
      </c>
      <c r="D596" s="11" t="s">
        <v>36</v>
      </c>
      <c r="E596" s="7" t="s">
        <v>70</v>
      </c>
      <c r="F596" s="9">
        <v>63.6</v>
      </c>
      <c r="G596" s="9">
        <v>109.9</v>
      </c>
      <c r="H596" s="9">
        <v>10.3</v>
      </c>
      <c r="I596" s="9">
        <v>20.2</v>
      </c>
      <c r="J596" s="9">
        <v>0.53</v>
      </c>
      <c r="K596" s="9">
        <v>39.1</v>
      </c>
      <c r="L596" s="7">
        <v>30.3</v>
      </c>
      <c r="M596" s="7">
        <v>48.2</v>
      </c>
      <c r="N596" s="7">
        <v>2.8</v>
      </c>
      <c r="O596" s="7">
        <v>226</v>
      </c>
      <c r="P596" s="7" t="s">
        <v>28</v>
      </c>
      <c r="Q596" s="7" t="str">
        <f t="shared" si="36"/>
        <v>Unhealthy</v>
      </c>
      <c r="R596" s="7" t="str">
        <f t="shared" si="37"/>
        <v>Hot</v>
      </c>
      <c r="S596" s="7" t="str">
        <f t="shared" si="38"/>
        <v>Normal Humidity</v>
      </c>
      <c r="T596" s="7" t="str">
        <f t="shared" si="39"/>
        <v>Moderate Wind</v>
      </c>
    </row>
    <row r="597" spans="1:20" x14ac:dyDescent="0.25">
      <c r="A597" s="7" t="s">
        <v>656</v>
      </c>
      <c r="B597" s="10">
        <v>45686</v>
      </c>
      <c r="C597" s="11" t="s">
        <v>22</v>
      </c>
      <c r="D597" s="11" t="s">
        <v>23</v>
      </c>
      <c r="E597" s="7" t="s">
        <v>32</v>
      </c>
      <c r="F597" s="9">
        <v>28.1</v>
      </c>
      <c r="G597" s="9">
        <v>140.69999999999999</v>
      </c>
      <c r="H597" s="9">
        <v>26</v>
      </c>
      <c r="I597" s="9">
        <v>16.600000000000001</v>
      </c>
      <c r="J597" s="9">
        <v>1.08</v>
      </c>
      <c r="K597" s="9">
        <v>77.3</v>
      </c>
      <c r="L597" s="7">
        <v>23.7</v>
      </c>
      <c r="M597" s="7">
        <v>44.9</v>
      </c>
      <c r="N597" s="7">
        <v>1.1000000000000001</v>
      </c>
      <c r="O597" s="7">
        <v>231</v>
      </c>
      <c r="P597" s="7" t="s">
        <v>28</v>
      </c>
      <c r="Q597" s="7" t="str">
        <f t="shared" si="36"/>
        <v>Unhealthy</v>
      </c>
      <c r="R597" s="7" t="str">
        <f t="shared" si="37"/>
        <v>Normal</v>
      </c>
      <c r="S597" s="7" t="str">
        <f t="shared" si="38"/>
        <v>Normal Humidity</v>
      </c>
      <c r="T597" s="7" t="str">
        <f t="shared" si="39"/>
        <v>Low Wind</v>
      </c>
    </row>
    <row r="598" spans="1:20" x14ac:dyDescent="0.25">
      <c r="A598" s="7" t="s">
        <v>657</v>
      </c>
      <c r="B598" s="10">
        <v>45965</v>
      </c>
      <c r="C598" s="11" t="s">
        <v>93</v>
      </c>
      <c r="D598" s="11" t="s">
        <v>36</v>
      </c>
      <c r="E598" s="7" t="s">
        <v>91</v>
      </c>
      <c r="F598" s="9">
        <v>151.9</v>
      </c>
      <c r="G598" s="9">
        <v>93.3</v>
      </c>
      <c r="H598" s="9">
        <v>69.900000000000006</v>
      </c>
      <c r="I598" s="9">
        <v>4.0999999999999996</v>
      </c>
      <c r="J598" s="9">
        <v>0.38</v>
      </c>
      <c r="K598" s="9">
        <v>10.6</v>
      </c>
      <c r="L598" s="7">
        <v>24.6</v>
      </c>
      <c r="M598" s="7">
        <v>68.5</v>
      </c>
      <c r="N598" s="7">
        <v>3.3</v>
      </c>
      <c r="O598" s="7">
        <v>377</v>
      </c>
      <c r="P598" s="7" t="s">
        <v>20</v>
      </c>
      <c r="Q598" s="7" t="str">
        <f t="shared" si="36"/>
        <v>Moderate</v>
      </c>
      <c r="R598" s="7" t="str">
        <f t="shared" si="37"/>
        <v>Normal</v>
      </c>
      <c r="S598" s="7" t="str">
        <f t="shared" si="38"/>
        <v>High Humidity</v>
      </c>
      <c r="T598" s="7" t="str">
        <f t="shared" si="39"/>
        <v>Moderate Wind</v>
      </c>
    </row>
    <row r="599" spans="1:20" x14ac:dyDescent="0.25">
      <c r="A599" s="7" t="s">
        <v>658</v>
      </c>
      <c r="B599" s="10">
        <v>45995</v>
      </c>
      <c r="C599" s="11" t="s">
        <v>81</v>
      </c>
      <c r="D599" s="11" t="s">
        <v>39</v>
      </c>
      <c r="E599" s="7" t="s">
        <v>24</v>
      </c>
      <c r="F599" s="9">
        <v>84.8</v>
      </c>
      <c r="G599" s="9">
        <v>55</v>
      </c>
      <c r="H599" s="9">
        <v>33.1</v>
      </c>
      <c r="I599" s="9">
        <v>2.8</v>
      </c>
      <c r="J599" s="9">
        <v>0.3</v>
      </c>
      <c r="K599" s="9">
        <v>21.5</v>
      </c>
      <c r="L599" s="7">
        <v>26.2</v>
      </c>
      <c r="M599" s="7">
        <v>67</v>
      </c>
      <c r="N599" s="7">
        <v>3.8</v>
      </c>
      <c r="O599" s="7">
        <v>217</v>
      </c>
      <c r="P599" s="7" t="s">
        <v>28</v>
      </c>
      <c r="Q599" s="7" t="str">
        <f t="shared" si="36"/>
        <v>Moderate</v>
      </c>
      <c r="R599" s="7" t="str">
        <f t="shared" si="37"/>
        <v>Normal</v>
      </c>
      <c r="S599" s="7" t="str">
        <f t="shared" si="38"/>
        <v>High Humidity</v>
      </c>
      <c r="T599" s="7" t="str">
        <f t="shared" si="39"/>
        <v>Moderate Wind</v>
      </c>
    </row>
    <row r="600" spans="1:20" x14ac:dyDescent="0.25">
      <c r="A600" s="7" t="s">
        <v>659</v>
      </c>
      <c r="B600" s="10">
        <v>45708</v>
      </c>
      <c r="C600" s="11" t="s">
        <v>77</v>
      </c>
      <c r="D600" s="11" t="s">
        <v>39</v>
      </c>
      <c r="E600" s="7" t="s">
        <v>43</v>
      </c>
      <c r="F600" s="9">
        <v>145.80000000000001</v>
      </c>
      <c r="G600" s="9">
        <v>141.69999999999999</v>
      </c>
      <c r="H600" s="9">
        <v>50.9</v>
      </c>
      <c r="I600" s="9">
        <v>16.5</v>
      </c>
      <c r="J600" s="9">
        <v>0.95</v>
      </c>
      <c r="K600" s="9">
        <v>72.599999999999994</v>
      </c>
      <c r="L600" s="7">
        <v>28.4</v>
      </c>
      <c r="M600" s="7">
        <v>27</v>
      </c>
      <c r="N600" s="7">
        <v>3.4</v>
      </c>
      <c r="O600" s="7">
        <v>434</v>
      </c>
      <c r="P600" s="7" t="s">
        <v>20</v>
      </c>
      <c r="Q600" s="7" t="str">
        <f t="shared" si="36"/>
        <v>Unhealthy</v>
      </c>
      <c r="R600" s="7" t="str">
        <f t="shared" si="37"/>
        <v>Normal</v>
      </c>
      <c r="S600" s="7" t="str">
        <f t="shared" si="38"/>
        <v>Low Humidity</v>
      </c>
      <c r="T600" s="7" t="str">
        <f t="shared" si="39"/>
        <v>Moderate Wind</v>
      </c>
    </row>
    <row r="601" spans="1:20" x14ac:dyDescent="0.25">
      <c r="A601" s="7" t="s">
        <v>660</v>
      </c>
      <c r="B601" s="10">
        <v>45984</v>
      </c>
      <c r="C601" s="11" t="s">
        <v>52</v>
      </c>
      <c r="D601" s="11" t="s">
        <v>31</v>
      </c>
      <c r="E601" s="7" t="s">
        <v>45</v>
      </c>
      <c r="F601" s="9">
        <v>88.4</v>
      </c>
      <c r="G601" s="9">
        <v>31.6</v>
      </c>
      <c r="H601" s="9">
        <v>28.4</v>
      </c>
      <c r="I601" s="9">
        <v>9.9</v>
      </c>
      <c r="J601" s="9">
        <v>0.33</v>
      </c>
      <c r="K601" s="9">
        <v>22.7</v>
      </c>
      <c r="L601" s="7">
        <v>26.3</v>
      </c>
      <c r="M601" s="7">
        <v>96.9</v>
      </c>
      <c r="N601" s="7">
        <v>1.9</v>
      </c>
      <c r="O601" s="7">
        <v>210</v>
      </c>
      <c r="P601" s="7" t="s">
        <v>28</v>
      </c>
      <c r="Q601" s="7" t="str">
        <f t="shared" si="36"/>
        <v>Good</v>
      </c>
      <c r="R601" s="7" t="str">
        <f t="shared" si="37"/>
        <v>Normal</v>
      </c>
      <c r="S601" s="7" t="str">
        <f t="shared" si="38"/>
        <v>High Humidity</v>
      </c>
      <c r="T601" s="7" t="str">
        <f t="shared" si="39"/>
        <v>Low Wind</v>
      </c>
    </row>
    <row r="602" spans="1:20" x14ac:dyDescent="0.25">
      <c r="A602" s="7" t="s">
        <v>661</v>
      </c>
      <c r="B602" s="10">
        <v>45860</v>
      </c>
      <c r="C602" s="11" t="s">
        <v>54</v>
      </c>
      <c r="D602" s="11" t="s">
        <v>18</v>
      </c>
      <c r="E602" s="7" t="s">
        <v>61</v>
      </c>
      <c r="F602" s="9">
        <v>15.1</v>
      </c>
      <c r="G602" s="9">
        <v>196.1</v>
      </c>
      <c r="H602" s="9">
        <v>21.7</v>
      </c>
      <c r="I602" s="9">
        <v>31.2</v>
      </c>
      <c r="J602" s="9">
        <v>0.73</v>
      </c>
      <c r="K602" s="9">
        <v>23.4</v>
      </c>
      <c r="L602" s="7">
        <v>32.4</v>
      </c>
      <c r="M602" s="7">
        <v>76.3</v>
      </c>
      <c r="N602" s="7">
        <v>1.1000000000000001</v>
      </c>
      <c r="O602" s="7">
        <v>220</v>
      </c>
      <c r="P602" s="7" t="s">
        <v>28</v>
      </c>
      <c r="Q602" s="7" t="str">
        <f t="shared" si="36"/>
        <v>VeryUnhealthy</v>
      </c>
      <c r="R602" s="7" t="str">
        <f t="shared" si="37"/>
        <v>Hot</v>
      </c>
      <c r="S602" s="7" t="str">
        <f t="shared" si="38"/>
        <v>High Humidity</v>
      </c>
      <c r="T602" s="7" t="str">
        <f t="shared" si="39"/>
        <v>Low Wind</v>
      </c>
    </row>
    <row r="603" spans="1:20" x14ac:dyDescent="0.25">
      <c r="A603" s="7" t="s">
        <v>662</v>
      </c>
      <c r="B603" s="10">
        <v>45677</v>
      </c>
      <c r="C603" s="11" t="s">
        <v>52</v>
      </c>
      <c r="D603" s="11" t="s">
        <v>31</v>
      </c>
      <c r="E603" s="7" t="s">
        <v>27</v>
      </c>
      <c r="F603" s="9">
        <v>45.9</v>
      </c>
      <c r="G603" s="9">
        <v>92</v>
      </c>
      <c r="H603" s="9">
        <v>50.9</v>
      </c>
      <c r="I603" s="9">
        <v>23.1</v>
      </c>
      <c r="J603" s="9">
        <v>0.7</v>
      </c>
      <c r="K603" s="9">
        <v>14.8</v>
      </c>
      <c r="L603" s="7">
        <v>16.2</v>
      </c>
      <c r="M603" s="7">
        <v>54.3</v>
      </c>
      <c r="N603" s="7">
        <v>1.4</v>
      </c>
      <c r="O603" s="7">
        <v>214</v>
      </c>
      <c r="P603" s="7" t="s">
        <v>28</v>
      </c>
      <c r="Q603" s="7" t="str">
        <f t="shared" si="36"/>
        <v>Moderate</v>
      </c>
      <c r="R603" s="7" t="str">
        <f t="shared" si="37"/>
        <v>Cool</v>
      </c>
      <c r="S603" s="7" t="str">
        <f t="shared" si="38"/>
        <v>Normal Humidity</v>
      </c>
      <c r="T603" s="7" t="str">
        <f t="shared" si="39"/>
        <v>Low Wind</v>
      </c>
    </row>
    <row r="604" spans="1:20" x14ac:dyDescent="0.25">
      <c r="A604" s="7" t="s">
        <v>663</v>
      </c>
      <c r="B604" s="10">
        <v>45923</v>
      </c>
      <c r="C604" s="11" t="s">
        <v>38</v>
      </c>
      <c r="D604" s="11" t="s">
        <v>39</v>
      </c>
      <c r="E604" s="7" t="s">
        <v>27</v>
      </c>
      <c r="F604" s="9">
        <v>26.9</v>
      </c>
      <c r="G604" s="9">
        <v>162.4</v>
      </c>
      <c r="H604" s="9">
        <v>27.4</v>
      </c>
      <c r="I604" s="9">
        <v>5.2</v>
      </c>
      <c r="J604" s="9">
        <v>0.44</v>
      </c>
      <c r="K604" s="9">
        <v>36.4</v>
      </c>
      <c r="L604" s="7">
        <v>35</v>
      </c>
      <c r="M604" s="7">
        <v>86.3</v>
      </c>
      <c r="N604" s="7">
        <v>0.5</v>
      </c>
      <c r="O604" s="7">
        <v>202</v>
      </c>
      <c r="P604" s="7" t="s">
        <v>28</v>
      </c>
      <c r="Q604" s="7" t="str">
        <f t="shared" si="36"/>
        <v>VeryUnhealthy</v>
      </c>
      <c r="R604" s="7" t="str">
        <f t="shared" si="37"/>
        <v>Hot</v>
      </c>
      <c r="S604" s="7" t="str">
        <f t="shared" si="38"/>
        <v>High Humidity</v>
      </c>
      <c r="T604" s="7" t="str">
        <f t="shared" si="39"/>
        <v>Low Wind</v>
      </c>
    </row>
    <row r="605" spans="1:20" x14ac:dyDescent="0.25">
      <c r="A605" s="7" t="s">
        <v>664</v>
      </c>
      <c r="B605" s="10">
        <v>45786</v>
      </c>
      <c r="C605" s="11" t="s">
        <v>35</v>
      </c>
      <c r="D605" s="11" t="s">
        <v>36</v>
      </c>
      <c r="E605" s="7" t="s">
        <v>58</v>
      </c>
      <c r="F605" s="9">
        <v>44.1</v>
      </c>
      <c r="G605" s="9">
        <v>69.8</v>
      </c>
      <c r="H605" s="9">
        <v>44</v>
      </c>
      <c r="I605" s="9">
        <v>3.3</v>
      </c>
      <c r="J605" s="9">
        <v>0.26</v>
      </c>
      <c r="K605" s="9">
        <v>73.7</v>
      </c>
      <c r="L605" s="7">
        <v>22.8</v>
      </c>
      <c r="M605" s="7">
        <v>70.8</v>
      </c>
      <c r="N605" s="7">
        <v>2.2000000000000002</v>
      </c>
      <c r="O605" s="7">
        <v>193</v>
      </c>
      <c r="P605" s="7" t="s">
        <v>33</v>
      </c>
      <c r="Q605" s="7" t="str">
        <f t="shared" si="36"/>
        <v>Moderate</v>
      </c>
      <c r="R605" s="7" t="str">
        <f t="shared" si="37"/>
        <v>Normal</v>
      </c>
      <c r="S605" s="7" t="str">
        <f t="shared" si="38"/>
        <v>High Humidity</v>
      </c>
      <c r="T605" s="7" t="str">
        <f t="shared" si="39"/>
        <v>Moderate Wind</v>
      </c>
    </row>
    <row r="606" spans="1:20" x14ac:dyDescent="0.25">
      <c r="A606" s="7" t="s">
        <v>665</v>
      </c>
      <c r="B606" s="10">
        <v>45744</v>
      </c>
      <c r="C606" s="11" t="s">
        <v>17</v>
      </c>
      <c r="D606" s="11" t="s">
        <v>18</v>
      </c>
      <c r="E606" s="7" t="s">
        <v>24</v>
      </c>
      <c r="F606" s="9">
        <v>30.7</v>
      </c>
      <c r="G606" s="9">
        <v>60.9</v>
      </c>
      <c r="H606" s="9">
        <v>19.8</v>
      </c>
      <c r="I606" s="9">
        <v>4.8</v>
      </c>
      <c r="J606" s="9">
        <v>0.97</v>
      </c>
      <c r="K606" s="9">
        <v>34.9</v>
      </c>
      <c r="L606" s="7">
        <v>19.2</v>
      </c>
      <c r="M606" s="7">
        <v>66.7</v>
      </c>
      <c r="N606" s="7">
        <v>1.1000000000000001</v>
      </c>
      <c r="O606" s="7">
        <v>148</v>
      </c>
      <c r="P606" s="7" t="s">
        <v>33</v>
      </c>
      <c r="Q606" s="7" t="str">
        <f t="shared" si="36"/>
        <v>Moderate</v>
      </c>
      <c r="R606" s="7" t="str">
        <f t="shared" si="37"/>
        <v>Cool</v>
      </c>
      <c r="S606" s="7" t="str">
        <f t="shared" si="38"/>
        <v>High Humidity</v>
      </c>
      <c r="T606" s="7" t="str">
        <f t="shared" si="39"/>
        <v>Low Wind</v>
      </c>
    </row>
    <row r="607" spans="1:20" x14ac:dyDescent="0.25">
      <c r="A607" s="7" t="s">
        <v>667</v>
      </c>
      <c r="B607" s="10">
        <v>45983</v>
      </c>
      <c r="C607" s="11" t="s">
        <v>26</v>
      </c>
      <c r="D607" s="11" t="s">
        <v>23</v>
      </c>
      <c r="E607" s="7" t="s">
        <v>70</v>
      </c>
      <c r="F607" s="9">
        <v>68.900000000000006</v>
      </c>
      <c r="G607" s="9">
        <v>42.7</v>
      </c>
      <c r="H607" s="9">
        <v>16</v>
      </c>
      <c r="I607" s="9">
        <v>21.6</v>
      </c>
      <c r="J607" s="9">
        <v>0.41</v>
      </c>
      <c r="K607" s="9">
        <v>42.4</v>
      </c>
      <c r="L607" s="7">
        <v>35.9</v>
      </c>
      <c r="M607" s="7">
        <v>71.5</v>
      </c>
      <c r="N607" s="7">
        <v>1.7</v>
      </c>
      <c r="O607" s="7">
        <v>195</v>
      </c>
      <c r="P607" s="7" t="s">
        <v>33</v>
      </c>
      <c r="Q607" s="7" t="str">
        <f t="shared" si="36"/>
        <v>Good</v>
      </c>
      <c r="R607" s="7" t="str">
        <f t="shared" si="37"/>
        <v>Hot</v>
      </c>
      <c r="S607" s="7" t="str">
        <f t="shared" si="38"/>
        <v>High Humidity</v>
      </c>
      <c r="T607" s="7" t="str">
        <f t="shared" si="39"/>
        <v>Low Wind</v>
      </c>
    </row>
    <row r="608" spans="1:20" x14ac:dyDescent="0.25">
      <c r="A608" s="7" t="s">
        <v>668</v>
      </c>
      <c r="B608" s="10">
        <v>45762</v>
      </c>
      <c r="C608" s="11" t="s">
        <v>52</v>
      </c>
      <c r="D608" s="11" t="s">
        <v>31</v>
      </c>
      <c r="E608" s="7" t="s">
        <v>32</v>
      </c>
      <c r="F608" s="9">
        <v>36.5</v>
      </c>
      <c r="G608" s="9">
        <v>85.4</v>
      </c>
      <c r="H608" s="9">
        <v>38.299999999999997</v>
      </c>
      <c r="I608" s="9">
        <v>7.1</v>
      </c>
      <c r="J608" s="9">
        <v>1.64</v>
      </c>
      <c r="K608" s="9">
        <v>11.6</v>
      </c>
      <c r="L608" s="7">
        <v>28.5</v>
      </c>
      <c r="M608" s="7">
        <v>40.6</v>
      </c>
      <c r="N608" s="7">
        <v>2.6</v>
      </c>
      <c r="O608" s="7">
        <v>196</v>
      </c>
      <c r="P608" s="7" t="s">
        <v>33</v>
      </c>
      <c r="Q608" s="7" t="str">
        <f t="shared" si="36"/>
        <v>Moderate</v>
      </c>
      <c r="R608" s="7" t="str">
        <f t="shared" si="37"/>
        <v>Normal</v>
      </c>
      <c r="S608" s="7" t="str">
        <f t="shared" si="38"/>
        <v>Normal Humidity</v>
      </c>
      <c r="T608" s="7" t="str">
        <f t="shared" si="39"/>
        <v>Moderate Wind</v>
      </c>
    </row>
    <row r="609" spans="1:20" x14ac:dyDescent="0.25">
      <c r="A609" s="7" t="s">
        <v>669</v>
      </c>
      <c r="B609" s="10">
        <v>45872</v>
      </c>
      <c r="C609" s="11" t="s">
        <v>81</v>
      </c>
      <c r="D609" s="11" t="s">
        <v>39</v>
      </c>
      <c r="E609" s="7" t="s">
        <v>70</v>
      </c>
      <c r="F609" s="9">
        <v>28.8</v>
      </c>
      <c r="G609" s="9">
        <v>71.900000000000006</v>
      </c>
      <c r="H609" s="9">
        <v>16.100000000000001</v>
      </c>
      <c r="I609" s="9">
        <v>18.5</v>
      </c>
      <c r="J609" s="9">
        <v>1.72</v>
      </c>
      <c r="K609" s="9">
        <v>57.1</v>
      </c>
      <c r="L609" s="7">
        <v>30.2</v>
      </c>
      <c r="M609" s="7">
        <v>75.400000000000006</v>
      </c>
      <c r="N609" s="7">
        <v>1</v>
      </c>
      <c r="O609" s="7">
        <v>187</v>
      </c>
      <c r="P609" s="7" t="s">
        <v>33</v>
      </c>
      <c r="Q609" s="7" t="str">
        <f t="shared" si="36"/>
        <v>Moderate</v>
      </c>
      <c r="R609" s="7" t="str">
        <f t="shared" si="37"/>
        <v>Hot</v>
      </c>
      <c r="S609" s="7" t="str">
        <f t="shared" si="38"/>
        <v>High Humidity</v>
      </c>
      <c r="T609" s="7" t="str">
        <f t="shared" si="39"/>
        <v>Low Wind</v>
      </c>
    </row>
    <row r="610" spans="1:20" x14ac:dyDescent="0.25">
      <c r="A610" s="7" t="s">
        <v>670</v>
      </c>
      <c r="B610" s="10">
        <v>45769</v>
      </c>
      <c r="C610" s="11" t="s">
        <v>38</v>
      </c>
      <c r="D610" s="11" t="s">
        <v>39</v>
      </c>
      <c r="E610" s="7" t="s">
        <v>19</v>
      </c>
      <c r="F610" s="9">
        <v>38.799999999999997</v>
      </c>
      <c r="G610" s="9">
        <v>113.2</v>
      </c>
      <c r="H610" s="9">
        <v>22.7</v>
      </c>
      <c r="I610" s="9">
        <v>10</v>
      </c>
      <c r="J610" s="9">
        <v>1.75</v>
      </c>
      <c r="K610" s="9">
        <v>19.399999999999999</v>
      </c>
      <c r="L610" s="7">
        <v>33.4</v>
      </c>
      <c r="M610" s="7">
        <v>62</v>
      </c>
      <c r="N610" s="7">
        <v>0.8</v>
      </c>
      <c r="O610" s="7">
        <v>213</v>
      </c>
      <c r="P610" s="7" t="s">
        <v>28</v>
      </c>
      <c r="Q610" s="7" t="str">
        <f t="shared" si="36"/>
        <v>Unhealthy</v>
      </c>
      <c r="R610" s="7" t="str">
        <f t="shared" si="37"/>
        <v>Hot</v>
      </c>
      <c r="S610" s="7" t="str">
        <f t="shared" si="38"/>
        <v>High Humidity</v>
      </c>
      <c r="T610" s="7" t="str">
        <f t="shared" si="39"/>
        <v>Low Wind</v>
      </c>
    </row>
    <row r="611" spans="1:20" x14ac:dyDescent="0.25">
      <c r="A611" s="7" t="s">
        <v>671</v>
      </c>
      <c r="B611" s="10">
        <v>45774</v>
      </c>
      <c r="C611" s="11" t="s">
        <v>93</v>
      </c>
      <c r="D611" s="11" t="s">
        <v>36</v>
      </c>
      <c r="E611" s="7" t="s">
        <v>43</v>
      </c>
      <c r="F611" s="9">
        <v>29.8</v>
      </c>
      <c r="G611" s="9">
        <v>136.80000000000001</v>
      </c>
      <c r="H611" s="9">
        <v>23.2</v>
      </c>
      <c r="I611" s="9">
        <v>2.7</v>
      </c>
      <c r="J611" s="9">
        <v>1.03</v>
      </c>
      <c r="K611" s="9">
        <v>54.1</v>
      </c>
      <c r="L611" s="7">
        <v>35.799999999999997</v>
      </c>
      <c r="M611" s="7">
        <v>59.4</v>
      </c>
      <c r="N611" s="7">
        <v>3.2</v>
      </c>
      <c r="O611" s="7">
        <v>207</v>
      </c>
      <c r="P611" s="7" t="s">
        <v>28</v>
      </c>
      <c r="Q611" s="7" t="str">
        <f t="shared" si="36"/>
        <v>Unhealthy</v>
      </c>
      <c r="R611" s="7" t="str">
        <f t="shared" si="37"/>
        <v>Hot</v>
      </c>
      <c r="S611" s="7" t="str">
        <f t="shared" si="38"/>
        <v>Normal Humidity</v>
      </c>
      <c r="T611" s="7" t="str">
        <f t="shared" si="39"/>
        <v>Moderate Wind</v>
      </c>
    </row>
    <row r="612" spans="1:20" x14ac:dyDescent="0.25">
      <c r="A612" s="7" t="s">
        <v>672</v>
      </c>
      <c r="B612" s="10">
        <v>45861</v>
      </c>
      <c r="C612" s="11" t="s">
        <v>64</v>
      </c>
      <c r="D612" s="11" t="s">
        <v>36</v>
      </c>
      <c r="E612" s="7" t="s">
        <v>61</v>
      </c>
      <c r="F612" s="9">
        <v>101.6</v>
      </c>
      <c r="G612" s="9">
        <v>57.1</v>
      </c>
      <c r="H612" s="9">
        <v>34.299999999999997</v>
      </c>
      <c r="I612" s="9">
        <v>6.2</v>
      </c>
      <c r="J612" s="9">
        <v>0.23</v>
      </c>
      <c r="K612" s="9">
        <v>6.5</v>
      </c>
      <c r="L612" s="7">
        <v>32.6</v>
      </c>
      <c r="M612" s="7">
        <v>58.5</v>
      </c>
      <c r="N612" s="7">
        <v>1.2</v>
      </c>
      <c r="O612" s="7">
        <v>240</v>
      </c>
      <c r="P612" s="7" t="s">
        <v>28</v>
      </c>
      <c r="Q612" s="7" t="str">
        <f t="shared" si="36"/>
        <v>Moderate</v>
      </c>
      <c r="R612" s="7" t="str">
        <f t="shared" si="37"/>
        <v>Hot</v>
      </c>
      <c r="S612" s="7" t="str">
        <f t="shared" si="38"/>
        <v>Normal Humidity</v>
      </c>
      <c r="T612" s="7" t="str">
        <f t="shared" si="39"/>
        <v>Low Wind</v>
      </c>
    </row>
    <row r="613" spans="1:20" x14ac:dyDescent="0.25">
      <c r="A613" s="7" t="s">
        <v>673</v>
      </c>
      <c r="B613" s="10">
        <v>45786</v>
      </c>
      <c r="C613" s="11" t="s">
        <v>35</v>
      </c>
      <c r="D613" s="11" t="s">
        <v>36</v>
      </c>
      <c r="E613" s="7" t="s">
        <v>40</v>
      </c>
      <c r="F613" s="9">
        <v>30.4</v>
      </c>
      <c r="G613" s="9">
        <v>76.599999999999994</v>
      </c>
      <c r="H613" s="9">
        <v>57.8</v>
      </c>
      <c r="I613" s="9">
        <v>17.7</v>
      </c>
      <c r="J613" s="9">
        <v>1.1100000000000001</v>
      </c>
      <c r="K613" s="9">
        <v>10.3</v>
      </c>
      <c r="L613" s="7">
        <v>21.2</v>
      </c>
      <c r="M613" s="7">
        <v>75.8</v>
      </c>
      <c r="N613" s="7">
        <v>2.8</v>
      </c>
      <c r="O613" s="7">
        <v>189</v>
      </c>
      <c r="P613" s="7" t="s">
        <v>33</v>
      </c>
      <c r="Q613" s="7" t="str">
        <f t="shared" si="36"/>
        <v>Moderate</v>
      </c>
      <c r="R613" s="7" t="str">
        <f t="shared" si="37"/>
        <v>Normal</v>
      </c>
      <c r="S613" s="7" t="str">
        <f t="shared" si="38"/>
        <v>High Humidity</v>
      </c>
      <c r="T613" s="7" t="str">
        <f t="shared" si="39"/>
        <v>Moderate Wind</v>
      </c>
    </row>
    <row r="614" spans="1:20" x14ac:dyDescent="0.25">
      <c r="A614" s="7" t="s">
        <v>674</v>
      </c>
      <c r="B614" s="10">
        <v>45845</v>
      </c>
      <c r="C614" s="11" t="s">
        <v>26</v>
      </c>
      <c r="D614" s="11" t="s">
        <v>23</v>
      </c>
      <c r="E614" s="7" t="s">
        <v>45</v>
      </c>
      <c r="F614" s="9">
        <v>71.400000000000006</v>
      </c>
      <c r="G614" s="9">
        <v>80</v>
      </c>
      <c r="H614" s="9">
        <v>51.9</v>
      </c>
      <c r="I614" s="9">
        <v>1.1000000000000001</v>
      </c>
      <c r="J614" s="9">
        <v>0.96</v>
      </c>
      <c r="K614" s="9">
        <v>35.200000000000003</v>
      </c>
      <c r="L614" s="7">
        <v>27.3</v>
      </c>
      <c r="M614" s="7">
        <v>31.5</v>
      </c>
      <c r="N614" s="7">
        <v>1.9</v>
      </c>
      <c r="O614" s="7">
        <v>248</v>
      </c>
      <c r="P614" s="7" t="s">
        <v>28</v>
      </c>
      <c r="Q614" s="7" t="str">
        <f t="shared" si="36"/>
        <v>Moderate</v>
      </c>
      <c r="R614" s="7" t="str">
        <f t="shared" si="37"/>
        <v>Normal</v>
      </c>
      <c r="S614" s="7" t="str">
        <f t="shared" si="38"/>
        <v>Normal Humidity</v>
      </c>
      <c r="T614" s="7" t="str">
        <f t="shared" si="39"/>
        <v>Low Wind</v>
      </c>
    </row>
    <row r="615" spans="1:20" x14ac:dyDescent="0.25">
      <c r="A615" s="7" t="s">
        <v>675</v>
      </c>
      <c r="B615" s="10">
        <v>45900</v>
      </c>
      <c r="C615" s="11" t="s">
        <v>77</v>
      </c>
      <c r="D615" s="11" t="s">
        <v>39</v>
      </c>
      <c r="E615" s="7" t="s">
        <v>40</v>
      </c>
      <c r="F615" s="9">
        <v>58.3</v>
      </c>
      <c r="G615" s="9">
        <v>39.700000000000003</v>
      </c>
      <c r="H615" s="9">
        <v>17.7</v>
      </c>
      <c r="I615" s="9">
        <v>21.7</v>
      </c>
      <c r="J615" s="9">
        <v>0.42</v>
      </c>
      <c r="K615" s="9">
        <v>48.6</v>
      </c>
      <c r="L615" s="7">
        <v>22.7</v>
      </c>
      <c r="M615" s="7">
        <v>50.9</v>
      </c>
      <c r="N615" s="7">
        <v>1.6</v>
      </c>
      <c r="O615" s="7">
        <v>181</v>
      </c>
      <c r="P615" s="7" t="s">
        <v>33</v>
      </c>
      <c r="Q615" s="7" t="str">
        <f t="shared" si="36"/>
        <v>Good</v>
      </c>
      <c r="R615" s="7" t="str">
        <f t="shared" si="37"/>
        <v>Normal</v>
      </c>
      <c r="S615" s="7" t="str">
        <f t="shared" si="38"/>
        <v>Normal Humidity</v>
      </c>
      <c r="T615" s="7" t="str">
        <f t="shared" si="39"/>
        <v>Low Wind</v>
      </c>
    </row>
    <row r="616" spans="1:20" x14ac:dyDescent="0.25">
      <c r="A616" s="7" t="s">
        <v>676</v>
      </c>
      <c r="B616" s="10">
        <v>45848</v>
      </c>
      <c r="C616" s="11" t="s">
        <v>77</v>
      </c>
      <c r="D616" s="11" t="s">
        <v>39</v>
      </c>
      <c r="E616" s="7" t="s">
        <v>55</v>
      </c>
      <c r="F616" s="9">
        <v>69.8</v>
      </c>
      <c r="G616" s="9">
        <v>120.7</v>
      </c>
      <c r="H616" s="9">
        <v>25.7</v>
      </c>
      <c r="I616" s="9">
        <v>24.5</v>
      </c>
      <c r="J616" s="9">
        <v>0.18</v>
      </c>
      <c r="K616" s="9">
        <v>53.5</v>
      </c>
      <c r="L616" s="7">
        <v>27.7</v>
      </c>
      <c r="M616" s="7">
        <v>85.1</v>
      </c>
      <c r="N616" s="7">
        <v>1.2</v>
      </c>
      <c r="O616" s="7">
        <v>256</v>
      </c>
      <c r="P616" s="7" t="s">
        <v>28</v>
      </c>
      <c r="Q616" s="7" t="str">
        <f t="shared" si="36"/>
        <v>Unhealthy</v>
      </c>
      <c r="R616" s="7" t="str">
        <f t="shared" si="37"/>
        <v>Normal</v>
      </c>
      <c r="S616" s="7" t="str">
        <f t="shared" si="38"/>
        <v>High Humidity</v>
      </c>
      <c r="T616" s="7" t="str">
        <f t="shared" si="39"/>
        <v>Low Wind</v>
      </c>
    </row>
    <row r="617" spans="1:20" x14ac:dyDescent="0.25">
      <c r="A617" s="7" t="s">
        <v>677</v>
      </c>
      <c r="B617" s="10">
        <v>45909</v>
      </c>
      <c r="C617" s="11" t="s">
        <v>99</v>
      </c>
      <c r="D617" s="11" t="s">
        <v>36</v>
      </c>
      <c r="E617" s="7" t="s">
        <v>97</v>
      </c>
      <c r="F617" s="9">
        <v>17.8</v>
      </c>
      <c r="G617" s="9">
        <v>39.700000000000003</v>
      </c>
      <c r="H617" s="9">
        <v>6.5</v>
      </c>
      <c r="I617" s="9">
        <v>19.899999999999999</v>
      </c>
      <c r="J617" s="9">
        <v>1.04</v>
      </c>
      <c r="K617" s="9">
        <v>60.7</v>
      </c>
      <c r="L617" s="7">
        <v>29.7</v>
      </c>
      <c r="M617" s="7">
        <v>61.8</v>
      </c>
      <c r="N617" s="7">
        <v>2.7</v>
      </c>
      <c r="O617" s="7">
        <v>127</v>
      </c>
      <c r="P617" s="7" t="s">
        <v>33</v>
      </c>
      <c r="Q617" s="7" t="str">
        <f t="shared" si="36"/>
        <v>Good</v>
      </c>
      <c r="R617" s="7" t="str">
        <f t="shared" si="37"/>
        <v>Normal</v>
      </c>
      <c r="S617" s="7" t="str">
        <f t="shared" si="38"/>
        <v>High Humidity</v>
      </c>
      <c r="T617" s="7" t="str">
        <f t="shared" si="39"/>
        <v>Moderate Wind</v>
      </c>
    </row>
    <row r="618" spans="1:20" x14ac:dyDescent="0.25">
      <c r="A618" s="7" t="s">
        <v>678</v>
      </c>
      <c r="B618" s="10">
        <v>45956</v>
      </c>
      <c r="C618" s="11" t="s">
        <v>54</v>
      </c>
      <c r="D618" s="11" t="s">
        <v>18</v>
      </c>
      <c r="E618" s="7" t="s">
        <v>45</v>
      </c>
      <c r="F618" s="9">
        <v>30.6</v>
      </c>
      <c r="G618" s="9">
        <v>27.7</v>
      </c>
      <c r="H618" s="9">
        <v>30.1</v>
      </c>
      <c r="I618" s="9">
        <v>12.1</v>
      </c>
      <c r="J618" s="9">
        <v>0.32</v>
      </c>
      <c r="K618" s="9">
        <v>24.2</v>
      </c>
      <c r="L618" s="7">
        <v>23</v>
      </c>
      <c r="M618" s="7">
        <v>67.099999999999994</v>
      </c>
      <c r="N618" s="7">
        <v>3.1</v>
      </c>
      <c r="O618" s="7">
        <v>118</v>
      </c>
      <c r="P618" s="7" t="s">
        <v>33</v>
      </c>
      <c r="Q618" s="7" t="str">
        <f t="shared" si="36"/>
        <v>Good</v>
      </c>
      <c r="R618" s="7" t="str">
        <f t="shared" si="37"/>
        <v>Normal</v>
      </c>
      <c r="S618" s="7" t="str">
        <f t="shared" si="38"/>
        <v>High Humidity</v>
      </c>
      <c r="T618" s="7" t="str">
        <f t="shared" si="39"/>
        <v>Moderate Wind</v>
      </c>
    </row>
    <row r="619" spans="1:20" x14ac:dyDescent="0.25">
      <c r="A619" s="7" t="s">
        <v>679</v>
      </c>
      <c r="B619" s="10">
        <v>45711</v>
      </c>
      <c r="C619" s="11" t="s">
        <v>38</v>
      </c>
      <c r="D619" s="11" t="s">
        <v>39</v>
      </c>
      <c r="E619" s="7" t="s">
        <v>74</v>
      </c>
      <c r="F619" s="9">
        <v>90.5</v>
      </c>
      <c r="G619" s="9">
        <v>84.9</v>
      </c>
      <c r="H619" s="9">
        <v>17.5</v>
      </c>
      <c r="I619" s="9">
        <v>11.3</v>
      </c>
      <c r="J619" s="9">
        <v>0.48</v>
      </c>
      <c r="K619" s="9">
        <v>37.9</v>
      </c>
      <c r="L619" s="7">
        <v>24.2</v>
      </c>
      <c r="M619" s="7">
        <v>89.9</v>
      </c>
      <c r="N619" s="7">
        <v>1.8</v>
      </c>
      <c r="O619" s="7">
        <v>251</v>
      </c>
      <c r="P619" s="7" t="s">
        <v>28</v>
      </c>
      <c r="Q619" s="7" t="str">
        <f t="shared" si="36"/>
        <v>Moderate</v>
      </c>
      <c r="R619" s="7" t="str">
        <f t="shared" si="37"/>
        <v>Normal</v>
      </c>
      <c r="S619" s="7" t="str">
        <f t="shared" si="38"/>
        <v>High Humidity</v>
      </c>
      <c r="T619" s="7" t="str">
        <f t="shared" si="39"/>
        <v>Low Wind</v>
      </c>
    </row>
    <row r="620" spans="1:20" x14ac:dyDescent="0.25">
      <c r="A620" s="7" t="s">
        <v>680</v>
      </c>
      <c r="B620" s="10">
        <v>45700</v>
      </c>
      <c r="C620" s="11" t="s">
        <v>42</v>
      </c>
      <c r="D620" s="11" t="s">
        <v>23</v>
      </c>
      <c r="E620" s="7" t="s">
        <v>55</v>
      </c>
      <c r="F620" s="9">
        <v>69.2</v>
      </c>
      <c r="G620" s="9">
        <v>68.400000000000006</v>
      </c>
      <c r="H620" s="9">
        <v>32.299999999999997</v>
      </c>
      <c r="I620" s="9">
        <v>10</v>
      </c>
      <c r="J620" s="9">
        <v>1.07</v>
      </c>
      <c r="K620" s="9">
        <v>37.200000000000003</v>
      </c>
      <c r="L620" s="7">
        <v>27.7</v>
      </c>
      <c r="M620" s="7">
        <v>77</v>
      </c>
      <c r="N620" s="7">
        <v>1.3</v>
      </c>
      <c r="O620" s="7">
        <v>232</v>
      </c>
      <c r="P620" s="7" t="s">
        <v>28</v>
      </c>
      <c r="Q620" s="7" t="str">
        <f t="shared" si="36"/>
        <v>Moderate</v>
      </c>
      <c r="R620" s="7" t="str">
        <f t="shared" si="37"/>
        <v>Normal</v>
      </c>
      <c r="S620" s="7" t="str">
        <f t="shared" si="38"/>
        <v>High Humidity</v>
      </c>
      <c r="T620" s="7" t="str">
        <f t="shared" si="39"/>
        <v>Low Wind</v>
      </c>
    </row>
    <row r="621" spans="1:20" x14ac:dyDescent="0.25">
      <c r="A621" s="7" t="s">
        <v>681</v>
      </c>
      <c r="B621" s="10">
        <v>45821</v>
      </c>
      <c r="C621" s="11" t="s">
        <v>26</v>
      </c>
      <c r="D621" s="11" t="s">
        <v>23</v>
      </c>
      <c r="E621" s="7" t="s">
        <v>58</v>
      </c>
      <c r="F621" s="9">
        <v>40.1</v>
      </c>
      <c r="G621" s="9">
        <v>65</v>
      </c>
      <c r="H621" s="9">
        <v>42.6</v>
      </c>
      <c r="I621" s="9">
        <v>5</v>
      </c>
      <c r="J621" s="9">
        <v>1.0900000000000001</v>
      </c>
      <c r="K621" s="9">
        <v>16.8</v>
      </c>
      <c r="L621" s="7">
        <v>31.3</v>
      </c>
      <c r="M621" s="7">
        <v>61.9</v>
      </c>
      <c r="N621" s="7">
        <v>2.9</v>
      </c>
      <c r="O621" s="7">
        <v>179</v>
      </c>
      <c r="P621" s="7" t="s">
        <v>33</v>
      </c>
      <c r="Q621" s="7" t="str">
        <f t="shared" si="36"/>
        <v>Moderate</v>
      </c>
      <c r="R621" s="7" t="str">
        <f t="shared" si="37"/>
        <v>Hot</v>
      </c>
      <c r="S621" s="7" t="str">
        <f t="shared" si="38"/>
        <v>High Humidity</v>
      </c>
      <c r="T621" s="7" t="str">
        <f t="shared" si="39"/>
        <v>Moderate Wind</v>
      </c>
    </row>
    <row r="622" spans="1:20" x14ac:dyDescent="0.25">
      <c r="A622" s="7" t="s">
        <v>682</v>
      </c>
      <c r="B622" s="10">
        <v>45917</v>
      </c>
      <c r="C622" s="11" t="s">
        <v>35</v>
      </c>
      <c r="D622" s="11" t="s">
        <v>36</v>
      </c>
      <c r="E622" s="7" t="s">
        <v>43</v>
      </c>
      <c r="F622" s="9">
        <v>34.700000000000003</v>
      </c>
      <c r="G622" s="9">
        <v>135.19999999999999</v>
      </c>
      <c r="H622" s="9">
        <v>7.4</v>
      </c>
      <c r="I622" s="9">
        <v>0.8</v>
      </c>
      <c r="J622" s="9">
        <v>0.53</v>
      </c>
      <c r="K622" s="9">
        <v>31.1</v>
      </c>
      <c r="L622" s="7">
        <v>25.7</v>
      </c>
      <c r="M622" s="7">
        <v>64.900000000000006</v>
      </c>
      <c r="N622" s="7">
        <v>2</v>
      </c>
      <c r="O622" s="7">
        <v>177</v>
      </c>
      <c r="P622" s="7" t="s">
        <v>33</v>
      </c>
      <c r="Q622" s="7" t="str">
        <f t="shared" si="36"/>
        <v>Unhealthy</v>
      </c>
      <c r="R622" s="7" t="str">
        <f t="shared" si="37"/>
        <v>Normal</v>
      </c>
      <c r="S622" s="7" t="str">
        <f t="shared" si="38"/>
        <v>High Humidity</v>
      </c>
      <c r="T622" s="7" t="str">
        <f t="shared" si="39"/>
        <v>Moderate Wind</v>
      </c>
    </row>
    <row r="623" spans="1:20" x14ac:dyDescent="0.25">
      <c r="A623" s="7" t="s">
        <v>683</v>
      </c>
      <c r="B623" s="10">
        <v>45962</v>
      </c>
      <c r="C623" s="11" t="s">
        <v>22</v>
      </c>
      <c r="D623" s="11" t="s">
        <v>23</v>
      </c>
      <c r="E623" s="7" t="s">
        <v>70</v>
      </c>
      <c r="F623" s="9">
        <v>26.3</v>
      </c>
      <c r="G623" s="9">
        <v>44.8</v>
      </c>
      <c r="H623" s="9">
        <v>14</v>
      </c>
      <c r="I623" s="9">
        <v>10.1</v>
      </c>
      <c r="J623" s="9">
        <v>0.47</v>
      </c>
      <c r="K623" s="9">
        <v>16.399999999999999</v>
      </c>
      <c r="L623" s="7">
        <v>25.7</v>
      </c>
      <c r="M623" s="7">
        <v>64.8</v>
      </c>
      <c r="N623" s="7">
        <v>1.5</v>
      </c>
      <c r="O623" s="7">
        <v>109</v>
      </c>
      <c r="P623" s="7" t="s">
        <v>33</v>
      </c>
      <c r="Q623" s="7" t="str">
        <f t="shared" si="36"/>
        <v>Good</v>
      </c>
      <c r="R623" s="7" t="str">
        <f t="shared" si="37"/>
        <v>Normal</v>
      </c>
      <c r="S623" s="7" t="str">
        <f t="shared" si="38"/>
        <v>High Humidity</v>
      </c>
      <c r="T623" s="7" t="str">
        <f t="shared" si="39"/>
        <v>Low Wind</v>
      </c>
    </row>
    <row r="624" spans="1:20" x14ac:dyDescent="0.25">
      <c r="A624" s="7" t="s">
        <v>684</v>
      </c>
      <c r="B624" s="10">
        <v>45822</v>
      </c>
      <c r="C624" s="11" t="s">
        <v>17</v>
      </c>
      <c r="D624" s="11" t="s">
        <v>18</v>
      </c>
      <c r="E624" s="7" t="s">
        <v>68</v>
      </c>
      <c r="F624" s="9">
        <v>28.7</v>
      </c>
      <c r="G624" s="9">
        <v>157.4</v>
      </c>
      <c r="H624" s="9">
        <v>44.9</v>
      </c>
      <c r="I624" s="9">
        <v>5.7</v>
      </c>
      <c r="J624" s="9">
        <v>1.24</v>
      </c>
      <c r="K624" s="9">
        <v>41.1</v>
      </c>
      <c r="L624" s="7">
        <v>23.3</v>
      </c>
      <c r="M624" s="7">
        <v>67.400000000000006</v>
      </c>
      <c r="N624" s="7">
        <v>3</v>
      </c>
      <c r="O624" s="7">
        <v>238</v>
      </c>
      <c r="P624" s="7" t="s">
        <v>28</v>
      </c>
      <c r="Q624" s="7" t="str">
        <f t="shared" si="36"/>
        <v>VeryUnhealthy</v>
      </c>
      <c r="R624" s="7" t="str">
        <f t="shared" si="37"/>
        <v>Normal</v>
      </c>
      <c r="S624" s="7" t="str">
        <f t="shared" si="38"/>
        <v>High Humidity</v>
      </c>
      <c r="T624" s="7" t="str">
        <f t="shared" si="39"/>
        <v>Moderate Wind</v>
      </c>
    </row>
    <row r="625" spans="1:20" x14ac:dyDescent="0.25">
      <c r="A625" s="7" t="s">
        <v>685</v>
      </c>
      <c r="B625" s="10">
        <v>45962</v>
      </c>
      <c r="C625" s="11" t="s">
        <v>17</v>
      </c>
      <c r="D625" s="11" t="s">
        <v>18</v>
      </c>
      <c r="E625" s="7" t="s">
        <v>27</v>
      </c>
      <c r="F625" s="9">
        <v>81.5</v>
      </c>
      <c r="G625" s="9">
        <v>55.8</v>
      </c>
      <c r="H625" s="9">
        <v>19.899999999999999</v>
      </c>
      <c r="I625" s="9">
        <v>17.399999999999999</v>
      </c>
      <c r="J625" s="9">
        <v>0.82</v>
      </c>
      <c r="K625" s="9">
        <v>17.899999999999999</v>
      </c>
      <c r="L625" s="7">
        <v>15.7</v>
      </c>
      <c r="M625" s="7">
        <v>66.900000000000006</v>
      </c>
      <c r="N625" s="7">
        <v>2.2000000000000002</v>
      </c>
      <c r="O625" s="7">
        <v>223</v>
      </c>
      <c r="P625" s="7" t="s">
        <v>28</v>
      </c>
      <c r="Q625" s="7" t="str">
        <f t="shared" si="36"/>
        <v>Moderate</v>
      </c>
      <c r="R625" s="7" t="str">
        <f t="shared" si="37"/>
        <v>Cool</v>
      </c>
      <c r="S625" s="7" t="str">
        <f t="shared" si="38"/>
        <v>High Humidity</v>
      </c>
      <c r="T625" s="7" t="str">
        <f t="shared" si="39"/>
        <v>Moderate Wind</v>
      </c>
    </row>
    <row r="626" spans="1:20" x14ac:dyDescent="0.25">
      <c r="A626" s="7" t="s">
        <v>686</v>
      </c>
      <c r="B626" s="10">
        <v>45726</v>
      </c>
      <c r="C626" s="11" t="s">
        <v>67</v>
      </c>
      <c r="D626" s="11" t="s">
        <v>18</v>
      </c>
      <c r="E626" s="7" t="s">
        <v>24</v>
      </c>
      <c r="F626" s="9">
        <v>41.8</v>
      </c>
      <c r="G626" s="9">
        <v>153</v>
      </c>
      <c r="H626" s="9">
        <v>57.9</v>
      </c>
      <c r="I626" s="9">
        <v>9.8000000000000007</v>
      </c>
      <c r="J626" s="9">
        <v>2.2400000000000002</v>
      </c>
      <c r="K626" s="9">
        <v>91.9</v>
      </c>
      <c r="L626" s="7">
        <v>28.6</v>
      </c>
      <c r="M626" s="7">
        <v>69.400000000000006</v>
      </c>
      <c r="N626" s="7">
        <v>2.8</v>
      </c>
      <c r="O626" s="7">
        <v>317</v>
      </c>
      <c r="P626" s="7" t="s">
        <v>20</v>
      </c>
      <c r="Q626" s="7" t="str">
        <f t="shared" si="36"/>
        <v>VeryUnhealthy</v>
      </c>
      <c r="R626" s="7" t="str">
        <f t="shared" si="37"/>
        <v>Normal</v>
      </c>
      <c r="S626" s="7" t="str">
        <f t="shared" si="38"/>
        <v>High Humidity</v>
      </c>
      <c r="T626" s="7" t="str">
        <f t="shared" si="39"/>
        <v>Moderate Wind</v>
      </c>
    </row>
    <row r="627" spans="1:20" x14ac:dyDescent="0.25">
      <c r="A627" s="7" t="s">
        <v>687</v>
      </c>
      <c r="B627" s="10">
        <v>45913</v>
      </c>
      <c r="C627" s="11" t="s">
        <v>81</v>
      </c>
      <c r="D627" s="11" t="s">
        <v>39</v>
      </c>
      <c r="E627" s="7" t="s">
        <v>70</v>
      </c>
      <c r="F627" s="9">
        <v>52.5</v>
      </c>
      <c r="G627" s="9">
        <v>45.1</v>
      </c>
      <c r="H627" s="9">
        <v>44.8</v>
      </c>
      <c r="I627" s="9">
        <v>20.2</v>
      </c>
      <c r="J627" s="9">
        <v>0.7</v>
      </c>
      <c r="K627" s="9">
        <v>31.6</v>
      </c>
      <c r="L627" s="7">
        <v>29.1</v>
      </c>
      <c r="M627" s="7">
        <v>46</v>
      </c>
      <c r="N627" s="7">
        <v>2.2000000000000002</v>
      </c>
      <c r="O627" s="7">
        <v>195</v>
      </c>
      <c r="P627" s="7" t="s">
        <v>33</v>
      </c>
      <c r="Q627" s="7" t="str">
        <f t="shared" si="36"/>
        <v>Good</v>
      </c>
      <c r="R627" s="7" t="str">
        <f t="shared" si="37"/>
        <v>Normal</v>
      </c>
      <c r="S627" s="7" t="str">
        <f t="shared" si="38"/>
        <v>Normal Humidity</v>
      </c>
      <c r="T627" s="7" t="str">
        <f t="shared" si="39"/>
        <v>Moderate Wind</v>
      </c>
    </row>
    <row r="628" spans="1:20" x14ac:dyDescent="0.25">
      <c r="A628" s="7" t="s">
        <v>688</v>
      </c>
      <c r="B628" s="10">
        <v>45906</v>
      </c>
      <c r="C628" s="11" t="s">
        <v>38</v>
      </c>
      <c r="D628" s="11" t="s">
        <v>39</v>
      </c>
      <c r="E628" s="7" t="s">
        <v>40</v>
      </c>
      <c r="F628" s="9">
        <v>51.4</v>
      </c>
      <c r="G628" s="9">
        <v>61.1</v>
      </c>
      <c r="H628" s="9">
        <v>62.6</v>
      </c>
      <c r="I628" s="9">
        <v>3.4</v>
      </c>
      <c r="J628" s="9">
        <v>0.68</v>
      </c>
      <c r="K628" s="9">
        <v>30.6</v>
      </c>
      <c r="L628" s="7">
        <v>35.1</v>
      </c>
      <c r="M628" s="7">
        <v>78.7</v>
      </c>
      <c r="N628" s="7">
        <v>3.1</v>
      </c>
      <c r="O628" s="7">
        <v>205</v>
      </c>
      <c r="P628" s="7" t="s">
        <v>28</v>
      </c>
      <c r="Q628" s="7" t="str">
        <f t="shared" si="36"/>
        <v>Moderate</v>
      </c>
      <c r="R628" s="7" t="str">
        <f t="shared" si="37"/>
        <v>Hot</v>
      </c>
      <c r="S628" s="7" t="str">
        <f t="shared" si="38"/>
        <v>High Humidity</v>
      </c>
      <c r="T628" s="7" t="str">
        <f t="shared" si="39"/>
        <v>Moderate Wind</v>
      </c>
    </row>
    <row r="629" spans="1:20" x14ac:dyDescent="0.25">
      <c r="A629" s="7" t="s">
        <v>689</v>
      </c>
      <c r="B629" s="10">
        <v>45953</v>
      </c>
      <c r="C629" s="11" t="s">
        <v>54</v>
      </c>
      <c r="D629" s="11" t="s">
        <v>18</v>
      </c>
      <c r="E629" s="7" t="s">
        <v>27</v>
      </c>
      <c r="F629" s="9">
        <v>44</v>
      </c>
      <c r="G629" s="9">
        <v>235.4</v>
      </c>
      <c r="H629" s="9">
        <v>4.5999999999999996</v>
      </c>
      <c r="I629" s="9">
        <v>2.6</v>
      </c>
      <c r="J629" s="9">
        <v>0.4</v>
      </c>
      <c r="K629" s="9">
        <v>25.3</v>
      </c>
      <c r="L629" s="7">
        <v>20.9</v>
      </c>
      <c r="M629" s="7">
        <v>84.6</v>
      </c>
      <c r="N629" s="7">
        <v>2.2000000000000002</v>
      </c>
      <c r="O629" s="7">
        <v>250</v>
      </c>
      <c r="P629" s="7" t="s">
        <v>28</v>
      </c>
      <c r="Q629" s="7" t="str">
        <f t="shared" si="36"/>
        <v>VeryUnhealthy</v>
      </c>
      <c r="R629" s="7" t="str">
        <f t="shared" si="37"/>
        <v>Normal</v>
      </c>
      <c r="S629" s="7" t="str">
        <f t="shared" si="38"/>
        <v>High Humidity</v>
      </c>
      <c r="T629" s="7" t="str">
        <f t="shared" si="39"/>
        <v>Moderate Wind</v>
      </c>
    </row>
    <row r="630" spans="1:20" x14ac:dyDescent="0.25">
      <c r="A630" s="7" t="s">
        <v>690</v>
      </c>
      <c r="B630" s="10">
        <v>45660</v>
      </c>
      <c r="C630" s="11" t="s">
        <v>30</v>
      </c>
      <c r="D630" s="11" t="s">
        <v>31</v>
      </c>
      <c r="E630" s="7" t="s">
        <v>91</v>
      </c>
      <c r="F630" s="9">
        <v>64.5</v>
      </c>
      <c r="G630" s="9">
        <v>121</v>
      </c>
      <c r="H630" s="9">
        <v>14.8</v>
      </c>
      <c r="I630" s="9">
        <v>4.0999999999999996</v>
      </c>
      <c r="J630" s="9">
        <v>0.62</v>
      </c>
      <c r="K630" s="9">
        <v>24.1</v>
      </c>
      <c r="L630" s="7">
        <v>22.1</v>
      </c>
      <c r="M630" s="7">
        <v>66.7</v>
      </c>
      <c r="N630" s="7">
        <v>2.4</v>
      </c>
      <c r="O630" s="7">
        <v>223</v>
      </c>
      <c r="P630" s="7" t="s">
        <v>28</v>
      </c>
      <c r="Q630" s="7" t="str">
        <f t="shared" si="36"/>
        <v>Unhealthy</v>
      </c>
      <c r="R630" s="7" t="str">
        <f t="shared" si="37"/>
        <v>Normal</v>
      </c>
      <c r="S630" s="7" t="str">
        <f t="shared" si="38"/>
        <v>High Humidity</v>
      </c>
      <c r="T630" s="7" t="str">
        <f t="shared" si="39"/>
        <v>Moderate Wind</v>
      </c>
    </row>
    <row r="631" spans="1:20" x14ac:dyDescent="0.25">
      <c r="A631" s="7" t="s">
        <v>691</v>
      </c>
      <c r="B631" s="10">
        <v>45908</v>
      </c>
      <c r="C631" s="11" t="s">
        <v>17</v>
      </c>
      <c r="D631" s="11" t="s">
        <v>18</v>
      </c>
      <c r="E631" s="7" t="s">
        <v>74</v>
      </c>
      <c r="F631" s="9">
        <v>23</v>
      </c>
      <c r="G631" s="9">
        <v>35.9</v>
      </c>
      <c r="H631" s="9">
        <v>35.799999999999997</v>
      </c>
      <c r="I631" s="9">
        <v>1</v>
      </c>
      <c r="J631" s="9">
        <v>0.62</v>
      </c>
      <c r="K631" s="9">
        <v>22.4</v>
      </c>
      <c r="L631" s="7">
        <v>32.700000000000003</v>
      </c>
      <c r="M631" s="7">
        <v>53.2</v>
      </c>
      <c r="N631" s="7">
        <v>2.1</v>
      </c>
      <c r="O631" s="7">
        <v>115</v>
      </c>
      <c r="P631" s="7" t="s">
        <v>33</v>
      </c>
      <c r="Q631" s="7" t="str">
        <f t="shared" si="36"/>
        <v>Good</v>
      </c>
      <c r="R631" s="7" t="str">
        <f t="shared" si="37"/>
        <v>Hot</v>
      </c>
      <c r="S631" s="7" t="str">
        <f t="shared" si="38"/>
        <v>Normal Humidity</v>
      </c>
      <c r="T631" s="7" t="str">
        <f t="shared" si="39"/>
        <v>Moderate Wind</v>
      </c>
    </row>
    <row r="632" spans="1:20" x14ac:dyDescent="0.25">
      <c r="A632" s="7" t="s">
        <v>692</v>
      </c>
      <c r="B632" s="10">
        <v>45851</v>
      </c>
      <c r="C632" s="11" t="s">
        <v>93</v>
      </c>
      <c r="D632" s="11" t="s">
        <v>36</v>
      </c>
      <c r="E632" s="7" t="s">
        <v>61</v>
      </c>
      <c r="F632" s="9">
        <v>41.9</v>
      </c>
      <c r="G632" s="9">
        <v>43.1</v>
      </c>
      <c r="H632" s="9">
        <v>27.7</v>
      </c>
      <c r="I632" s="9">
        <v>1.9</v>
      </c>
      <c r="J632" s="9">
        <v>0.18</v>
      </c>
      <c r="K632" s="9">
        <v>22.8</v>
      </c>
      <c r="L632" s="7">
        <v>23.5</v>
      </c>
      <c r="M632" s="7">
        <v>70.3</v>
      </c>
      <c r="N632" s="7">
        <v>3.9</v>
      </c>
      <c r="O632" s="7">
        <v>133</v>
      </c>
      <c r="P632" s="7" t="s">
        <v>33</v>
      </c>
      <c r="Q632" s="7" t="str">
        <f t="shared" si="36"/>
        <v>Good</v>
      </c>
      <c r="R632" s="7" t="str">
        <f t="shared" si="37"/>
        <v>Normal</v>
      </c>
      <c r="S632" s="7" t="str">
        <f t="shared" si="38"/>
        <v>High Humidity</v>
      </c>
      <c r="T632" s="7" t="str">
        <f t="shared" si="39"/>
        <v>Moderate Wind</v>
      </c>
    </row>
    <row r="633" spans="1:20" x14ac:dyDescent="0.25">
      <c r="A633" s="7" t="s">
        <v>693</v>
      </c>
      <c r="B633" s="10">
        <v>45963</v>
      </c>
      <c r="C633" s="11" t="s">
        <v>93</v>
      </c>
      <c r="D633" s="11" t="s">
        <v>36</v>
      </c>
      <c r="E633" s="7" t="s">
        <v>45</v>
      </c>
      <c r="F633" s="9">
        <v>108.6</v>
      </c>
      <c r="G633" s="9">
        <v>97.4</v>
      </c>
      <c r="H633" s="9">
        <v>39</v>
      </c>
      <c r="I633" s="9">
        <v>11.9</v>
      </c>
      <c r="J633" s="9">
        <v>0.6</v>
      </c>
      <c r="K633" s="9">
        <v>63.7</v>
      </c>
      <c r="L633" s="7">
        <v>24.5</v>
      </c>
      <c r="M633" s="7">
        <v>52.4</v>
      </c>
      <c r="N633" s="7">
        <v>2.4</v>
      </c>
      <c r="O633" s="7">
        <v>320</v>
      </c>
      <c r="P633" s="7" t="s">
        <v>20</v>
      </c>
      <c r="Q633" s="7" t="str">
        <f t="shared" si="36"/>
        <v>Moderate</v>
      </c>
      <c r="R633" s="7" t="str">
        <f t="shared" si="37"/>
        <v>Normal</v>
      </c>
      <c r="S633" s="7" t="str">
        <f t="shared" si="38"/>
        <v>Normal Humidity</v>
      </c>
      <c r="T633" s="7" t="str">
        <f t="shared" si="39"/>
        <v>Moderate Wind</v>
      </c>
    </row>
    <row r="634" spans="1:20" x14ac:dyDescent="0.25">
      <c r="A634" s="7" t="s">
        <v>694</v>
      </c>
      <c r="B634" s="10">
        <v>45962</v>
      </c>
      <c r="C634" s="11" t="s">
        <v>26</v>
      </c>
      <c r="D634" s="11" t="s">
        <v>23</v>
      </c>
      <c r="E634" s="7" t="s">
        <v>27</v>
      </c>
      <c r="F634" s="9">
        <v>78.099999999999994</v>
      </c>
      <c r="G634" s="9">
        <v>125.1</v>
      </c>
      <c r="H634" s="9">
        <v>11.2</v>
      </c>
      <c r="I634" s="9">
        <v>34.299999999999997</v>
      </c>
      <c r="J634" s="9">
        <v>0.26</v>
      </c>
      <c r="K634" s="9">
        <v>59</v>
      </c>
      <c r="L634" s="7">
        <v>26.4</v>
      </c>
      <c r="M634" s="7">
        <v>81.5</v>
      </c>
      <c r="N634" s="7">
        <v>2</v>
      </c>
      <c r="O634" s="7">
        <v>272</v>
      </c>
      <c r="P634" s="7" t="s">
        <v>28</v>
      </c>
      <c r="Q634" s="7" t="str">
        <f t="shared" si="36"/>
        <v>Unhealthy</v>
      </c>
      <c r="R634" s="7" t="str">
        <f t="shared" si="37"/>
        <v>Normal</v>
      </c>
      <c r="S634" s="7" t="str">
        <f t="shared" si="38"/>
        <v>High Humidity</v>
      </c>
      <c r="T634" s="7" t="str">
        <f t="shared" si="39"/>
        <v>Moderate Wind</v>
      </c>
    </row>
    <row r="635" spans="1:20" x14ac:dyDescent="0.25">
      <c r="A635" s="7" t="s">
        <v>695</v>
      </c>
      <c r="B635" s="10">
        <v>45787</v>
      </c>
      <c r="C635" s="11" t="s">
        <v>99</v>
      </c>
      <c r="D635" s="11" t="s">
        <v>36</v>
      </c>
      <c r="E635" s="7" t="s">
        <v>24</v>
      </c>
      <c r="F635" s="9">
        <v>86</v>
      </c>
      <c r="G635" s="9">
        <v>104.3</v>
      </c>
      <c r="H635" s="9">
        <v>21.1</v>
      </c>
      <c r="I635" s="9">
        <v>13.7</v>
      </c>
      <c r="J635" s="9">
        <v>0.57999999999999996</v>
      </c>
      <c r="K635" s="9">
        <v>55.7</v>
      </c>
      <c r="L635" s="7">
        <v>18</v>
      </c>
      <c r="M635" s="7">
        <v>66.8</v>
      </c>
      <c r="N635" s="7">
        <v>2.7</v>
      </c>
      <c r="O635" s="7">
        <v>271</v>
      </c>
      <c r="P635" s="7" t="s">
        <v>28</v>
      </c>
      <c r="Q635" s="7" t="str">
        <f t="shared" si="36"/>
        <v>Unhealthy</v>
      </c>
      <c r="R635" s="7" t="str">
        <f t="shared" si="37"/>
        <v>Cool</v>
      </c>
      <c r="S635" s="7" t="str">
        <f t="shared" si="38"/>
        <v>High Humidity</v>
      </c>
      <c r="T635" s="7" t="str">
        <f t="shared" si="39"/>
        <v>Moderate Wind</v>
      </c>
    </row>
    <row r="636" spans="1:20" x14ac:dyDescent="0.25">
      <c r="A636" s="7" t="s">
        <v>696</v>
      </c>
      <c r="B636" s="10">
        <v>45863</v>
      </c>
      <c r="C636" s="11" t="s">
        <v>50</v>
      </c>
      <c r="D636" s="11" t="s">
        <v>31</v>
      </c>
      <c r="E636" s="7" t="s">
        <v>40</v>
      </c>
      <c r="F636" s="9">
        <v>51.6</v>
      </c>
      <c r="G636" s="9">
        <v>55.1</v>
      </c>
      <c r="H636" s="9">
        <v>25.2</v>
      </c>
      <c r="I636" s="9">
        <v>25.7</v>
      </c>
      <c r="J636" s="9">
        <v>2.11</v>
      </c>
      <c r="K636" s="9">
        <v>37</v>
      </c>
      <c r="L636" s="7">
        <v>18.8</v>
      </c>
      <c r="M636" s="7">
        <v>82.4</v>
      </c>
      <c r="N636" s="7">
        <v>0.6</v>
      </c>
      <c r="O636" s="7">
        <v>226</v>
      </c>
      <c r="P636" s="7" t="s">
        <v>28</v>
      </c>
      <c r="Q636" s="7" t="str">
        <f t="shared" si="36"/>
        <v>Moderate</v>
      </c>
      <c r="R636" s="7" t="str">
        <f t="shared" si="37"/>
        <v>Cool</v>
      </c>
      <c r="S636" s="7" t="str">
        <f t="shared" si="38"/>
        <v>High Humidity</v>
      </c>
      <c r="T636" s="7" t="str">
        <f t="shared" si="39"/>
        <v>Low Wind</v>
      </c>
    </row>
    <row r="637" spans="1:20" x14ac:dyDescent="0.25">
      <c r="A637" s="7" t="s">
        <v>697</v>
      </c>
      <c r="B637" s="10">
        <v>45683</v>
      </c>
      <c r="C637" s="11" t="s">
        <v>81</v>
      </c>
      <c r="D637" s="11" t="s">
        <v>39</v>
      </c>
      <c r="E637" s="7" t="s">
        <v>70</v>
      </c>
      <c r="F637" s="9">
        <v>34.6</v>
      </c>
      <c r="G637" s="9">
        <v>46.3</v>
      </c>
      <c r="H637" s="9">
        <v>84.2</v>
      </c>
      <c r="I637" s="9">
        <v>6.6</v>
      </c>
      <c r="J637" s="9">
        <v>0.03</v>
      </c>
      <c r="K637" s="9">
        <v>36.6</v>
      </c>
      <c r="L637" s="7">
        <v>26.5</v>
      </c>
      <c r="M637" s="7">
        <v>58.4</v>
      </c>
      <c r="N637" s="7">
        <v>2.2000000000000002</v>
      </c>
      <c r="O637" s="7">
        <v>175</v>
      </c>
      <c r="P637" s="7" t="s">
        <v>33</v>
      </c>
      <c r="Q637" s="7" t="str">
        <f t="shared" si="36"/>
        <v>Good</v>
      </c>
      <c r="R637" s="7" t="str">
        <f t="shared" si="37"/>
        <v>Normal</v>
      </c>
      <c r="S637" s="7" t="str">
        <f t="shared" si="38"/>
        <v>Normal Humidity</v>
      </c>
      <c r="T637" s="7" t="str">
        <f t="shared" si="39"/>
        <v>Moderate Wind</v>
      </c>
    </row>
    <row r="638" spans="1:20" x14ac:dyDescent="0.25">
      <c r="A638" s="7" t="s">
        <v>698</v>
      </c>
      <c r="B638" s="10">
        <v>45696</v>
      </c>
      <c r="C638" s="11" t="s">
        <v>81</v>
      </c>
      <c r="D638" s="11" t="s">
        <v>39</v>
      </c>
      <c r="E638" s="7" t="s">
        <v>68</v>
      </c>
      <c r="F638" s="9">
        <v>58.6</v>
      </c>
      <c r="G638" s="9">
        <v>90.3</v>
      </c>
      <c r="H638" s="9">
        <v>16.399999999999999</v>
      </c>
      <c r="I638" s="9">
        <v>14.6</v>
      </c>
      <c r="J638" s="9">
        <v>0.33</v>
      </c>
      <c r="K638" s="9">
        <v>47.8</v>
      </c>
      <c r="L638" s="7">
        <v>25.8</v>
      </c>
      <c r="M638" s="7">
        <v>91.3</v>
      </c>
      <c r="N638" s="7">
        <v>2.9</v>
      </c>
      <c r="O638" s="7">
        <v>206</v>
      </c>
      <c r="P638" s="7" t="s">
        <v>28</v>
      </c>
      <c r="Q638" s="7" t="str">
        <f t="shared" si="36"/>
        <v>Moderate</v>
      </c>
      <c r="R638" s="7" t="str">
        <f t="shared" si="37"/>
        <v>Normal</v>
      </c>
      <c r="S638" s="7" t="str">
        <f t="shared" si="38"/>
        <v>High Humidity</v>
      </c>
      <c r="T638" s="7" t="str">
        <f t="shared" si="39"/>
        <v>Moderate Wind</v>
      </c>
    </row>
    <row r="639" spans="1:20" x14ac:dyDescent="0.25">
      <c r="A639" s="7" t="s">
        <v>699</v>
      </c>
      <c r="B639" s="10">
        <v>45692</v>
      </c>
      <c r="C639" s="11" t="s">
        <v>42</v>
      </c>
      <c r="D639" s="11" t="s">
        <v>23</v>
      </c>
      <c r="E639" s="7" t="s">
        <v>43</v>
      </c>
      <c r="F639" s="9">
        <v>58</v>
      </c>
      <c r="G639" s="9">
        <v>121.2</v>
      </c>
      <c r="H639" s="9">
        <v>28.5</v>
      </c>
      <c r="I639" s="9">
        <v>6.1</v>
      </c>
      <c r="J639" s="9">
        <v>0.46</v>
      </c>
      <c r="K639" s="9">
        <v>33.200000000000003</v>
      </c>
      <c r="L639" s="7">
        <v>31.5</v>
      </c>
      <c r="M639" s="7">
        <v>55.4</v>
      </c>
      <c r="N639" s="7">
        <v>2.8</v>
      </c>
      <c r="O639" s="7">
        <v>225</v>
      </c>
      <c r="P639" s="7" t="s">
        <v>28</v>
      </c>
      <c r="Q639" s="7" t="str">
        <f t="shared" si="36"/>
        <v>Unhealthy</v>
      </c>
      <c r="R639" s="7" t="str">
        <f t="shared" si="37"/>
        <v>Hot</v>
      </c>
      <c r="S639" s="7" t="str">
        <f t="shared" si="38"/>
        <v>Normal Humidity</v>
      </c>
      <c r="T639" s="7" t="str">
        <f t="shared" si="39"/>
        <v>Moderate Wind</v>
      </c>
    </row>
    <row r="640" spans="1:20" x14ac:dyDescent="0.25">
      <c r="A640" s="7" t="s">
        <v>700</v>
      </c>
      <c r="B640" s="10">
        <v>45890</v>
      </c>
      <c r="C640" s="11" t="s">
        <v>22</v>
      </c>
      <c r="D640" s="11" t="s">
        <v>23</v>
      </c>
      <c r="E640" s="7" t="s">
        <v>74</v>
      </c>
      <c r="F640" s="9">
        <v>42.9</v>
      </c>
      <c r="G640" s="9">
        <v>89.7</v>
      </c>
      <c r="H640" s="9">
        <v>44.7</v>
      </c>
      <c r="I640" s="9">
        <v>7.7</v>
      </c>
      <c r="J640" s="9">
        <v>0.41</v>
      </c>
      <c r="K640" s="9">
        <v>19.7</v>
      </c>
      <c r="L640" s="7">
        <v>21.3</v>
      </c>
      <c r="M640" s="7">
        <v>70</v>
      </c>
      <c r="N640" s="7">
        <v>2.9</v>
      </c>
      <c r="O640" s="7">
        <v>187</v>
      </c>
      <c r="P640" s="7" t="s">
        <v>33</v>
      </c>
      <c r="Q640" s="7" t="str">
        <f t="shared" si="36"/>
        <v>Moderate</v>
      </c>
      <c r="R640" s="7" t="str">
        <f t="shared" si="37"/>
        <v>Normal</v>
      </c>
      <c r="S640" s="7" t="str">
        <f t="shared" si="38"/>
        <v>High Humidity</v>
      </c>
      <c r="T640" s="7" t="str">
        <f t="shared" si="39"/>
        <v>Moderate Wind</v>
      </c>
    </row>
    <row r="641" spans="1:20" x14ac:dyDescent="0.25">
      <c r="A641" s="7" t="s">
        <v>701</v>
      </c>
      <c r="B641" s="10">
        <v>45874</v>
      </c>
      <c r="C641" s="11" t="s">
        <v>42</v>
      </c>
      <c r="D641" s="11" t="s">
        <v>23</v>
      </c>
      <c r="E641" s="7" t="s">
        <v>40</v>
      </c>
      <c r="F641" s="9">
        <v>34</v>
      </c>
      <c r="G641" s="9">
        <v>75.900000000000006</v>
      </c>
      <c r="H641" s="9">
        <v>21.4</v>
      </c>
      <c r="I641" s="9">
        <v>16.399999999999999</v>
      </c>
      <c r="J641" s="9">
        <v>0.69</v>
      </c>
      <c r="K641" s="9">
        <v>31.1</v>
      </c>
      <c r="L641" s="7">
        <v>29.8</v>
      </c>
      <c r="M641" s="7">
        <v>82.7</v>
      </c>
      <c r="N641" s="7">
        <v>3.7</v>
      </c>
      <c r="O641" s="7">
        <v>164</v>
      </c>
      <c r="P641" s="7" t="s">
        <v>33</v>
      </c>
      <c r="Q641" s="7" t="str">
        <f t="shared" si="36"/>
        <v>Moderate</v>
      </c>
      <c r="R641" s="7" t="str">
        <f t="shared" si="37"/>
        <v>Normal</v>
      </c>
      <c r="S641" s="7" t="str">
        <f t="shared" si="38"/>
        <v>High Humidity</v>
      </c>
      <c r="T641" s="7" t="str">
        <f t="shared" si="39"/>
        <v>Moderate Wind</v>
      </c>
    </row>
    <row r="642" spans="1:20" x14ac:dyDescent="0.25">
      <c r="A642" s="7" t="s">
        <v>702</v>
      </c>
      <c r="B642" s="10">
        <v>45993</v>
      </c>
      <c r="C642" s="11" t="s">
        <v>35</v>
      </c>
      <c r="D642" s="11" t="s">
        <v>36</v>
      </c>
      <c r="E642" s="7" t="s">
        <v>68</v>
      </c>
      <c r="F642" s="9">
        <v>22</v>
      </c>
      <c r="G642" s="9">
        <v>32.299999999999997</v>
      </c>
      <c r="H642" s="9">
        <v>10.5</v>
      </c>
      <c r="I642" s="9">
        <v>12.3</v>
      </c>
      <c r="J642" s="9">
        <v>1.03</v>
      </c>
      <c r="K642" s="9">
        <v>7.3</v>
      </c>
      <c r="L642" s="7">
        <v>10.7</v>
      </c>
      <c r="M642" s="7">
        <v>72.2</v>
      </c>
      <c r="N642" s="7">
        <v>1.2</v>
      </c>
      <c r="O642" s="7">
        <v>102</v>
      </c>
      <c r="P642" s="7" t="s">
        <v>33</v>
      </c>
      <c r="Q642" s="7" t="str">
        <f t="shared" si="36"/>
        <v>Good</v>
      </c>
      <c r="R642" s="7" t="str">
        <f t="shared" si="37"/>
        <v>Cool</v>
      </c>
      <c r="S642" s="7" t="str">
        <f t="shared" si="38"/>
        <v>High Humidity</v>
      </c>
      <c r="T642" s="7" t="str">
        <f t="shared" si="39"/>
        <v>Low Wind</v>
      </c>
    </row>
    <row r="643" spans="1:20" x14ac:dyDescent="0.25">
      <c r="A643" s="7" t="s">
        <v>703</v>
      </c>
      <c r="B643" s="10">
        <v>45662</v>
      </c>
      <c r="C643" s="11" t="s">
        <v>17</v>
      </c>
      <c r="D643" s="11" t="s">
        <v>18</v>
      </c>
      <c r="E643" s="7" t="s">
        <v>27</v>
      </c>
      <c r="F643" s="9">
        <v>24.7</v>
      </c>
      <c r="G643" s="9">
        <v>139.80000000000001</v>
      </c>
      <c r="H643" s="9">
        <v>26.7</v>
      </c>
      <c r="I643" s="9">
        <v>23.8</v>
      </c>
      <c r="J643" s="9">
        <v>0.73</v>
      </c>
      <c r="K643" s="9">
        <v>44.8</v>
      </c>
      <c r="L643" s="7">
        <v>15.1</v>
      </c>
      <c r="M643" s="7">
        <v>88.7</v>
      </c>
      <c r="N643" s="7">
        <v>2.9</v>
      </c>
      <c r="O643" s="7">
        <v>207</v>
      </c>
      <c r="P643" s="7" t="s">
        <v>28</v>
      </c>
      <c r="Q643" s="7" t="str">
        <f t="shared" ref="Q643:Q706" si="40">IF(G643&lt;50,"Good",IF(G643&lt;=100,"Moderate",IF(G643&lt;=150,"Unhealthy","VeryUnhealthy")))</f>
        <v>Unhealthy</v>
      </c>
      <c r="R643" s="7" t="str">
        <f t="shared" ref="R643:R706" si="41">IF(L643&lt;20,"Cool",IF(L643&lt;=30,"Normal","Hot"))</f>
        <v>Cool</v>
      </c>
      <c r="S643" s="7" t="str">
        <f t="shared" ref="S643:S706" si="42">IF(M643&lt;30,"Low Humidity",IF(M643&lt;=60,"Normal Humidity","High Humidity"))</f>
        <v>High Humidity</v>
      </c>
      <c r="T643" s="7" t="str">
        <f t="shared" ref="T643:T706" si="43">IF(N643&lt;2,"Low Wind",IF(N643&lt;=5,"Moderate Wind","High Wind"))</f>
        <v>Moderate Wind</v>
      </c>
    </row>
    <row r="644" spans="1:20" x14ac:dyDescent="0.25">
      <c r="A644" s="7" t="s">
        <v>704</v>
      </c>
      <c r="B644" s="10">
        <v>45964</v>
      </c>
      <c r="C644" s="11" t="s">
        <v>52</v>
      </c>
      <c r="D644" s="11" t="s">
        <v>31</v>
      </c>
      <c r="E644" s="7" t="s">
        <v>68</v>
      </c>
      <c r="F644" s="9">
        <v>20.5</v>
      </c>
      <c r="G644" s="9">
        <v>24.8</v>
      </c>
      <c r="H644" s="9">
        <v>38.200000000000003</v>
      </c>
      <c r="I644" s="9">
        <v>5.5</v>
      </c>
      <c r="J644" s="9">
        <v>0.38</v>
      </c>
      <c r="K644" s="9">
        <v>60.2</v>
      </c>
      <c r="L644" s="7">
        <v>33.299999999999997</v>
      </c>
      <c r="M644" s="7">
        <v>48.3</v>
      </c>
      <c r="N644" s="7">
        <v>4.7</v>
      </c>
      <c r="O644" s="7">
        <v>120</v>
      </c>
      <c r="P644" s="7" t="s">
        <v>33</v>
      </c>
      <c r="Q644" s="7" t="str">
        <f t="shared" si="40"/>
        <v>Good</v>
      </c>
      <c r="R644" s="7" t="str">
        <f t="shared" si="41"/>
        <v>Hot</v>
      </c>
      <c r="S644" s="7" t="str">
        <f t="shared" si="42"/>
        <v>Normal Humidity</v>
      </c>
      <c r="T644" s="7" t="str">
        <f t="shared" si="43"/>
        <v>Moderate Wind</v>
      </c>
    </row>
    <row r="645" spans="1:20" x14ac:dyDescent="0.25">
      <c r="A645" s="7" t="s">
        <v>705</v>
      </c>
      <c r="B645" s="10">
        <v>45964</v>
      </c>
      <c r="C645" s="11" t="s">
        <v>17</v>
      </c>
      <c r="D645" s="11" t="s">
        <v>18</v>
      </c>
      <c r="E645" s="7" t="s">
        <v>74</v>
      </c>
      <c r="F645" s="9">
        <v>87.3</v>
      </c>
      <c r="G645" s="9">
        <v>31.2</v>
      </c>
      <c r="H645" s="9">
        <v>30.6</v>
      </c>
      <c r="I645" s="9">
        <v>30.6</v>
      </c>
      <c r="J645" s="9">
        <v>0.81</v>
      </c>
      <c r="K645" s="9">
        <v>35.1</v>
      </c>
      <c r="L645" s="7">
        <v>36.1</v>
      </c>
      <c r="M645" s="7">
        <v>63.7</v>
      </c>
      <c r="N645" s="7">
        <v>2.1</v>
      </c>
      <c r="O645" s="7">
        <v>242</v>
      </c>
      <c r="P645" s="7" t="s">
        <v>28</v>
      </c>
      <c r="Q645" s="7" t="str">
        <f t="shared" si="40"/>
        <v>Good</v>
      </c>
      <c r="R645" s="7" t="str">
        <f t="shared" si="41"/>
        <v>Hot</v>
      </c>
      <c r="S645" s="7" t="str">
        <f t="shared" si="42"/>
        <v>High Humidity</v>
      </c>
      <c r="T645" s="7" t="str">
        <f t="shared" si="43"/>
        <v>Moderate Wind</v>
      </c>
    </row>
    <row r="646" spans="1:20" x14ac:dyDescent="0.25">
      <c r="A646" s="7" t="s">
        <v>706</v>
      </c>
      <c r="B646" s="10">
        <v>45714</v>
      </c>
      <c r="C646" s="11" t="s">
        <v>64</v>
      </c>
      <c r="D646" s="11" t="s">
        <v>36</v>
      </c>
      <c r="E646" s="7" t="s">
        <v>97</v>
      </c>
      <c r="F646" s="9">
        <v>58</v>
      </c>
      <c r="G646" s="9">
        <v>146.1</v>
      </c>
      <c r="H646" s="9">
        <v>11.7</v>
      </c>
      <c r="I646" s="9">
        <v>17.399999999999999</v>
      </c>
      <c r="J646" s="9">
        <v>0.56000000000000005</v>
      </c>
      <c r="K646" s="9">
        <v>16.7</v>
      </c>
      <c r="L646" s="7">
        <v>29</v>
      </c>
      <c r="M646" s="7">
        <v>70.599999999999994</v>
      </c>
      <c r="N646" s="7">
        <v>1.5</v>
      </c>
      <c r="O646" s="7">
        <v>231</v>
      </c>
      <c r="P646" s="7" t="s">
        <v>28</v>
      </c>
      <c r="Q646" s="7" t="str">
        <f t="shared" si="40"/>
        <v>Unhealthy</v>
      </c>
      <c r="R646" s="7" t="str">
        <f t="shared" si="41"/>
        <v>Normal</v>
      </c>
      <c r="S646" s="7" t="str">
        <f t="shared" si="42"/>
        <v>High Humidity</v>
      </c>
      <c r="T646" s="7" t="str">
        <f t="shared" si="43"/>
        <v>Low Wind</v>
      </c>
    </row>
    <row r="647" spans="1:20" x14ac:dyDescent="0.25">
      <c r="A647" s="7" t="s">
        <v>707</v>
      </c>
      <c r="B647" s="10">
        <v>45727</v>
      </c>
      <c r="C647" s="11" t="s">
        <v>99</v>
      </c>
      <c r="D647" s="11" t="s">
        <v>36</v>
      </c>
      <c r="E647" s="7" t="s">
        <v>40</v>
      </c>
      <c r="F647" s="9">
        <v>77.2</v>
      </c>
      <c r="G647" s="9">
        <v>85.1</v>
      </c>
      <c r="H647" s="9">
        <v>8</v>
      </c>
      <c r="I647" s="9">
        <v>5.5</v>
      </c>
      <c r="J647" s="9">
        <v>1.19</v>
      </c>
      <c r="K647" s="9">
        <v>36.5</v>
      </c>
      <c r="L647" s="7">
        <v>19.2</v>
      </c>
      <c r="M647" s="7">
        <v>59.1</v>
      </c>
      <c r="N647" s="7">
        <v>2.6</v>
      </c>
      <c r="O647" s="7">
        <v>235</v>
      </c>
      <c r="P647" s="7" t="s">
        <v>28</v>
      </c>
      <c r="Q647" s="7" t="str">
        <f t="shared" si="40"/>
        <v>Moderate</v>
      </c>
      <c r="R647" s="7" t="str">
        <f t="shared" si="41"/>
        <v>Cool</v>
      </c>
      <c r="S647" s="7" t="str">
        <f t="shared" si="42"/>
        <v>Normal Humidity</v>
      </c>
      <c r="T647" s="7" t="str">
        <f t="shared" si="43"/>
        <v>Moderate Wind</v>
      </c>
    </row>
    <row r="648" spans="1:20" x14ac:dyDescent="0.25">
      <c r="A648" s="7" t="s">
        <v>708</v>
      </c>
      <c r="B648" s="10">
        <v>45957</v>
      </c>
      <c r="C648" s="11" t="s">
        <v>67</v>
      </c>
      <c r="D648" s="11" t="s">
        <v>18</v>
      </c>
      <c r="E648" s="7" t="s">
        <v>58</v>
      </c>
      <c r="F648" s="9">
        <v>54.6</v>
      </c>
      <c r="G648" s="9">
        <v>22.1</v>
      </c>
      <c r="H648" s="9">
        <v>43.4</v>
      </c>
      <c r="I648" s="9">
        <v>32.5</v>
      </c>
      <c r="J648" s="9">
        <v>0.48</v>
      </c>
      <c r="K648" s="9">
        <v>44.1</v>
      </c>
      <c r="L648" s="7">
        <v>19.899999999999999</v>
      </c>
      <c r="M648" s="7">
        <v>75.599999999999994</v>
      </c>
      <c r="N648" s="7">
        <v>4.4000000000000004</v>
      </c>
      <c r="O648" s="7">
        <v>191</v>
      </c>
      <c r="P648" s="7" t="s">
        <v>33</v>
      </c>
      <c r="Q648" s="7" t="str">
        <f t="shared" si="40"/>
        <v>Good</v>
      </c>
      <c r="R648" s="7" t="str">
        <f t="shared" si="41"/>
        <v>Cool</v>
      </c>
      <c r="S648" s="7" t="str">
        <f t="shared" si="42"/>
        <v>High Humidity</v>
      </c>
      <c r="T648" s="7" t="str">
        <f t="shared" si="43"/>
        <v>Moderate Wind</v>
      </c>
    </row>
    <row r="649" spans="1:20" x14ac:dyDescent="0.25">
      <c r="A649" s="7" t="s">
        <v>709</v>
      </c>
      <c r="B649" s="10">
        <v>45956</v>
      </c>
      <c r="C649" s="11" t="s">
        <v>52</v>
      </c>
      <c r="D649" s="11" t="s">
        <v>31</v>
      </c>
      <c r="E649" s="7" t="s">
        <v>43</v>
      </c>
      <c r="F649" s="9">
        <v>101.5</v>
      </c>
      <c r="G649" s="9">
        <v>31.4</v>
      </c>
      <c r="H649" s="9">
        <v>18.3</v>
      </c>
      <c r="I649" s="9">
        <v>7.1</v>
      </c>
      <c r="J649" s="9">
        <v>0.31</v>
      </c>
      <c r="K649" s="9">
        <v>33.9</v>
      </c>
      <c r="L649" s="7">
        <v>25.1</v>
      </c>
      <c r="M649" s="7">
        <v>41.1</v>
      </c>
      <c r="N649" s="7">
        <v>0.1</v>
      </c>
      <c r="O649" s="7">
        <v>225</v>
      </c>
      <c r="P649" s="7" t="s">
        <v>28</v>
      </c>
      <c r="Q649" s="7" t="str">
        <f t="shared" si="40"/>
        <v>Good</v>
      </c>
      <c r="R649" s="7" t="str">
        <f t="shared" si="41"/>
        <v>Normal</v>
      </c>
      <c r="S649" s="7" t="str">
        <f t="shared" si="42"/>
        <v>Normal Humidity</v>
      </c>
      <c r="T649" s="7" t="str">
        <f t="shared" si="43"/>
        <v>Low Wind</v>
      </c>
    </row>
    <row r="650" spans="1:20" x14ac:dyDescent="0.25">
      <c r="A650" s="7" t="s">
        <v>710</v>
      </c>
      <c r="B650" s="10">
        <v>45957</v>
      </c>
      <c r="C650" s="11" t="s">
        <v>52</v>
      </c>
      <c r="D650" s="11" t="s">
        <v>31</v>
      </c>
      <c r="E650" s="7" t="s">
        <v>27</v>
      </c>
      <c r="F650" s="9">
        <v>92.5</v>
      </c>
      <c r="G650" s="9">
        <v>159.5</v>
      </c>
      <c r="H650" s="9">
        <v>18</v>
      </c>
      <c r="I650" s="9">
        <v>7.6</v>
      </c>
      <c r="J650" s="9">
        <v>1.36</v>
      </c>
      <c r="K650" s="9">
        <v>38.9</v>
      </c>
      <c r="L650" s="7">
        <v>30.6</v>
      </c>
      <c r="M650" s="7">
        <v>50.4</v>
      </c>
      <c r="N650" s="7">
        <v>3.1</v>
      </c>
      <c r="O650" s="7">
        <v>323</v>
      </c>
      <c r="P650" s="7" t="s">
        <v>20</v>
      </c>
      <c r="Q650" s="7" t="str">
        <f t="shared" si="40"/>
        <v>VeryUnhealthy</v>
      </c>
      <c r="R650" s="7" t="str">
        <f t="shared" si="41"/>
        <v>Hot</v>
      </c>
      <c r="S650" s="7" t="str">
        <f t="shared" si="42"/>
        <v>Normal Humidity</v>
      </c>
      <c r="T650" s="7" t="str">
        <f t="shared" si="43"/>
        <v>Moderate Wind</v>
      </c>
    </row>
    <row r="651" spans="1:20" x14ac:dyDescent="0.25">
      <c r="A651" s="7" t="s">
        <v>711</v>
      </c>
      <c r="B651" s="10">
        <v>45787</v>
      </c>
      <c r="C651" s="11" t="s">
        <v>81</v>
      </c>
      <c r="D651" s="11" t="s">
        <v>39</v>
      </c>
      <c r="E651" s="7" t="s">
        <v>19</v>
      </c>
      <c r="F651" s="9">
        <v>29.3</v>
      </c>
      <c r="G651" s="9">
        <v>158.69999999999999</v>
      </c>
      <c r="H651" s="9">
        <v>46.8</v>
      </c>
      <c r="I651" s="9">
        <v>7.3</v>
      </c>
      <c r="J651" s="9">
        <v>1.93</v>
      </c>
      <c r="K651" s="9">
        <v>16.3</v>
      </c>
      <c r="L651" s="7">
        <v>27.9</v>
      </c>
      <c r="M651" s="7">
        <v>75.5</v>
      </c>
      <c r="N651" s="7">
        <v>0.7</v>
      </c>
      <c r="O651" s="7">
        <v>248</v>
      </c>
      <c r="P651" s="7" t="s">
        <v>28</v>
      </c>
      <c r="Q651" s="7" t="str">
        <f t="shared" si="40"/>
        <v>VeryUnhealthy</v>
      </c>
      <c r="R651" s="7" t="str">
        <f t="shared" si="41"/>
        <v>Normal</v>
      </c>
      <c r="S651" s="7" t="str">
        <f t="shared" si="42"/>
        <v>High Humidity</v>
      </c>
      <c r="T651" s="7" t="str">
        <f t="shared" si="43"/>
        <v>Low Wind</v>
      </c>
    </row>
    <row r="652" spans="1:20" x14ac:dyDescent="0.25">
      <c r="A652" s="7" t="s">
        <v>712</v>
      </c>
      <c r="B652" s="10">
        <v>45952</v>
      </c>
      <c r="C652" s="11" t="s">
        <v>42</v>
      </c>
      <c r="D652" s="11" t="s">
        <v>23</v>
      </c>
      <c r="E652" s="7" t="s">
        <v>45</v>
      </c>
      <c r="F652" s="9">
        <v>53.1</v>
      </c>
      <c r="G652" s="9">
        <v>119.7</v>
      </c>
      <c r="H652" s="9">
        <v>6.8</v>
      </c>
      <c r="I652" s="9">
        <v>32.6</v>
      </c>
      <c r="J652" s="9">
        <v>0.54</v>
      </c>
      <c r="K652" s="9">
        <v>17.399999999999999</v>
      </c>
      <c r="L652" s="7">
        <v>32.700000000000003</v>
      </c>
      <c r="M652" s="7">
        <v>58.9</v>
      </c>
      <c r="N652" s="7">
        <v>1.6</v>
      </c>
      <c r="O652" s="7">
        <v>212</v>
      </c>
      <c r="P652" s="7" t="s">
        <v>28</v>
      </c>
      <c r="Q652" s="7" t="str">
        <f t="shared" si="40"/>
        <v>Unhealthy</v>
      </c>
      <c r="R652" s="7" t="str">
        <f t="shared" si="41"/>
        <v>Hot</v>
      </c>
      <c r="S652" s="7" t="str">
        <f t="shared" si="42"/>
        <v>Normal Humidity</v>
      </c>
      <c r="T652" s="7" t="str">
        <f t="shared" si="43"/>
        <v>Low Wind</v>
      </c>
    </row>
    <row r="653" spans="1:20" x14ac:dyDescent="0.25">
      <c r="A653" s="7" t="s">
        <v>713</v>
      </c>
      <c r="B653" s="10">
        <v>45696</v>
      </c>
      <c r="C653" s="11" t="s">
        <v>52</v>
      </c>
      <c r="D653" s="11" t="s">
        <v>31</v>
      </c>
      <c r="E653" s="7" t="s">
        <v>32</v>
      </c>
      <c r="F653" s="9">
        <v>61.9</v>
      </c>
      <c r="G653" s="9">
        <v>64.2</v>
      </c>
      <c r="H653" s="9">
        <v>9.3000000000000007</v>
      </c>
      <c r="I653" s="9">
        <v>4.5</v>
      </c>
      <c r="J653" s="9">
        <v>0.78</v>
      </c>
      <c r="K653" s="9">
        <v>39.1</v>
      </c>
      <c r="L653" s="7">
        <v>27.4</v>
      </c>
      <c r="M653" s="7">
        <v>37.5</v>
      </c>
      <c r="N653" s="7">
        <v>2.1</v>
      </c>
      <c r="O653" s="7">
        <v>188</v>
      </c>
      <c r="P653" s="7" t="s">
        <v>33</v>
      </c>
      <c r="Q653" s="7" t="str">
        <f t="shared" si="40"/>
        <v>Moderate</v>
      </c>
      <c r="R653" s="7" t="str">
        <f t="shared" si="41"/>
        <v>Normal</v>
      </c>
      <c r="S653" s="7" t="str">
        <f t="shared" si="42"/>
        <v>Normal Humidity</v>
      </c>
      <c r="T653" s="7" t="str">
        <f t="shared" si="43"/>
        <v>Moderate Wind</v>
      </c>
    </row>
    <row r="654" spans="1:20" x14ac:dyDescent="0.25">
      <c r="A654" s="7" t="s">
        <v>714</v>
      </c>
      <c r="B654" s="10">
        <v>46022</v>
      </c>
      <c r="C654" s="11" t="s">
        <v>35</v>
      </c>
      <c r="D654" s="11" t="s">
        <v>36</v>
      </c>
      <c r="E654" s="7" t="s">
        <v>55</v>
      </c>
      <c r="F654" s="9">
        <v>34.9</v>
      </c>
      <c r="G654" s="9">
        <v>86.5</v>
      </c>
      <c r="H654" s="9">
        <v>56.2</v>
      </c>
      <c r="I654" s="9">
        <v>11.1</v>
      </c>
      <c r="J654" s="9">
        <v>0.69</v>
      </c>
      <c r="K654" s="9">
        <v>59.5</v>
      </c>
      <c r="L654" s="7">
        <v>32.299999999999997</v>
      </c>
      <c r="M654" s="7">
        <v>68.900000000000006</v>
      </c>
      <c r="N654" s="7">
        <v>1</v>
      </c>
      <c r="O654" s="7">
        <v>209</v>
      </c>
      <c r="P654" s="7" t="s">
        <v>28</v>
      </c>
      <c r="Q654" s="7" t="str">
        <f t="shared" si="40"/>
        <v>Moderate</v>
      </c>
      <c r="R654" s="7" t="str">
        <f t="shared" si="41"/>
        <v>Hot</v>
      </c>
      <c r="S654" s="7" t="str">
        <f t="shared" si="42"/>
        <v>High Humidity</v>
      </c>
      <c r="T654" s="7" t="str">
        <f t="shared" si="43"/>
        <v>Low Wind</v>
      </c>
    </row>
    <row r="655" spans="1:20" x14ac:dyDescent="0.25">
      <c r="A655" s="7" t="s">
        <v>715</v>
      </c>
      <c r="B655" s="10">
        <v>45792</v>
      </c>
      <c r="C655" s="11" t="s">
        <v>35</v>
      </c>
      <c r="D655" s="11" t="s">
        <v>36</v>
      </c>
      <c r="E655" s="7" t="s">
        <v>32</v>
      </c>
      <c r="F655" s="9">
        <v>45.2</v>
      </c>
      <c r="G655" s="9">
        <v>51.6</v>
      </c>
      <c r="H655" s="9">
        <v>23.1</v>
      </c>
      <c r="I655" s="9">
        <v>24.4</v>
      </c>
      <c r="J655" s="9">
        <v>0.81</v>
      </c>
      <c r="K655" s="9">
        <v>39.4</v>
      </c>
      <c r="L655" s="7">
        <v>35.299999999999997</v>
      </c>
      <c r="M655" s="7">
        <v>36.299999999999997</v>
      </c>
      <c r="N655" s="7">
        <v>2.7</v>
      </c>
      <c r="O655" s="7">
        <v>179</v>
      </c>
      <c r="P655" s="7" t="s">
        <v>33</v>
      </c>
      <c r="Q655" s="7" t="str">
        <f t="shared" si="40"/>
        <v>Moderate</v>
      </c>
      <c r="R655" s="7" t="str">
        <f t="shared" si="41"/>
        <v>Hot</v>
      </c>
      <c r="S655" s="7" t="str">
        <f t="shared" si="42"/>
        <v>Normal Humidity</v>
      </c>
      <c r="T655" s="7" t="str">
        <f t="shared" si="43"/>
        <v>Moderate Wind</v>
      </c>
    </row>
    <row r="656" spans="1:20" x14ac:dyDescent="0.25">
      <c r="A656" s="7" t="s">
        <v>716</v>
      </c>
      <c r="B656" s="10">
        <v>45720</v>
      </c>
      <c r="C656" s="11" t="s">
        <v>52</v>
      </c>
      <c r="D656" s="11" t="s">
        <v>31</v>
      </c>
      <c r="E656" s="7" t="s">
        <v>70</v>
      </c>
      <c r="F656" s="9">
        <v>49.8</v>
      </c>
      <c r="G656" s="9">
        <v>46</v>
      </c>
      <c r="H656" s="9">
        <v>19.399999999999999</v>
      </c>
      <c r="I656" s="9">
        <v>11.5</v>
      </c>
      <c r="J656" s="9">
        <v>0.3</v>
      </c>
      <c r="K656" s="9">
        <v>29.9</v>
      </c>
      <c r="L656" s="7">
        <v>24.7</v>
      </c>
      <c r="M656" s="7">
        <v>34.799999999999997</v>
      </c>
      <c r="N656" s="7">
        <v>0.8</v>
      </c>
      <c r="O656" s="7">
        <v>154</v>
      </c>
      <c r="P656" s="7" t="s">
        <v>33</v>
      </c>
      <c r="Q656" s="7" t="str">
        <f t="shared" si="40"/>
        <v>Good</v>
      </c>
      <c r="R656" s="7" t="str">
        <f t="shared" si="41"/>
        <v>Normal</v>
      </c>
      <c r="S656" s="7" t="str">
        <f t="shared" si="42"/>
        <v>Normal Humidity</v>
      </c>
      <c r="T656" s="7" t="str">
        <f t="shared" si="43"/>
        <v>Low Wind</v>
      </c>
    </row>
    <row r="657" spans="1:20" x14ac:dyDescent="0.25">
      <c r="A657" s="7" t="s">
        <v>717</v>
      </c>
      <c r="B657" s="10">
        <v>45661</v>
      </c>
      <c r="C657" s="11" t="s">
        <v>38</v>
      </c>
      <c r="D657" s="11" t="s">
        <v>39</v>
      </c>
      <c r="E657" s="7" t="s">
        <v>43</v>
      </c>
      <c r="F657" s="9">
        <v>58.9</v>
      </c>
      <c r="G657" s="9">
        <v>142.69999999999999</v>
      </c>
      <c r="H657" s="9">
        <v>41</v>
      </c>
      <c r="I657" s="9">
        <v>7.8</v>
      </c>
      <c r="J657" s="9">
        <v>0.27</v>
      </c>
      <c r="K657" s="9">
        <v>9.8000000000000007</v>
      </c>
      <c r="L657" s="7">
        <v>32.6</v>
      </c>
      <c r="M657" s="7">
        <v>62.7</v>
      </c>
      <c r="N657" s="7">
        <v>1.1000000000000001</v>
      </c>
      <c r="O657" s="7">
        <v>236</v>
      </c>
      <c r="P657" s="7" t="s">
        <v>28</v>
      </c>
      <c r="Q657" s="7" t="str">
        <f t="shared" si="40"/>
        <v>Unhealthy</v>
      </c>
      <c r="R657" s="7" t="str">
        <f t="shared" si="41"/>
        <v>Hot</v>
      </c>
      <c r="S657" s="7" t="str">
        <f t="shared" si="42"/>
        <v>High Humidity</v>
      </c>
      <c r="T657" s="7" t="str">
        <f t="shared" si="43"/>
        <v>Low Wind</v>
      </c>
    </row>
    <row r="658" spans="1:20" x14ac:dyDescent="0.25">
      <c r="A658" s="7" t="s">
        <v>718</v>
      </c>
      <c r="B658" s="10">
        <v>45931</v>
      </c>
      <c r="C658" s="11" t="s">
        <v>22</v>
      </c>
      <c r="D658" s="11" t="s">
        <v>23</v>
      </c>
      <c r="E658" s="7" t="s">
        <v>19</v>
      </c>
      <c r="F658" s="9">
        <v>48.5</v>
      </c>
      <c r="G658" s="9">
        <v>103</v>
      </c>
      <c r="H658" s="9">
        <v>45.9</v>
      </c>
      <c r="I658" s="9">
        <v>16</v>
      </c>
      <c r="J658" s="9">
        <v>0.73</v>
      </c>
      <c r="K658" s="9">
        <v>9.4</v>
      </c>
      <c r="L658" s="7">
        <v>19.7</v>
      </c>
      <c r="M658" s="7">
        <v>66</v>
      </c>
      <c r="N658" s="7">
        <v>3.1</v>
      </c>
      <c r="O658" s="7">
        <v>215</v>
      </c>
      <c r="P658" s="7" t="s">
        <v>28</v>
      </c>
      <c r="Q658" s="7" t="str">
        <f t="shared" si="40"/>
        <v>Unhealthy</v>
      </c>
      <c r="R658" s="7" t="str">
        <f t="shared" si="41"/>
        <v>Cool</v>
      </c>
      <c r="S658" s="7" t="str">
        <f t="shared" si="42"/>
        <v>High Humidity</v>
      </c>
      <c r="T658" s="7" t="str">
        <f t="shared" si="43"/>
        <v>Moderate Wind</v>
      </c>
    </row>
    <row r="659" spans="1:20" x14ac:dyDescent="0.25">
      <c r="A659" s="7" t="s">
        <v>719</v>
      </c>
      <c r="B659" s="10">
        <v>45731</v>
      </c>
      <c r="C659" s="11" t="s">
        <v>54</v>
      </c>
      <c r="D659" s="11" t="s">
        <v>18</v>
      </c>
      <c r="E659" s="7" t="s">
        <v>43</v>
      </c>
      <c r="F659" s="9">
        <v>48.6</v>
      </c>
      <c r="G659" s="9">
        <v>76.400000000000006</v>
      </c>
      <c r="H659" s="9">
        <v>16.399999999999999</v>
      </c>
      <c r="I659" s="9">
        <v>10.5</v>
      </c>
      <c r="J659" s="9">
        <v>1.63</v>
      </c>
      <c r="K659" s="9">
        <v>100.5</v>
      </c>
      <c r="L659" s="7">
        <v>29.3</v>
      </c>
      <c r="M659" s="7">
        <v>69.099999999999994</v>
      </c>
      <c r="N659" s="7">
        <v>3.7</v>
      </c>
      <c r="O659" s="7">
        <v>234</v>
      </c>
      <c r="P659" s="7" t="s">
        <v>28</v>
      </c>
      <c r="Q659" s="7" t="str">
        <f t="shared" si="40"/>
        <v>Moderate</v>
      </c>
      <c r="R659" s="7" t="str">
        <f t="shared" si="41"/>
        <v>Normal</v>
      </c>
      <c r="S659" s="7" t="str">
        <f t="shared" si="42"/>
        <v>High Humidity</v>
      </c>
      <c r="T659" s="7" t="str">
        <f t="shared" si="43"/>
        <v>Moderate Wind</v>
      </c>
    </row>
    <row r="660" spans="1:20" x14ac:dyDescent="0.25">
      <c r="A660" s="7" t="s">
        <v>720</v>
      </c>
      <c r="B660" s="10">
        <v>45660</v>
      </c>
      <c r="C660" s="11" t="s">
        <v>99</v>
      </c>
      <c r="D660" s="11" t="s">
        <v>36</v>
      </c>
      <c r="E660" s="7" t="s">
        <v>55</v>
      </c>
      <c r="F660" s="9">
        <v>28</v>
      </c>
      <c r="G660" s="9">
        <v>95.3</v>
      </c>
      <c r="H660" s="9">
        <v>15.5</v>
      </c>
      <c r="I660" s="9">
        <v>6.4</v>
      </c>
      <c r="J660" s="9">
        <v>0.16</v>
      </c>
      <c r="K660" s="9">
        <v>49</v>
      </c>
      <c r="L660" s="7">
        <v>20.100000000000001</v>
      </c>
      <c r="M660" s="7">
        <v>71.599999999999994</v>
      </c>
      <c r="N660" s="7">
        <v>3.1</v>
      </c>
      <c r="O660" s="7">
        <v>150</v>
      </c>
      <c r="P660" s="7" t="s">
        <v>33</v>
      </c>
      <c r="Q660" s="7" t="str">
        <f t="shared" si="40"/>
        <v>Moderate</v>
      </c>
      <c r="R660" s="7" t="str">
        <f t="shared" si="41"/>
        <v>Normal</v>
      </c>
      <c r="S660" s="7" t="str">
        <f t="shared" si="42"/>
        <v>High Humidity</v>
      </c>
      <c r="T660" s="7" t="str">
        <f t="shared" si="43"/>
        <v>Moderate Wind</v>
      </c>
    </row>
    <row r="661" spans="1:20" x14ac:dyDescent="0.25">
      <c r="A661" s="7" t="s">
        <v>721</v>
      </c>
      <c r="B661" s="10">
        <v>45711</v>
      </c>
      <c r="C661" s="11" t="s">
        <v>17</v>
      </c>
      <c r="D661" s="11" t="s">
        <v>18</v>
      </c>
      <c r="E661" s="7" t="s">
        <v>19</v>
      </c>
      <c r="F661" s="9">
        <v>51.9</v>
      </c>
      <c r="G661" s="9">
        <v>50.8</v>
      </c>
      <c r="H661" s="9">
        <v>76.2</v>
      </c>
      <c r="I661" s="9">
        <v>24.3</v>
      </c>
      <c r="J661" s="9">
        <v>0.65</v>
      </c>
      <c r="K661" s="9">
        <v>34.9</v>
      </c>
      <c r="L661" s="7">
        <v>27.8</v>
      </c>
      <c r="M661" s="7">
        <v>70.7</v>
      </c>
      <c r="N661" s="7">
        <v>2.7</v>
      </c>
      <c r="O661" s="7">
        <v>226</v>
      </c>
      <c r="P661" s="7" t="s">
        <v>28</v>
      </c>
      <c r="Q661" s="7" t="str">
        <f t="shared" si="40"/>
        <v>Moderate</v>
      </c>
      <c r="R661" s="7" t="str">
        <f t="shared" si="41"/>
        <v>Normal</v>
      </c>
      <c r="S661" s="7" t="str">
        <f t="shared" si="42"/>
        <v>High Humidity</v>
      </c>
      <c r="T661" s="7" t="str">
        <f t="shared" si="43"/>
        <v>Moderate Wind</v>
      </c>
    </row>
    <row r="662" spans="1:20" x14ac:dyDescent="0.25">
      <c r="A662" s="7" t="s">
        <v>722</v>
      </c>
      <c r="B662" s="10">
        <v>45817</v>
      </c>
      <c r="C662" s="11" t="s">
        <v>99</v>
      </c>
      <c r="D662" s="11" t="s">
        <v>36</v>
      </c>
      <c r="E662" s="7" t="s">
        <v>32</v>
      </c>
      <c r="F662" s="9">
        <v>85</v>
      </c>
      <c r="G662" s="9">
        <v>18.8</v>
      </c>
      <c r="H662" s="9">
        <v>19.5</v>
      </c>
      <c r="I662" s="9">
        <v>7.8</v>
      </c>
      <c r="J662" s="9">
        <v>0.41</v>
      </c>
      <c r="K662" s="9">
        <v>25.9</v>
      </c>
      <c r="L662" s="7">
        <v>19.399999999999999</v>
      </c>
      <c r="M662" s="7">
        <v>81.3</v>
      </c>
      <c r="N662" s="7">
        <v>2.2999999999999998</v>
      </c>
      <c r="O662" s="7">
        <v>191</v>
      </c>
      <c r="P662" s="7" t="s">
        <v>33</v>
      </c>
      <c r="Q662" s="7" t="str">
        <f t="shared" si="40"/>
        <v>Good</v>
      </c>
      <c r="R662" s="7" t="str">
        <f t="shared" si="41"/>
        <v>Cool</v>
      </c>
      <c r="S662" s="7" t="str">
        <f t="shared" si="42"/>
        <v>High Humidity</v>
      </c>
      <c r="T662" s="7" t="str">
        <f t="shared" si="43"/>
        <v>Moderate Wind</v>
      </c>
    </row>
    <row r="663" spans="1:20" x14ac:dyDescent="0.25">
      <c r="A663" s="7" t="s">
        <v>723</v>
      </c>
      <c r="B663" s="10">
        <v>46014</v>
      </c>
      <c r="C663" s="11" t="s">
        <v>64</v>
      </c>
      <c r="D663" s="11" t="s">
        <v>36</v>
      </c>
      <c r="E663" s="7" t="s">
        <v>74</v>
      </c>
      <c r="F663" s="9">
        <v>105.7</v>
      </c>
      <c r="G663" s="9">
        <v>106.3</v>
      </c>
      <c r="H663" s="9">
        <v>13.8</v>
      </c>
      <c r="I663" s="9">
        <v>8</v>
      </c>
      <c r="J663" s="9">
        <v>1.52</v>
      </c>
      <c r="K663" s="9">
        <v>19.7</v>
      </c>
      <c r="L663" s="7">
        <v>24.3</v>
      </c>
      <c r="M663" s="7">
        <v>67</v>
      </c>
      <c r="N663" s="7">
        <v>2.7</v>
      </c>
      <c r="O663" s="7">
        <v>302</v>
      </c>
      <c r="P663" s="7" t="s">
        <v>20</v>
      </c>
      <c r="Q663" s="7" t="str">
        <f t="shared" si="40"/>
        <v>Unhealthy</v>
      </c>
      <c r="R663" s="7" t="str">
        <f t="shared" si="41"/>
        <v>Normal</v>
      </c>
      <c r="S663" s="7" t="str">
        <f t="shared" si="42"/>
        <v>High Humidity</v>
      </c>
      <c r="T663" s="7" t="str">
        <f t="shared" si="43"/>
        <v>Moderate Wind</v>
      </c>
    </row>
    <row r="664" spans="1:20" x14ac:dyDescent="0.25">
      <c r="A664" s="7" t="s">
        <v>724</v>
      </c>
      <c r="B664" s="10">
        <v>45872</v>
      </c>
      <c r="C664" s="11" t="s">
        <v>50</v>
      </c>
      <c r="D664" s="11" t="s">
        <v>31</v>
      </c>
      <c r="E664" s="7" t="s">
        <v>55</v>
      </c>
      <c r="F664" s="9">
        <v>16.100000000000001</v>
      </c>
      <c r="G664" s="9">
        <v>62.7</v>
      </c>
      <c r="H664" s="9">
        <v>33.5</v>
      </c>
      <c r="I664" s="9">
        <v>12.8</v>
      </c>
      <c r="J664" s="9">
        <v>0.19</v>
      </c>
      <c r="K664" s="9">
        <v>33.700000000000003</v>
      </c>
      <c r="L664" s="7">
        <v>29.6</v>
      </c>
      <c r="M664" s="7">
        <v>53.2</v>
      </c>
      <c r="N664" s="7">
        <v>2.2999999999999998</v>
      </c>
      <c r="O664" s="7">
        <v>122</v>
      </c>
      <c r="P664" s="7" t="s">
        <v>33</v>
      </c>
      <c r="Q664" s="7" t="str">
        <f t="shared" si="40"/>
        <v>Moderate</v>
      </c>
      <c r="R664" s="7" t="str">
        <f t="shared" si="41"/>
        <v>Normal</v>
      </c>
      <c r="S664" s="7" t="str">
        <f t="shared" si="42"/>
        <v>Normal Humidity</v>
      </c>
      <c r="T664" s="7" t="str">
        <f t="shared" si="43"/>
        <v>Moderate Wind</v>
      </c>
    </row>
    <row r="665" spans="1:20" x14ac:dyDescent="0.25">
      <c r="A665" s="7" t="s">
        <v>725</v>
      </c>
      <c r="B665" s="10">
        <v>45816</v>
      </c>
      <c r="C665" s="11" t="s">
        <v>54</v>
      </c>
      <c r="D665" s="11" t="s">
        <v>18</v>
      </c>
      <c r="E665" s="7" t="s">
        <v>55</v>
      </c>
      <c r="F665" s="9">
        <v>46.8</v>
      </c>
      <c r="G665" s="9">
        <v>126.8</v>
      </c>
      <c r="H665" s="9">
        <v>22.1</v>
      </c>
      <c r="I665" s="9">
        <v>29</v>
      </c>
      <c r="J665" s="9">
        <v>1.1000000000000001</v>
      </c>
      <c r="K665" s="9">
        <v>38.4</v>
      </c>
      <c r="L665" s="7">
        <v>24</v>
      </c>
      <c r="M665" s="7">
        <v>65.099999999999994</v>
      </c>
      <c r="N665" s="7">
        <v>2.5</v>
      </c>
      <c r="O665" s="7">
        <v>240</v>
      </c>
      <c r="P665" s="7" t="s">
        <v>28</v>
      </c>
      <c r="Q665" s="7" t="str">
        <f t="shared" si="40"/>
        <v>Unhealthy</v>
      </c>
      <c r="R665" s="7" t="str">
        <f t="shared" si="41"/>
        <v>Normal</v>
      </c>
      <c r="S665" s="7" t="str">
        <f t="shared" si="42"/>
        <v>High Humidity</v>
      </c>
      <c r="T665" s="7" t="str">
        <f t="shared" si="43"/>
        <v>Moderate Wind</v>
      </c>
    </row>
    <row r="666" spans="1:20" x14ac:dyDescent="0.25">
      <c r="A666" s="7" t="s">
        <v>726</v>
      </c>
      <c r="B666" s="10">
        <v>45856</v>
      </c>
      <c r="C666" s="11" t="s">
        <v>35</v>
      </c>
      <c r="D666" s="11" t="s">
        <v>36</v>
      </c>
      <c r="E666" s="7" t="s">
        <v>68</v>
      </c>
      <c r="F666" s="9">
        <v>26</v>
      </c>
      <c r="G666" s="9">
        <v>125.4</v>
      </c>
      <c r="H666" s="9">
        <v>7.4</v>
      </c>
      <c r="I666" s="9">
        <v>3.5</v>
      </c>
      <c r="J666" s="9">
        <v>1.29</v>
      </c>
      <c r="K666" s="9">
        <v>26.5</v>
      </c>
      <c r="L666" s="7">
        <v>34.700000000000003</v>
      </c>
      <c r="M666" s="7">
        <v>47.6</v>
      </c>
      <c r="N666" s="7">
        <v>3.1</v>
      </c>
      <c r="O666" s="7">
        <v>176</v>
      </c>
      <c r="P666" s="7" t="s">
        <v>33</v>
      </c>
      <c r="Q666" s="7" t="str">
        <f t="shared" si="40"/>
        <v>Unhealthy</v>
      </c>
      <c r="R666" s="7" t="str">
        <f t="shared" si="41"/>
        <v>Hot</v>
      </c>
      <c r="S666" s="7" t="str">
        <f t="shared" si="42"/>
        <v>Normal Humidity</v>
      </c>
      <c r="T666" s="7" t="str">
        <f t="shared" si="43"/>
        <v>Moderate Wind</v>
      </c>
    </row>
    <row r="667" spans="1:20" x14ac:dyDescent="0.25">
      <c r="A667" s="7" t="s">
        <v>727</v>
      </c>
      <c r="B667" s="10">
        <v>45858</v>
      </c>
      <c r="C667" s="11" t="s">
        <v>99</v>
      </c>
      <c r="D667" s="11" t="s">
        <v>36</v>
      </c>
      <c r="E667" s="7" t="s">
        <v>97</v>
      </c>
      <c r="F667" s="9">
        <v>38.1</v>
      </c>
      <c r="G667" s="9">
        <v>177.5</v>
      </c>
      <c r="H667" s="9">
        <v>24.2</v>
      </c>
      <c r="I667" s="9">
        <v>3.5</v>
      </c>
      <c r="J667" s="9">
        <v>0.55000000000000004</v>
      </c>
      <c r="K667" s="9">
        <v>56.7</v>
      </c>
      <c r="L667" s="7">
        <v>33.200000000000003</v>
      </c>
      <c r="M667" s="7">
        <v>27.3</v>
      </c>
      <c r="N667" s="7">
        <v>3.4</v>
      </c>
      <c r="O667" s="7">
        <v>237</v>
      </c>
      <c r="P667" s="7" t="s">
        <v>28</v>
      </c>
      <c r="Q667" s="7" t="str">
        <f t="shared" si="40"/>
        <v>VeryUnhealthy</v>
      </c>
      <c r="R667" s="7" t="str">
        <f t="shared" si="41"/>
        <v>Hot</v>
      </c>
      <c r="S667" s="7" t="str">
        <f t="shared" si="42"/>
        <v>Low Humidity</v>
      </c>
      <c r="T667" s="7" t="str">
        <f t="shared" si="43"/>
        <v>Moderate Wind</v>
      </c>
    </row>
    <row r="668" spans="1:20" x14ac:dyDescent="0.25">
      <c r="A668" s="7" t="s">
        <v>728</v>
      </c>
      <c r="B668" s="10">
        <v>45718</v>
      </c>
      <c r="C668" s="11" t="s">
        <v>81</v>
      </c>
      <c r="D668" s="11" t="s">
        <v>39</v>
      </c>
      <c r="E668" s="7" t="s">
        <v>97</v>
      </c>
      <c r="F668" s="9">
        <v>63.3</v>
      </c>
      <c r="G668" s="9">
        <v>21.2</v>
      </c>
      <c r="H668" s="9">
        <v>23.2</v>
      </c>
      <c r="I668" s="9">
        <v>16.899999999999999</v>
      </c>
      <c r="J668" s="9">
        <v>0.62</v>
      </c>
      <c r="K668" s="9">
        <v>12.2</v>
      </c>
      <c r="L668" s="7">
        <v>27.6</v>
      </c>
      <c r="M668" s="7">
        <v>54.1</v>
      </c>
      <c r="N668" s="7">
        <v>0.8</v>
      </c>
      <c r="O668" s="7">
        <v>166</v>
      </c>
      <c r="P668" s="7" t="s">
        <v>33</v>
      </c>
      <c r="Q668" s="7" t="str">
        <f t="shared" si="40"/>
        <v>Good</v>
      </c>
      <c r="R668" s="7" t="str">
        <f t="shared" si="41"/>
        <v>Normal</v>
      </c>
      <c r="S668" s="7" t="str">
        <f t="shared" si="42"/>
        <v>Normal Humidity</v>
      </c>
      <c r="T668" s="7" t="str">
        <f t="shared" si="43"/>
        <v>Low Wind</v>
      </c>
    </row>
    <row r="669" spans="1:20" x14ac:dyDescent="0.25">
      <c r="A669" s="7" t="s">
        <v>729</v>
      </c>
      <c r="B669" s="10">
        <v>45678</v>
      </c>
      <c r="C669" s="11" t="s">
        <v>30</v>
      </c>
      <c r="D669" s="11" t="s">
        <v>31</v>
      </c>
      <c r="E669" s="7" t="s">
        <v>58</v>
      </c>
      <c r="F669" s="9">
        <v>22.7</v>
      </c>
      <c r="G669" s="9">
        <v>87.3</v>
      </c>
      <c r="H669" s="9">
        <v>20</v>
      </c>
      <c r="I669" s="9">
        <v>5.3</v>
      </c>
      <c r="J669" s="9">
        <v>0.44</v>
      </c>
      <c r="K669" s="9">
        <v>56.3</v>
      </c>
      <c r="L669" s="7">
        <v>26.1</v>
      </c>
      <c r="M669" s="7">
        <v>86.2</v>
      </c>
      <c r="N669" s="7">
        <v>1.1000000000000001</v>
      </c>
      <c r="O669" s="7">
        <v>149</v>
      </c>
      <c r="P669" s="7" t="s">
        <v>33</v>
      </c>
      <c r="Q669" s="7" t="str">
        <f t="shared" si="40"/>
        <v>Moderate</v>
      </c>
      <c r="R669" s="7" t="str">
        <f t="shared" si="41"/>
        <v>Normal</v>
      </c>
      <c r="S669" s="7" t="str">
        <f t="shared" si="42"/>
        <v>High Humidity</v>
      </c>
      <c r="T669" s="7" t="str">
        <f t="shared" si="43"/>
        <v>Low Wind</v>
      </c>
    </row>
    <row r="670" spans="1:20" x14ac:dyDescent="0.25">
      <c r="A670" s="7" t="s">
        <v>730</v>
      </c>
      <c r="B670" s="10">
        <v>45715</v>
      </c>
      <c r="C670" s="11" t="s">
        <v>81</v>
      </c>
      <c r="D670" s="11" t="s">
        <v>39</v>
      </c>
      <c r="E670" s="7" t="s">
        <v>19</v>
      </c>
      <c r="F670" s="9">
        <v>31.8</v>
      </c>
      <c r="G670" s="9">
        <v>110.9</v>
      </c>
      <c r="H670" s="9">
        <v>29.1</v>
      </c>
      <c r="I670" s="9">
        <v>17.899999999999999</v>
      </c>
      <c r="J670" s="9">
        <v>0.35</v>
      </c>
      <c r="K670" s="9">
        <v>27.9</v>
      </c>
      <c r="L670" s="7">
        <v>29.5</v>
      </c>
      <c r="M670" s="7">
        <v>49</v>
      </c>
      <c r="N670" s="7">
        <v>0.1</v>
      </c>
      <c r="O670" s="7">
        <v>180</v>
      </c>
      <c r="P670" s="7" t="s">
        <v>33</v>
      </c>
      <c r="Q670" s="7" t="str">
        <f t="shared" si="40"/>
        <v>Unhealthy</v>
      </c>
      <c r="R670" s="7" t="str">
        <f t="shared" si="41"/>
        <v>Normal</v>
      </c>
      <c r="S670" s="7" t="str">
        <f t="shared" si="42"/>
        <v>Normal Humidity</v>
      </c>
      <c r="T670" s="7" t="str">
        <f t="shared" si="43"/>
        <v>Low Wind</v>
      </c>
    </row>
    <row r="671" spans="1:20" x14ac:dyDescent="0.25">
      <c r="A671" s="7" t="s">
        <v>731</v>
      </c>
      <c r="B671" s="10">
        <v>45679</v>
      </c>
      <c r="C671" s="11" t="s">
        <v>52</v>
      </c>
      <c r="D671" s="11" t="s">
        <v>31</v>
      </c>
      <c r="E671" s="7" t="s">
        <v>68</v>
      </c>
      <c r="F671" s="9">
        <v>34.5</v>
      </c>
      <c r="G671" s="9">
        <v>87.6</v>
      </c>
      <c r="H671" s="9">
        <v>45.1</v>
      </c>
      <c r="I671" s="9">
        <v>4.2</v>
      </c>
      <c r="J671" s="9">
        <v>1.08</v>
      </c>
      <c r="K671" s="9">
        <v>41.8</v>
      </c>
      <c r="L671" s="7">
        <v>26.4</v>
      </c>
      <c r="M671" s="7">
        <v>54.3</v>
      </c>
      <c r="N671" s="7">
        <v>3.3</v>
      </c>
      <c r="O671" s="7">
        <v>197</v>
      </c>
      <c r="P671" s="7" t="s">
        <v>33</v>
      </c>
      <c r="Q671" s="7" t="str">
        <f t="shared" si="40"/>
        <v>Moderate</v>
      </c>
      <c r="R671" s="7" t="str">
        <f t="shared" si="41"/>
        <v>Normal</v>
      </c>
      <c r="S671" s="7" t="str">
        <f t="shared" si="42"/>
        <v>Normal Humidity</v>
      </c>
      <c r="T671" s="7" t="str">
        <f t="shared" si="43"/>
        <v>Moderate Wind</v>
      </c>
    </row>
    <row r="672" spans="1:20" x14ac:dyDescent="0.25">
      <c r="A672" s="7" t="s">
        <v>732</v>
      </c>
      <c r="B672" s="10">
        <v>45924</v>
      </c>
      <c r="C672" s="11" t="s">
        <v>17</v>
      </c>
      <c r="D672" s="11" t="s">
        <v>18</v>
      </c>
      <c r="E672" s="7" t="s">
        <v>24</v>
      </c>
      <c r="F672" s="9">
        <v>45.8</v>
      </c>
      <c r="G672" s="9">
        <v>115.3</v>
      </c>
      <c r="H672" s="9">
        <v>10.8</v>
      </c>
      <c r="I672" s="9">
        <v>5.7</v>
      </c>
      <c r="J672" s="9">
        <v>0.3</v>
      </c>
      <c r="K672" s="9">
        <v>65.3</v>
      </c>
      <c r="L672" s="7">
        <v>24.3</v>
      </c>
      <c r="M672" s="7">
        <v>61.3</v>
      </c>
      <c r="N672" s="7">
        <v>2.2000000000000002</v>
      </c>
      <c r="O672" s="7">
        <v>198</v>
      </c>
      <c r="P672" s="7" t="s">
        <v>33</v>
      </c>
      <c r="Q672" s="7" t="str">
        <f t="shared" si="40"/>
        <v>Unhealthy</v>
      </c>
      <c r="R672" s="7" t="str">
        <f t="shared" si="41"/>
        <v>Normal</v>
      </c>
      <c r="S672" s="7" t="str">
        <f t="shared" si="42"/>
        <v>High Humidity</v>
      </c>
      <c r="T672" s="7" t="str">
        <f t="shared" si="43"/>
        <v>Moderate Wind</v>
      </c>
    </row>
    <row r="673" spans="1:20" x14ac:dyDescent="0.25">
      <c r="A673" s="7" t="s">
        <v>733</v>
      </c>
      <c r="B673" s="10">
        <v>45877</v>
      </c>
      <c r="C673" s="11" t="s">
        <v>99</v>
      </c>
      <c r="D673" s="11" t="s">
        <v>36</v>
      </c>
      <c r="E673" s="7" t="s">
        <v>97</v>
      </c>
      <c r="F673" s="9">
        <v>53.4</v>
      </c>
      <c r="G673" s="9">
        <v>77.099999999999994</v>
      </c>
      <c r="H673" s="9">
        <v>54.4</v>
      </c>
      <c r="I673" s="9">
        <v>13</v>
      </c>
      <c r="J673" s="9">
        <v>0.17</v>
      </c>
      <c r="K673" s="9">
        <v>24.1</v>
      </c>
      <c r="L673" s="7">
        <v>23.9</v>
      </c>
      <c r="M673" s="7">
        <v>70.7</v>
      </c>
      <c r="N673" s="7">
        <v>1.8</v>
      </c>
      <c r="O673" s="7">
        <v>203</v>
      </c>
      <c r="P673" s="7" t="s">
        <v>28</v>
      </c>
      <c r="Q673" s="7" t="str">
        <f t="shared" si="40"/>
        <v>Moderate</v>
      </c>
      <c r="R673" s="7" t="str">
        <f t="shared" si="41"/>
        <v>Normal</v>
      </c>
      <c r="S673" s="7" t="str">
        <f t="shared" si="42"/>
        <v>High Humidity</v>
      </c>
      <c r="T673" s="7" t="str">
        <f t="shared" si="43"/>
        <v>Low Wind</v>
      </c>
    </row>
    <row r="674" spans="1:20" x14ac:dyDescent="0.25">
      <c r="A674" s="7" t="s">
        <v>734</v>
      </c>
      <c r="B674" s="10">
        <v>45927</v>
      </c>
      <c r="C674" s="11" t="s">
        <v>17</v>
      </c>
      <c r="D674" s="11" t="s">
        <v>18</v>
      </c>
      <c r="E674" s="7" t="s">
        <v>40</v>
      </c>
      <c r="F674" s="9">
        <v>77.400000000000006</v>
      </c>
      <c r="G674" s="9">
        <v>107.3</v>
      </c>
      <c r="H674" s="9">
        <v>33.9</v>
      </c>
      <c r="I674" s="9">
        <v>4.8</v>
      </c>
      <c r="J674" s="9">
        <v>0.97</v>
      </c>
      <c r="K674" s="9">
        <v>15</v>
      </c>
      <c r="L674" s="7">
        <v>18.600000000000001</v>
      </c>
      <c r="M674" s="7">
        <v>78.900000000000006</v>
      </c>
      <c r="N674" s="7">
        <v>1.8</v>
      </c>
      <c r="O674" s="7">
        <v>255</v>
      </c>
      <c r="P674" s="7" t="s">
        <v>28</v>
      </c>
      <c r="Q674" s="7" t="str">
        <f t="shared" si="40"/>
        <v>Unhealthy</v>
      </c>
      <c r="R674" s="7" t="str">
        <f t="shared" si="41"/>
        <v>Cool</v>
      </c>
      <c r="S674" s="7" t="str">
        <f t="shared" si="42"/>
        <v>High Humidity</v>
      </c>
      <c r="T674" s="7" t="str">
        <f t="shared" si="43"/>
        <v>Low Wind</v>
      </c>
    </row>
    <row r="675" spans="1:20" x14ac:dyDescent="0.25">
      <c r="A675" s="7" t="s">
        <v>735</v>
      </c>
      <c r="B675" s="10">
        <v>45781</v>
      </c>
      <c r="C675" s="11" t="s">
        <v>17</v>
      </c>
      <c r="D675" s="11" t="s">
        <v>18</v>
      </c>
      <c r="E675" s="7" t="s">
        <v>97</v>
      </c>
      <c r="F675" s="9">
        <v>17</v>
      </c>
      <c r="G675" s="9">
        <v>76.900000000000006</v>
      </c>
      <c r="H675" s="9">
        <v>43.4</v>
      </c>
      <c r="I675" s="9">
        <v>8.8000000000000007</v>
      </c>
      <c r="J675" s="9">
        <v>1.56</v>
      </c>
      <c r="K675" s="9">
        <v>85.1</v>
      </c>
      <c r="L675" s="7">
        <v>25.4</v>
      </c>
      <c r="M675" s="7">
        <v>86</v>
      </c>
      <c r="N675" s="7">
        <v>1.9</v>
      </c>
      <c r="O675" s="7">
        <v>195</v>
      </c>
      <c r="P675" s="7" t="s">
        <v>33</v>
      </c>
      <c r="Q675" s="7" t="str">
        <f t="shared" si="40"/>
        <v>Moderate</v>
      </c>
      <c r="R675" s="7" t="str">
        <f t="shared" si="41"/>
        <v>Normal</v>
      </c>
      <c r="S675" s="7" t="str">
        <f t="shared" si="42"/>
        <v>High Humidity</v>
      </c>
      <c r="T675" s="7" t="str">
        <f t="shared" si="43"/>
        <v>Low Wind</v>
      </c>
    </row>
    <row r="676" spans="1:20" x14ac:dyDescent="0.25">
      <c r="A676" s="7" t="s">
        <v>736</v>
      </c>
      <c r="B676" s="10">
        <v>45843</v>
      </c>
      <c r="C676" s="11" t="s">
        <v>67</v>
      </c>
      <c r="D676" s="11" t="s">
        <v>18</v>
      </c>
      <c r="E676" s="7" t="s">
        <v>91</v>
      </c>
      <c r="F676" s="9">
        <v>90.8</v>
      </c>
      <c r="G676" s="9">
        <v>86.8</v>
      </c>
      <c r="H676" s="9">
        <v>33.700000000000003</v>
      </c>
      <c r="I676" s="9">
        <v>17.100000000000001</v>
      </c>
      <c r="J676" s="9">
        <v>0.26</v>
      </c>
      <c r="K676" s="9">
        <v>25.9</v>
      </c>
      <c r="L676" s="7">
        <v>32.4</v>
      </c>
      <c r="M676" s="7">
        <v>75.400000000000006</v>
      </c>
      <c r="N676" s="7">
        <v>3</v>
      </c>
      <c r="O676" s="7">
        <v>259</v>
      </c>
      <c r="P676" s="7" t="s">
        <v>28</v>
      </c>
      <c r="Q676" s="7" t="str">
        <f t="shared" si="40"/>
        <v>Moderate</v>
      </c>
      <c r="R676" s="7" t="str">
        <f t="shared" si="41"/>
        <v>Hot</v>
      </c>
      <c r="S676" s="7" t="str">
        <f t="shared" si="42"/>
        <v>High Humidity</v>
      </c>
      <c r="T676" s="7" t="str">
        <f t="shared" si="43"/>
        <v>Moderate Wind</v>
      </c>
    </row>
    <row r="677" spans="1:20" x14ac:dyDescent="0.25">
      <c r="A677" s="7" t="s">
        <v>737</v>
      </c>
      <c r="B677" s="10">
        <v>45766</v>
      </c>
      <c r="C677" s="11" t="s">
        <v>38</v>
      </c>
      <c r="D677" s="11" t="s">
        <v>39</v>
      </c>
      <c r="E677" s="7" t="s">
        <v>40</v>
      </c>
      <c r="F677" s="9">
        <v>32.799999999999997</v>
      </c>
      <c r="G677" s="9">
        <v>85.5</v>
      </c>
      <c r="H677" s="9">
        <v>16.3</v>
      </c>
      <c r="I677" s="9">
        <v>6.6</v>
      </c>
      <c r="J677" s="9">
        <v>1.27</v>
      </c>
      <c r="K677" s="9">
        <v>32.1</v>
      </c>
      <c r="L677" s="7">
        <v>33.5</v>
      </c>
      <c r="M677" s="7">
        <v>48.6</v>
      </c>
      <c r="N677" s="7">
        <v>1.9</v>
      </c>
      <c r="O677" s="7">
        <v>172</v>
      </c>
      <c r="P677" s="7" t="s">
        <v>33</v>
      </c>
      <c r="Q677" s="7" t="str">
        <f t="shared" si="40"/>
        <v>Moderate</v>
      </c>
      <c r="R677" s="7" t="str">
        <f t="shared" si="41"/>
        <v>Hot</v>
      </c>
      <c r="S677" s="7" t="str">
        <f t="shared" si="42"/>
        <v>Normal Humidity</v>
      </c>
      <c r="T677" s="7" t="str">
        <f t="shared" si="43"/>
        <v>Low Wind</v>
      </c>
    </row>
    <row r="678" spans="1:20" x14ac:dyDescent="0.25">
      <c r="A678" s="7" t="s">
        <v>738</v>
      </c>
      <c r="B678" s="10">
        <v>45885</v>
      </c>
      <c r="C678" s="11" t="s">
        <v>17</v>
      </c>
      <c r="D678" s="11" t="s">
        <v>18</v>
      </c>
      <c r="E678" s="7" t="s">
        <v>58</v>
      </c>
      <c r="F678" s="9">
        <v>44.5</v>
      </c>
      <c r="G678" s="9">
        <v>105.1</v>
      </c>
      <c r="H678" s="9">
        <v>41.8</v>
      </c>
      <c r="I678" s="9">
        <v>3.1</v>
      </c>
      <c r="J678" s="9">
        <v>0.27</v>
      </c>
      <c r="K678" s="9">
        <v>92</v>
      </c>
      <c r="L678" s="7">
        <v>27.8</v>
      </c>
      <c r="M678" s="7">
        <v>68.900000000000006</v>
      </c>
      <c r="N678" s="7">
        <v>4.0999999999999996</v>
      </c>
      <c r="O678" s="7">
        <v>223</v>
      </c>
      <c r="P678" s="7" t="s">
        <v>28</v>
      </c>
      <c r="Q678" s="7" t="str">
        <f t="shared" si="40"/>
        <v>Unhealthy</v>
      </c>
      <c r="R678" s="7" t="str">
        <f t="shared" si="41"/>
        <v>Normal</v>
      </c>
      <c r="S678" s="7" t="str">
        <f t="shared" si="42"/>
        <v>High Humidity</v>
      </c>
      <c r="T678" s="7" t="str">
        <f t="shared" si="43"/>
        <v>Moderate Wind</v>
      </c>
    </row>
    <row r="679" spans="1:20" x14ac:dyDescent="0.25">
      <c r="A679" s="7" t="s">
        <v>739</v>
      </c>
      <c r="B679" s="10">
        <v>45717</v>
      </c>
      <c r="C679" s="11" t="s">
        <v>67</v>
      </c>
      <c r="D679" s="11" t="s">
        <v>18</v>
      </c>
      <c r="E679" s="7" t="s">
        <v>32</v>
      </c>
      <c r="F679" s="9">
        <v>49.6</v>
      </c>
      <c r="G679" s="9">
        <v>44.2</v>
      </c>
      <c r="H679" s="9">
        <v>17.399999999999999</v>
      </c>
      <c r="I679" s="9">
        <v>17</v>
      </c>
      <c r="J679" s="9">
        <v>0.84</v>
      </c>
      <c r="K679" s="9">
        <v>53.4</v>
      </c>
      <c r="L679" s="7">
        <v>29.4</v>
      </c>
      <c r="M679" s="7">
        <v>76.400000000000006</v>
      </c>
      <c r="N679" s="7">
        <v>3.7</v>
      </c>
      <c r="O679" s="7">
        <v>179</v>
      </c>
      <c r="P679" s="7" t="s">
        <v>33</v>
      </c>
      <c r="Q679" s="7" t="str">
        <f t="shared" si="40"/>
        <v>Good</v>
      </c>
      <c r="R679" s="7" t="str">
        <f t="shared" si="41"/>
        <v>Normal</v>
      </c>
      <c r="S679" s="7" t="str">
        <f t="shared" si="42"/>
        <v>High Humidity</v>
      </c>
      <c r="T679" s="7" t="str">
        <f t="shared" si="43"/>
        <v>Moderate Wind</v>
      </c>
    </row>
    <row r="680" spans="1:20" x14ac:dyDescent="0.25">
      <c r="A680" s="7" t="s">
        <v>740</v>
      </c>
      <c r="B680" s="10">
        <v>45682</v>
      </c>
      <c r="C680" s="11" t="s">
        <v>67</v>
      </c>
      <c r="D680" s="11" t="s">
        <v>18</v>
      </c>
      <c r="E680" s="7" t="s">
        <v>70</v>
      </c>
      <c r="F680" s="9">
        <v>35.4</v>
      </c>
      <c r="G680" s="9">
        <v>9.9</v>
      </c>
      <c r="H680" s="9">
        <v>34.299999999999997</v>
      </c>
      <c r="I680" s="9">
        <v>14.4</v>
      </c>
      <c r="J680" s="9">
        <v>0.94</v>
      </c>
      <c r="K680" s="9">
        <v>92.2</v>
      </c>
      <c r="L680" s="7">
        <v>21.4</v>
      </c>
      <c r="M680" s="7">
        <v>91.5</v>
      </c>
      <c r="N680" s="7">
        <v>2.9</v>
      </c>
      <c r="O680" s="7">
        <v>166</v>
      </c>
      <c r="P680" s="7" t="s">
        <v>33</v>
      </c>
      <c r="Q680" s="7" t="str">
        <f t="shared" si="40"/>
        <v>Good</v>
      </c>
      <c r="R680" s="7" t="str">
        <f t="shared" si="41"/>
        <v>Normal</v>
      </c>
      <c r="S680" s="7" t="str">
        <f t="shared" si="42"/>
        <v>High Humidity</v>
      </c>
      <c r="T680" s="7" t="str">
        <f t="shared" si="43"/>
        <v>Moderate Wind</v>
      </c>
    </row>
    <row r="681" spans="1:20" x14ac:dyDescent="0.25">
      <c r="A681" s="7" t="s">
        <v>741</v>
      </c>
      <c r="B681" s="10">
        <v>45934</v>
      </c>
      <c r="C681" s="11" t="s">
        <v>54</v>
      </c>
      <c r="D681" s="11" t="s">
        <v>18</v>
      </c>
      <c r="E681" s="7" t="s">
        <v>43</v>
      </c>
      <c r="F681" s="9">
        <v>35.6</v>
      </c>
      <c r="G681" s="9">
        <v>39.6</v>
      </c>
      <c r="H681" s="9">
        <v>18.3</v>
      </c>
      <c r="I681" s="9">
        <v>2.9</v>
      </c>
      <c r="J681" s="9">
        <v>0.32</v>
      </c>
      <c r="K681" s="9">
        <v>42.1</v>
      </c>
      <c r="L681" s="7">
        <v>20.100000000000001</v>
      </c>
      <c r="M681" s="7">
        <v>98</v>
      </c>
      <c r="N681" s="7">
        <v>1.6</v>
      </c>
      <c r="O681" s="7">
        <v>126</v>
      </c>
      <c r="P681" s="7" t="s">
        <v>33</v>
      </c>
      <c r="Q681" s="7" t="str">
        <f t="shared" si="40"/>
        <v>Good</v>
      </c>
      <c r="R681" s="7" t="str">
        <f t="shared" si="41"/>
        <v>Normal</v>
      </c>
      <c r="S681" s="7" t="str">
        <f t="shared" si="42"/>
        <v>High Humidity</v>
      </c>
      <c r="T681" s="7" t="str">
        <f t="shared" si="43"/>
        <v>Low Wind</v>
      </c>
    </row>
    <row r="682" spans="1:20" x14ac:dyDescent="0.25">
      <c r="A682" s="7" t="s">
        <v>742</v>
      </c>
      <c r="B682" s="10">
        <v>45734</v>
      </c>
      <c r="C682" s="11" t="s">
        <v>99</v>
      </c>
      <c r="D682" s="11" t="s">
        <v>36</v>
      </c>
      <c r="E682" s="7" t="s">
        <v>19</v>
      </c>
      <c r="F682" s="9">
        <v>25.3</v>
      </c>
      <c r="G682" s="9">
        <v>74.099999999999994</v>
      </c>
      <c r="H682" s="9">
        <v>24.5</v>
      </c>
      <c r="I682" s="9">
        <v>4.2</v>
      </c>
      <c r="J682" s="9">
        <v>0.85</v>
      </c>
      <c r="K682" s="9">
        <v>28</v>
      </c>
      <c r="L682" s="7">
        <v>23.1</v>
      </c>
      <c r="M682" s="7">
        <v>63.5</v>
      </c>
      <c r="N682" s="7">
        <v>2.2999999999999998</v>
      </c>
      <c r="O682" s="7">
        <v>145</v>
      </c>
      <c r="P682" s="7" t="s">
        <v>33</v>
      </c>
      <c r="Q682" s="7" t="str">
        <f t="shared" si="40"/>
        <v>Moderate</v>
      </c>
      <c r="R682" s="7" t="str">
        <f t="shared" si="41"/>
        <v>Normal</v>
      </c>
      <c r="S682" s="7" t="str">
        <f t="shared" si="42"/>
        <v>High Humidity</v>
      </c>
      <c r="T682" s="7" t="str">
        <f t="shared" si="43"/>
        <v>Moderate Wind</v>
      </c>
    </row>
    <row r="683" spans="1:20" x14ac:dyDescent="0.25">
      <c r="A683" s="7" t="s">
        <v>743</v>
      </c>
      <c r="B683" s="10">
        <v>46001</v>
      </c>
      <c r="C683" s="11" t="s">
        <v>54</v>
      </c>
      <c r="D683" s="11" t="s">
        <v>18</v>
      </c>
      <c r="E683" s="7" t="s">
        <v>43</v>
      </c>
      <c r="F683" s="9">
        <v>96.3</v>
      </c>
      <c r="G683" s="9">
        <v>130.19999999999999</v>
      </c>
      <c r="H683" s="9">
        <v>26.9</v>
      </c>
      <c r="I683" s="9">
        <v>9.1999999999999993</v>
      </c>
      <c r="J683" s="9">
        <v>0.39</v>
      </c>
      <c r="K683" s="9">
        <v>49.7</v>
      </c>
      <c r="L683" s="7">
        <v>11</v>
      </c>
      <c r="M683" s="7">
        <v>75.900000000000006</v>
      </c>
      <c r="N683" s="7">
        <v>2.6</v>
      </c>
      <c r="O683" s="7">
        <v>299</v>
      </c>
      <c r="P683" s="7" t="s">
        <v>28</v>
      </c>
      <c r="Q683" s="7" t="str">
        <f t="shared" si="40"/>
        <v>Unhealthy</v>
      </c>
      <c r="R683" s="7" t="str">
        <f t="shared" si="41"/>
        <v>Cool</v>
      </c>
      <c r="S683" s="7" t="str">
        <f t="shared" si="42"/>
        <v>High Humidity</v>
      </c>
      <c r="T683" s="7" t="str">
        <f t="shared" si="43"/>
        <v>Moderate Wind</v>
      </c>
    </row>
    <row r="684" spans="1:20" x14ac:dyDescent="0.25">
      <c r="A684" s="7" t="s">
        <v>744</v>
      </c>
      <c r="B684" s="10">
        <v>45761</v>
      </c>
      <c r="C684" s="11" t="s">
        <v>99</v>
      </c>
      <c r="D684" s="11" t="s">
        <v>36</v>
      </c>
      <c r="E684" s="7" t="s">
        <v>61</v>
      </c>
      <c r="F684" s="9">
        <v>146.6</v>
      </c>
      <c r="G684" s="9">
        <v>110.9</v>
      </c>
      <c r="H684" s="9">
        <v>14.4</v>
      </c>
      <c r="I684" s="9">
        <v>41.4</v>
      </c>
      <c r="J684" s="9">
        <v>0.31</v>
      </c>
      <c r="K684" s="9">
        <v>28.8</v>
      </c>
      <c r="L684" s="7">
        <v>20.8</v>
      </c>
      <c r="M684" s="7">
        <v>64.400000000000006</v>
      </c>
      <c r="N684" s="7">
        <v>2.8</v>
      </c>
      <c r="O684" s="7">
        <v>368</v>
      </c>
      <c r="P684" s="7" t="s">
        <v>20</v>
      </c>
      <c r="Q684" s="7" t="str">
        <f t="shared" si="40"/>
        <v>Unhealthy</v>
      </c>
      <c r="R684" s="7" t="str">
        <f t="shared" si="41"/>
        <v>Normal</v>
      </c>
      <c r="S684" s="7" t="str">
        <f t="shared" si="42"/>
        <v>High Humidity</v>
      </c>
      <c r="T684" s="7" t="str">
        <f t="shared" si="43"/>
        <v>Moderate Wind</v>
      </c>
    </row>
    <row r="685" spans="1:20" x14ac:dyDescent="0.25">
      <c r="A685" s="7" t="s">
        <v>745</v>
      </c>
      <c r="B685" s="10">
        <v>45792</v>
      </c>
      <c r="C685" s="11" t="s">
        <v>54</v>
      </c>
      <c r="D685" s="11" t="s">
        <v>18</v>
      </c>
      <c r="E685" s="7" t="s">
        <v>74</v>
      </c>
      <c r="F685" s="9">
        <v>85.1</v>
      </c>
      <c r="G685" s="9">
        <v>34.9</v>
      </c>
      <c r="H685" s="9">
        <v>18.7</v>
      </c>
      <c r="I685" s="9">
        <v>26.9</v>
      </c>
      <c r="J685" s="9">
        <v>0.25</v>
      </c>
      <c r="K685" s="9">
        <v>62.3</v>
      </c>
      <c r="L685" s="7">
        <v>32</v>
      </c>
      <c r="M685" s="7">
        <v>75.3</v>
      </c>
      <c r="N685" s="7">
        <v>2.7</v>
      </c>
      <c r="O685" s="7">
        <v>227</v>
      </c>
      <c r="P685" s="7" t="s">
        <v>28</v>
      </c>
      <c r="Q685" s="7" t="str">
        <f t="shared" si="40"/>
        <v>Good</v>
      </c>
      <c r="R685" s="7" t="str">
        <f t="shared" si="41"/>
        <v>Hot</v>
      </c>
      <c r="S685" s="7" t="str">
        <f t="shared" si="42"/>
        <v>High Humidity</v>
      </c>
      <c r="T685" s="7" t="str">
        <f t="shared" si="43"/>
        <v>Moderate Wind</v>
      </c>
    </row>
    <row r="686" spans="1:20" x14ac:dyDescent="0.25">
      <c r="A686" s="7" t="s">
        <v>746</v>
      </c>
      <c r="B686" s="10">
        <v>45938</v>
      </c>
      <c r="C686" s="11" t="s">
        <v>50</v>
      </c>
      <c r="D686" s="11" t="s">
        <v>31</v>
      </c>
      <c r="E686" s="7" t="s">
        <v>97</v>
      </c>
      <c r="F686" s="9">
        <v>28.3</v>
      </c>
      <c r="G686" s="9">
        <v>46.2</v>
      </c>
      <c r="H686" s="9">
        <v>14.5</v>
      </c>
      <c r="I686" s="9">
        <v>25.8</v>
      </c>
      <c r="J686" s="9">
        <v>3.22</v>
      </c>
      <c r="K686" s="9">
        <v>22.2</v>
      </c>
      <c r="L686" s="7">
        <v>39.200000000000003</v>
      </c>
      <c r="M686" s="7">
        <v>66</v>
      </c>
      <c r="N686" s="7">
        <v>2.6</v>
      </c>
      <c r="O686" s="7">
        <v>195</v>
      </c>
      <c r="P686" s="7" t="s">
        <v>33</v>
      </c>
      <c r="Q686" s="7" t="str">
        <f t="shared" si="40"/>
        <v>Good</v>
      </c>
      <c r="R686" s="7" t="str">
        <f t="shared" si="41"/>
        <v>Hot</v>
      </c>
      <c r="S686" s="7" t="str">
        <f t="shared" si="42"/>
        <v>High Humidity</v>
      </c>
      <c r="T686" s="7" t="str">
        <f t="shared" si="43"/>
        <v>Moderate Wind</v>
      </c>
    </row>
    <row r="687" spans="1:20" x14ac:dyDescent="0.25">
      <c r="A687" s="7" t="s">
        <v>747</v>
      </c>
      <c r="B687" s="10">
        <v>45795</v>
      </c>
      <c r="C687" s="11" t="s">
        <v>22</v>
      </c>
      <c r="D687" s="11" t="s">
        <v>23</v>
      </c>
      <c r="E687" s="7" t="s">
        <v>61</v>
      </c>
      <c r="F687" s="9">
        <v>24</v>
      </c>
      <c r="G687" s="9">
        <v>67.599999999999994</v>
      </c>
      <c r="H687" s="9">
        <v>10</v>
      </c>
      <c r="I687" s="9">
        <v>10.6</v>
      </c>
      <c r="J687" s="9">
        <v>0.62</v>
      </c>
      <c r="K687" s="9">
        <v>14.2</v>
      </c>
      <c r="L687" s="7">
        <v>18.5</v>
      </c>
      <c r="M687" s="7">
        <v>66.5</v>
      </c>
      <c r="N687" s="7">
        <v>2.7</v>
      </c>
      <c r="O687" s="7">
        <v>120</v>
      </c>
      <c r="P687" s="7" t="s">
        <v>33</v>
      </c>
      <c r="Q687" s="7" t="str">
        <f t="shared" si="40"/>
        <v>Moderate</v>
      </c>
      <c r="R687" s="7" t="str">
        <f t="shared" si="41"/>
        <v>Cool</v>
      </c>
      <c r="S687" s="7" t="str">
        <f t="shared" si="42"/>
        <v>High Humidity</v>
      </c>
      <c r="T687" s="7" t="str">
        <f t="shared" si="43"/>
        <v>Moderate Wind</v>
      </c>
    </row>
    <row r="688" spans="1:20" x14ac:dyDescent="0.25">
      <c r="A688" s="7" t="s">
        <v>748</v>
      </c>
      <c r="B688" s="10">
        <v>45732</v>
      </c>
      <c r="C688" s="11" t="s">
        <v>22</v>
      </c>
      <c r="D688" s="11" t="s">
        <v>23</v>
      </c>
      <c r="E688" s="7" t="s">
        <v>19</v>
      </c>
      <c r="F688" s="9">
        <v>57.3</v>
      </c>
      <c r="G688" s="9">
        <v>120.9</v>
      </c>
      <c r="H688" s="9">
        <v>8.6</v>
      </c>
      <c r="I688" s="9">
        <v>17</v>
      </c>
      <c r="J688" s="9">
        <v>0.4</v>
      </c>
      <c r="K688" s="9">
        <v>59.1</v>
      </c>
      <c r="L688" s="7">
        <v>36.1</v>
      </c>
      <c r="M688" s="7">
        <v>42.5</v>
      </c>
      <c r="N688" s="7">
        <v>3.3</v>
      </c>
      <c r="O688" s="7">
        <v>226</v>
      </c>
      <c r="P688" s="7" t="s">
        <v>28</v>
      </c>
      <c r="Q688" s="7" t="str">
        <f t="shared" si="40"/>
        <v>Unhealthy</v>
      </c>
      <c r="R688" s="7" t="str">
        <f t="shared" si="41"/>
        <v>Hot</v>
      </c>
      <c r="S688" s="7" t="str">
        <f t="shared" si="42"/>
        <v>Normal Humidity</v>
      </c>
      <c r="T688" s="7" t="str">
        <f t="shared" si="43"/>
        <v>Moderate Wind</v>
      </c>
    </row>
    <row r="689" spans="1:20" x14ac:dyDescent="0.25">
      <c r="A689" s="7" t="s">
        <v>749</v>
      </c>
      <c r="B689" s="10">
        <v>45764</v>
      </c>
      <c r="C689" s="11" t="s">
        <v>30</v>
      </c>
      <c r="D689" s="11" t="s">
        <v>31</v>
      </c>
      <c r="E689" s="7" t="s">
        <v>19</v>
      </c>
      <c r="F689" s="9">
        <v>88.2</v>
      </c>
      <c r="G689" s="9">
        <v>90.9</v>
      </c>
      <c r="H689" s="9">
        <v>52.3</v>
      </c>
      <c r="I689" s="9">
        <v>18.2</v>
      </c>
      <c r="J689" s="9">
        <v>1.08</v>
      </c>
      <c r="K689" s="9">
        <v>52.4</v>
      </c>
      <c r="L689" s="7">
        <v>27.5</v>
      </c>
      <c r="M689" s="7">
        <v>58.9</v>
      </c>
      <c r="N689" s="7">
        <v>2</v>
      </c>
      <c r="O689" s="7">
        <v>305</v>
      </c>
      <c r="P689" s="7" t="s">
        <v>20</v>
      </c>
      <c r="Q689" s="7" t="str">
        <f t="shared" si="40"/>
        <v>Moderate</v>
      </c>
      <c r="R689" s="7" t="str">
        <f t="shared" si="41"/>
        <v>Normal</v>
      </c>
      <c r="S689" s="7" t="str">
        <f t="shared" si="42"/>
        <v>Normal Humidity</v>
      </c>
      <c r="T689" s="7" t="str">
        <f t="shared" si="43"/>
        <v>Moderate Wind</v>
      </c>
    </row>
    <row r="690" spans="1:20" x14ac:dyDescent="0.25">
      <c r="A690" s="7" t="s">
        <v>750</v>
      </c>
      <c r="B690" s="10">
        <v>45941</v>
      </c>
      <c r="C690" s="11" t="s">
        <v>93</v>
      </c>
      <c r="D690" s="11" t="s">
        <v>36</v>
      </c>
      <c r="E690" s="7" t="s">
        <v>27</v>
      </c>
      <c r="F690" s="9">
        <v>44</v>
      </c>
      <c r="G690" s="9">
        <v>56.6</v>
      </c>
      <c r="H690" s="9">
        <v>5.6</v>
      </c>
      <c r="I690" s="9">
        <v>7.8</v>
      </c>
      <c r="J690" s="9">
        <v>1.34</v>
      </c>
      <c r="K690" s="9">
        <v>17.8</v>
      </c>
      <c r="L690" s="7">
        <v>27.7</v>
      </c>
      <c r="M690" s="7">
        <v>68.599999999999994</v>
      </c>
      <c r="N690" s="7">
        <v>1.7</v>
      </c>
      <c r="O690" s="7">
        <v>159</v>
      </c>
      <c r="P690" s="7" t="s">
        <v>33</v>
      </c>
      <c r="Q690" s="7" t="str">
        <f t="shared" si="40"/>
        <v>Moderate</v>
      </c>
      <c r="R690" s="7" t="str">
        <f t="shared" si="41"/>
        <v>Normal</v>
      </c>
      <c r="S690" s="7" t="str">
        <f t="shared" si="42"/>
        <v>High Humidity</v>
      </c>
      <c r="T690" s="7" t="str">
        <f t="shared" si="43"/>
        <v>Low Wind</v>
      </c>
    </row>
    <row r="691" spans="1:20" x14ac:dyDescent="0.25">
      <c r="A691" s="7" t="s">
        <v>751</v>
      </c>
      <c r="B691" s="10">
        <v>45721</v>
      </c>
      <c r="C691" s="11" t="s">
        <v>52</v>
      </c>
      <c r="D691" s="11" t="s">
        <v>31</v>
      </c>
      <c r="E691" s="7" t="s">
        <v>27</v>
      </c>
      <c r="F691" s="9">
        <v>61.8</v>
      </c>
      <c r="G691" s="9">
        <v>98.1</v>
      </c>
      <c r="H691" s="9">
        <v>63.5</v>
      </c>
      <c r="I691" s="9">
        <v>3.6</v>
      </c>
      <c r="J691" s="9">
        <v>0.42</v>
      </c>
      <c r="K691" s="9">
        <v>42.3</v>
      </c>
      <c r="L691" s="7">
        <v>19.8</v>
      </c>
      <c r="M691" s="7">
        <v>43.3</v>
      </c>
      <c r="N691" s="7">
        <v>2.5</v>
      </c>
      <c r="O691" s="7">
        <v>246</v>
      </c>
      <c r="P691" s="7" t="s">
        <v>28</v>
      </c>
      <c r="Q691" s="7" t="str">
        <f t="shared" si="40"/>
        <v>Moderate</v>
      </c>
      <c r="R691" s="7" t="str">
        <f t="shared" si="41"/>
        <v>Cool</v>
      </c>
      <c r="S691" s="7" t="str">
        <f t="shared" si="42"/>
        <v>Normal Humidity</v>
      </c>
      <c r="T691" s="7" t="str">
        <f t="shared" si="43"/>
        <v>Moderate Wind</v>
      </c>
    </row>
    <row r="692" spans="1:20" x14ac:dyDescent="0.25">
      <c r="A692" s="7" t="s">
        <v>752</v>
      </c>
      <c r="B692" s="10">
        <v>45825</v>
      </c>
      <c r="C692" s="11" t="s">
        <v>50</v>
      </c>
      <c r="D692" s="11" t="s">
        <v>31</v>
      </c>
      <c r="E692" s="7" t="s">
        <v>74</v>
      </c>
      <c r="F692" s="9">
        <v>46.6</v>
      </c>
      <c r="G692" s="9">
        <v>58.5</v>
      </c>
      <c r="H692" s="9">
        <v>16.3</v>
      </c>
      <c r="I692" s="9">
        <v>18.100000000000001</v>
      </c>
      <c r="J692" s="9">
        <v>0.13</v>
      </c>
      <c r="K692" s="9">
        <v>4.7</v>
      </c>
      <c r="L692" s="7">
        <v>22.1</v>
      </c>
      <c r="M692" s="7">
        <v>30.8</v>
      </c>
      <c r="N692" s="7">
        <v>1.8</v>
      </c>
      <c r="O692" s="7">
        <v>144</v>
      </c>
      <c r="P692" s="7" t="s">
        <v>33</v>
      </c>
      <c r="Q692" s="7" t="str">
        <f t="shared" si="40"/>
        <v>Moderate</v>
      </c>
      <c r="R692" s="7" t="str">
        <f t="shared" si="41"/>
        <v>Normal</v>
      </c>
      <c r="S692" s="7" t="str">
        <f t="shared" si="42"/>
        <v>Normal Humidity</v>
      </c>
      <c r="T692" s="7" t="str">
        <f t="shared" si="43"/>
        <v>Low Wind</v>
      </c>
    </row>
    <row r="693" spans="1:20" x14ac:dyDescent="0.25">
      <c r="A693" s="7" t="s">
        <v>753</v>
      </c>
      <c r="B693" s="10">
        <v>45772</v>
      </c>
      <c r="C693" s="11" t="s">
        <v>81</v>
      </c>
      <c r="D693" s="11" t="s">
        <v>39</v>
      </c>
      <c r="E693" s="7" t="s">
        <v>45</v>
      </c>
      <c r="F693" s="9">
        <v>84.9</v>
      </c>
      <c r="G693" s="9">
        <v>88.7</v>
      </c>
      <c r="H693" s="9">
        <v>63.5</v>
      </c>
      <c r="I693" s="9">
        <v>1.9</v>
      </c>
      <c r="J693" s="9">
        <v>1.23</v>
      </c>
      <c r="K693" s="9">
        <v>27.4</v>
      </c>
      <c r="L693" s="7">
        <v>21.6</v>
      </c>
      <c r="M693" s="7">
        <v>61.5</v>
      </c>
      <c r="N693" s="7">
        <v>1.7</v>
      </c>
      <c r="O693" s="7">
        <v>289</v>
      </c>
      <c r="P693" s="7" t="s">
        <v>28</v>
      </c>
      <c r="Q693" s="7" t="str">
        <f t="shared" si="40"/>
        <v>Moderate</v>
      </c>
      <c r="R693" s="7" t="str">
        <f t="shared" si="41"/>
        <v>Normal</v>
      </c>
      <c r="S693" s="7" t="str">
        <f t="shared" si="42"/>
        <v>High Humidity</v>
      </c>
      <c r="T693" s="7" t="str">
        <f t="shared" si="43"/>
        <v>Low Wind</v>
      </c>
    </row>
    <row r="694" spans="1:20" x14ac:dyDescent="0.25">
      <c r="A694" s="7" t="s">
        <v>754</v>
      </c>
      <c r="B694" s="10">
        <v>45803</v>
      </c>
      <c r="C694" s="11" t="s">
        <v>50</v>
      </c>
      <c r="D694" s="11" t="s">
        <v>31</v>
      </c>
      <c r="E694" s="7" t="s">
        <v>27</v>
      </c>
      <c r="F694" s="9">
        <v>85.3</v>
      </c>
      <c r="G694" s="9">
        <v>63.6</v>
      </c>
      <c r="H694" s="9">
        <v>5.6</v>
      </c>
      <c r="I694" s="9">
        <v>5.9</v>
      </c>
      <c r="J694" s="9">
        <v>1.01</v>
      </c>
      <c r="K694" s="9">
        <v>26.6</v>
      </c>
      <c r="L694" s="7">
        <v>28.2</v>
      </c>
      <c r="M694" s="7">
        <v>66</v>
      </c>
      <c r="N694" s="7">
        <v>2.1</v>
      </c>
      <c r="O694" s="7">
        <v>224</v>
      </c>
      <c r="P694" s="7" t="s">
        <v>28</v>
      </c>
      <c r="Q694" s="7" t="str">
        <f t="shared" si="40"/>
        <v>Moderate</v>
      </c>
      <c r="R694" s="7" t="str">
        <f t="shared" si="41"/>
        <v>Normal</v>
      </c>
      <c r="S694" s="7" t="str">
        <f t="shared" si="42"/>
        <v>High Humidity</v>
      </c>
      <c r="T694" s="7" t="str">
        <f t="shared" si="43"/>
        <v>Moderate Wind</v>
      </c>
    </row>
    <row r="695" spans="1:20" x14ac:dyDescent="0.25">
      <c r="A695" s="7" t="s">
        <v>755</v>
      </c>
      <c r="B695" s="10">
        <v>45957</v>
      </c>
      <c r="C695" s="11" t="s">
        <v>81</v>
      </c>
      <c r="D695" s="11" t="s">
        <v>39</v>
      </c>
      <c r="E695" s="7" t="s">
        <v>43</v>
      </c>
      <c r="F695" s="9">
        <v>110.6</v>
      </c>
      <c r="G695" s="9">
        <v>42.6</v>
      </c>
      <c r="H695" s="9">
        <v>4.4000000000000004</v>
      </c>
      <c r="I695" s="9">
        <v>15.5</v>
      </c>
      <c r="J695" s="9">
        <v>0.41</v>
      </c>
      <c r="K695" s="9">
        <v>43.4</v>
      </c>
      <c r="L695" s="7">
        <v>36.4</v>
      </c>
      <c r="M695" s="7">
        <v>70.7</v>
      </c>
      <c r="N695" s="7">
        <v>1.9</v>
      </c>
      <c r="O695" s="7">
        <v>249</v>
      </c>
      <c r="P695" s="7" t="s">
        <v>28</v>
      </c>
      <c r="Q695" s="7" t="str">
        <f t="shared" si="40"/>
        <v>Good</v>
      </c>
      <c r="R695" s="7" t="str">
        <f t="shared" si="41"/>
        <v>Hot</v>
      </c>
      <c r="S695" s="7" t="str">
        <f t="shared" si="42"/>
        <v>High Humidity</v>
      </c>
      <c r="T695" s="7" t="str">
        <f t="shared" si="43"/>
        <v>Low Wind</v>
      </c>
    </row>
    <row r="696" spans="1:20" x14ac:dyDescent="0.25">
      <c r="A696" s="7" t="s">
        <v>756</v>
      </c>
      <c r="B696" s="10">
        <v>45889</v>
      </c>
      <c r="C696" s="11" t="s">
        <v>77</v>
      </c>
      <c r="D696" s="11" t="s">
        <v>39</v>
      </c>
      <c r="E696" s="7" t="s">
        <v>58</v>
      </c>
      <c r="F696" s="9">
        <v>108.1</v>
      </c>
      <c r="G696" s="9">
        <v>102.9</v>
      </c>
      <c r="H696" s="9">
        <v>25.6</v>
      </c>
      <c r="I696" s="9">
        <v>21.6</v>
      </c>
      <c r="J696" s="9">
        <v>0.6</v>
      </c>
      <c r="K696" s="9">
        <v>64.2</v>
      </c>
      <c r="L696" s="7">
        <v>22.9</v>
      </c>
      <c r="M696" s="7">
        <v>75.099999999999994</v>
      </c>
      <c r="N696" s="7">
        <v>2.5</v>
      </c>
      <c r="O696" s="7">
        <v>319</v>
      </c>
      <c r="P696" s="7" t="s">
        <v>20</v>
      </c>
      <c r="Q696" s="7" t="str">
        <f t="shared" si="40"/>
        <v>Unhealthy</v>
      </c>
      <c r="R696" s="7" t="str">
        <f t="shared" si="41"/>
        <v>Normal</v>
      </c>
      <c r="S696" s="7" t="str">
        <f t="shared" si="42"/>
        <v>High Humidity</v>
      </c>
      <c r="T696" s="7" t="str">
        <f t="shared" si="43"/>
        <v>Moderate Wind</v>
      </c>
    </row>
    <row r="697" spans="1:20" x14ac:dyDescent="0.25">
      <c r="A697" s="7" t="s">
        <v>757</v>
      </c>
      <c r="B697" s="10">
        <v>45688</v>
      </c>
      <c r="C697" s="11" t="s">
        <v>93</v>
      </c>
      <c r="D697" s="11" t="s">
        <v>36</v>
      </c>
      <c r="E697" s="7" t="s">
        <v>19</v>
      </c>
      <c r="F697" s="9">
        <v>15.5</v>
      </c>
      <c r="G697" s="9">
        <v>150</v>
      </c>
      <c r="H697" s="9">
        <v>51.9</v>
      </c>
      <c r="I697" s="9">
        <v>7.3</v>
      </c>
      <c r="J697" s="9">
        <v>0.37</v>
      </c>
      <c r="K697" s="9">
        <v>34.1</v>
      </c>
      <c r="L697" s="7">
        <v>27.2</v>
      </c>
      <c r="M697" s="7">
        <v>82.6</v>
      </c>
      <c r="N697" s="7">
        <v>2.5</v>
      </c>
      <c r="O697" s="7">
        <v>194</v>
      </c>
      <c r="P697" s="7" t="s">
        <v>33</v>
      </c>
      <c r="Q697" s="7" t="str">
        <f t="shared" si="40"/>
        <v>Unhealthy</v>
      </c>
      <c r="R697" s="7" t="str">
        <f t="shared" si="41"/>
        <v>Normal</v>
      </c>
      <c r="S697" s="7" t="str">
        <f t="shared" si="42"/>
        <v>High Humidity</v>
      </c>
      <c r="T697" s="7" t="str">
        <f t="shared" si="43"/>
        <v>Moderate Wind</v>
      </c>
    </row>
    <row r="698" spans="1:20" x14ac:dyDescent="0.25">
      <c r="A698" s="7" t="s">
        <v>758</v>
      </c>
      <c r="B698" s="10">
        <v>45912</v>
      </c>
      <c r="C698" s="11" t="s">
        <v>77</v>
      </c>
      <c r="D698" s="11" t="s">
        <v>39</v>
      </c>
      <c r="E698" s="7" t="s">
        <v>24</v>
      </c>
      <c r="F698" s="9">
        <v>55.2</v>
      </c>
      <c r="G698" s="9">
        <v>111.9</v>
      </c>
      <c r="H698" s="9">
        <v>11.6</v>
      </c>
      <c r="I698" s="9">
        <v>32.299999999999997</v>
      </c>
      <c r="J698" s="9">
        <v>0.5</v>
      </c>
      <c r="K698" s="9">
        <v>19.3</v>
      </c>
      <c r="L698" s="7">
        <v>31.5</v>
      </c>
      <c r="M698" s="7">
        <v>33.9</v>
      </c>
      <c r="N698" s="7">
        <v>2.2999999999999998</v>
      </c>
      <c r="O698" s="7">
        <v>214</v>
      </c>
      <c r="P698" s="7" t="s">
        <v>28</v>
      </c>
      <c r="Q698" s="7" t="str">
        <f t="shared" si="40"/>
        <v>Unhealthy</v>
      </c>
      <c r="R698" s="7" t="str">
        <f t="shared" si="41"/>
        <v>Hot</v>
      </c>
      <c r="S698" s="7" t="str">
        <f t="shared" si="42"/>
        <v>Normal Humidity</v>
      </c>
      <c r="T698" s="7" t="str">
        <f t="shared" si="43"/>
        <v>Moderate Wind</v>
      </c>
    </row>
    <row r="699" spans="1:20" x14ac:dyDescent="0.25">
      <c r="A699" s="7" t="s">
        <v>759</v>
      </c>
      <c r="B699" s="10">
        <v>45957</v>
      </c>
      <c r="C699" s="11" t="s">
        <v>22</v>
      </c>
      <c r="D699" s="11" t="s">
        <v>23</v>
      </c>
      <c r="E699" s="7" t="s">
        <v>27</v>
      </c>
      <c r="F699" s="9">
        <v>46.7</v>
      </c>
      <c r="G699" s="9">
        <v>40.299999999999997</v>
      </c>
      <c r="H699" s="9">
        <v>43.3</v>
      </c>
      <c r="I699" s="9">
        <v>8.5</v>
      </c>
      <c r="J699" s="9">
        <v>0.36</v>
      </c>
      <c r="K699" s="9">
        <v>36.4</v>
      </c>
      <c r="L699" s="7">
        <v>28.5</v>
      </c>
      <c r="M699" s="7">
        <v>69.900000000000006</v>
      </c>
      <c r="N699" s="7">
        <v>2.4</v>
      </c>
      <c r="O699" s="7">
        <v>167</v>
      </c>
      <c r="P699" s="7" t="s">
        <v>33</v>
      </c>
      <c r="Q699" s="7" t="str">
        <f t="shared" si="40"/>
        <v>Good</v>
      </c>
      <c r="R699" s="7" t="str">
        <f t="shared" si="41"/>
        <v>Normal</v>
      </c>
      <c r="S699" s="7" t="str">
        <f t="shared" si="42"/>
        <v>High Humidity</v>
      </c>
      <c r="T699" s="7" t="str">
        <f t="shared" si="43"/>
        <v>Moderate Wind</v>
      </c>
    </row>
    <row r="700" spans="1:20" x14ac:dyDescent="0.25">
      <c r="A700" s="7" t="s">
        <v>760</v>
      </c>
      <c r="B700" s="10">
        <v>45895</v>
      </c>
      <c r="C700" s="11" t="s">
        <v>77</v>
      </c>
      <c r="D700" s="11" t="s">
        <v>39</v>
      </c>
      <c r="E700" s="7" t="s">
        <v>61</v>
      </c>
      <c r="F700" s="9">
        <v>109.1</v>
      </c>
      <c r="G700" s="9">
        <v>70.3</v>
      </c>
      <c r="H700" s="9">
        <v>37.4</v>
      </c>
      <c r="I700" s="9">
        <v>3.7</v>
      </c>
      <c r="J700" s="9">
        <v>1.04</v>
      </c>
      <c r="K700" s="9">
        <v>29.6</v>
      </c>
      <c r="L700" s="7">
        <v>32.299999999999997</v>
      </c>
      <c r="M700" s="7">
        <v>59.5</v>
      </c>
      <c r="N700" s="7">
        <v>2.4</v>
      </c>
      <c r="O700" s="7">
        <v>292</v>
      </c>
      <c r="P700" s="7" t="s">
        <v>28</v>
      </c>
      <c r="Q700" s="7" t="str">
        <f t="shared" si="40"/>
        <v>Moderate</v>
      </c>
      <c r="R700" s="7" t="str">
        <f t="shared" si="41"/>
        <v>Hot</v>
      </c>
      <c r="S700" s="7" t="str">
        <f t="shared" si="42"/>
        <v>Normal Humidity</v>
      </c>
      <c r="T700" s="7" t="str">
        <f t="shared" si="43"/>
        <v>Moderate Wind</v>
      </c>
    </row>
    <row r="701" spans="1:20" x14ac:dyDescent="0.25">
      <c r="A701" s="7" t="s">
        <v>761</v>
      </c>
      <c r="B701" s="10">
        <v>45678</v>
      </c>
      <c r="C701" s="11" t="s">
        <v>50</v>
      </c>
      <c r="D701" s="11" t="s">
        <v>31</v>
      </c>
      <c r="E701" s="7" t="s">
        <v>61</v>
      </c>
      <c r="F701" s="9">
        <v>45.7</v>
      </c>
      <c r="G701" s="9">
        <v>113.8</v>
      </c>
      <c r="H701" s="9">
        <v>32.799999999999997</v>
      </c>
      <c r="I701" s="9">
        <v>2.9</v>
      </c>
      <c r="J701" s="9">
        <v>0.96</v>
      </c>
      <c r="K701" s="9">
        <v>20.6</v>
      </c>
      <c r="L701" s="7">
        <v>20.9</v>
      </c>
      <c r="M701" s="7">
        <v>58.2</v>
      </c>
      <c r="N701" s="7">
        <v>2.2999999999999998</v>
      </c>
      <c r="O701" s="7">
        <v>209</v>
      </c>
      <c r="P701" s="7" t="s">
        <v>28</v>
      </c>
      <c r="Q701" s="7" t="str">
        <f t="shared" si="40"/>
        <v>Unhealthy</v>
      </c>
      <c r="R701" s="7" t="str">
        <f t="shared" si="41"/>
        <v>Normal</v>
      </c>
      <c r="S701" s="7" t="str">
        <f t="shared" si="42"/>
        <v>Normal Humidity</v>
      </c>
      <c r="T701" s="7" t="str">
        <f t="shared" si="43"/>
        <v>Moderate Wind</v>
      </c>
    </row>
    <row r="702" spans="1:20" x14ac:dyDescent="0.25">
      <c r="A702" s="7" t="s">
        <v>762</v>
      </c>
      <c r="B702" s="10">
        <v>45844</v>
      </c>
      <c r="C702" s="11" t="s">
        <v>50</v>
      </c>
      <c r="D702" s="11" t="s">
        <v>31</v>
      </c>
      <c r="E702" s="7" t="s">
        <v>74</v>
      </c>
      <c r="F702" s="9">
        <v>46.2</v>
      </c>
      <c r="G702" s="9">
        <v>98.3</v>
      </c>
      <c r="H702" s="9">
        <v>17.5</v>
      </c>
      <c r="I702" s="9">
        <v>22.8</v>
      </c>
      <c r="J702" s="9">
        <v>0.28000000000000003</v>
      </c>
      <c r="K702" s="9">
        <v>34.200000000000003</v>
      </c>
      <c r="L702" s="7">
        <v>20.7</v>
      </c>
      <c r="M702" s="7">
        <v>69.2</v>
      </c>
      <c r="N702" s="7">
        <v>1.9</v>
      </c>
      <c r="O702" s="7">
        <v>190</v>
      </c>
      <c r="P702" s="7" t="s">
        <v>33</v>
      </c>
      <c r="Q702" s="7" t="str">
        <f t="shared" si="40"/>
        <v>Moderate</v>
      </c>
      <c r="R702" s="7" t="str">
        <f t="shared" si="41"/>
        <v>Normal</v>
      </c>
      <c r="S702" s="7" t="str">
        <f t="shared" si="42"/>
        <v>High Humidity</v>
      </c>
      <c r="T702" s="7" t="str">
        <f t="shared" si="43"/>
        <v>Low Wind</v>
      </c>
    </row>
    <row r="703" spans="1:20" x14ac:dyDescent="0.25">
      <c r="A703" s="7" t="s">
        <v>763</v>
      </c>
      <c r="B703" s="10">
        <v>45854</v>
      </c>
      <c r="C703" s="11" t="s">
        <v>22</v>
      </c>
      <c r="D703" s="11" t="s">
        <v>23</v>
      </c>
      <c r="E703" s="7" t="s">
        <v>55</v>
      </c>
      <c r="F703" s="9">
        <v>10.9</v>
      </c>
      <c r="G703" s="9">
        <v>69.5</v>
      </c>
      <c r="H703" s="9">
        <v>40.200000000000003</v>
      </c>
      <c r="I703" s="9">
        <v>6.8</v>
      </c>
      <c r="J703" s="9">
        <v>0.48</v>
      </c>
      <c r="K703" s="9">
        <v>49.3</v>
      </c>
      <c r="L703" s="7">
        <v>23.1</v>
      </c>
      <c r="M703" s="7">
        <v>45.6</v>
      </c>
      <c r="N703" s="7">
        <v>1.7</v>
      </c>
      <c r="O703" s="7">
        <v>134</v>
      </c>
      <c r="P703" s="7" t="s">
        <v>33</v>
      </c>
      <c r="Q703" s="7" t="str">
        <f t="shared" si="40"/>
        <v>Moderate</v>
      </c>
      <c r="R703" s="7" t="str">
        <f t="shared" si="41"/>
        <v>Normal</v>
      </c>
      <c r="S703" s="7" t="str">
        <f t="shared" si="42"/>
        <v>Normal Humidity</v>
      </c>
      <c r="T703" s="7" t="str">
        <f t="shared" si="43"/>
        <v>Low Wind</v>
      </c>
    </row>
    <row r="704" spans="1:20" x14ac:dyDescent="0.25">
      <c r="A704" s="7" t="s">
        <v>764</v>
      </c>
      <c r="B704" s="10">
        <v>45668</v>
      </c>
      <c r="C704" s="11" t="s">
        <v>50</v>
      </c>
      <c r="D704" s="11" t="s">
        <v>31</v>
      </c>
      <c r="E704" s="7" t="s">
        <v>68</v>
      </c>
      <c r="F704" s="9">
        <v>71.099999999999994</v>
      </c>
      <c r="G704" s="9">
        <v>60.7</v>
      </c>
      <c r="H704" s="9">
        <v>19.600000000000001</v>
      </c>
      <c r="I704" s="9">
        <v>6.9</v>
      </c>
      <c r="J704" s="9">
        <v>0.44</v>
      </c>
      <c r="K704" s="9">
        <v>26.3</v>
      </c>
      <c r="L704" s="7">
        <v>25.2</v>
      </c>
      <c r="M704" s="7">
        <v>72.099999999999994</v>
      </c>
      <c r="N704" s="7">
        <v>1.4</v>
      </c>
      <c r="O704" s="7">
        <v>197</v>
      </c>
      <c r="P704" s="7" t="s">
        <v>33</v>
      </c>
      <c r="Q704" s="7" t="str">
        <f t="shared" si="40"/>
        <v>Moderate</v>
      </c>
      <c r="R704" s="7" t="str">
        <f t="shared" si="41"/>
        <v>Normal</v>
      </c>
      <c r="S704" s="7" t="str">
        <f t="shared" si="42"/>
        <v>High Humidity</v>
      </c>
      <c r="T704" s="7" t="str">
        <f t="shared" si="43"/>
        <v>Low Wind</v>
      </c>
    </row>
    <row r="705" spans="1:20" x14ac:dyDescent="0.25">
      <c r="A705" s="7" t="s">
        <v>765</v>
      </c>
      <c r="B705" s="10">
        <v>45937</v>
      </c>
      <c r="C705" s="11" t="s">
        <v>52</v>
      </c>
      <c r="D705" s="11" t="s">
        <v>31</v>
      </c>
      <c r="E705" s="7" t="s">
        <v>58</v>
      </c>
      <c r="F705" s="9">
        <v>10.199999999999999</v>
      </c>
      <c r="G705" s="9">
        <v>16.7</v>
      </c>
      <c r="H705" s="9">
        <v>17.3</v>
      </c>
      <c r="I705" s="9">
        <v>17.100000000000001</v>
      </c>
      <c r="J705" s="9">
        <v>1.24</v>
      </c>
      <c r="K705" s="9">
        <v>7.4</v>
      </c>
      <c r="L705" s="7">
        <v>35.200000000000003</v>
      </c>
      <c r="M705" s="7">
        <v>84.1</v>
      </c>
      <c r="N705" s="7">
        <v>1.8</v>
      </c>
      <c r="O705" s="7">
        <v>87</v>
      </c>
      <c r="P705" s="7" t="s">
        <v>71</v>
      </c>
      <c r="Q705" s="7" t="str">
        <f t="shared" si="40"/>
        <v>Good</v>
      </c>
      <c r="R705" s="7" t="str">
        <f t="shared" si="41"/>
        <v>Hot</v>
      </c>
      <c r="S705" s="7" t="str">
        <f t="shared" si="42"/>
        <v>High Humidity</v>
      </c>
      <c r="T705" s="7" t="str">
        <f t="shared" si="43"/>
        <v>Low Wind</v>
      </c>
    </row>
    <row r="706" spans="1:20" x14ac:dyDescent="0.25">
      <c r="A706" s="7" t="s">
        <v>766</v>
      </c>
      <c r="B706" s="10">
        <v>45711</v>
      </c>
      <c r="C706" s="11" t="s">
        <v>22</v>
      </c>
      <c r="D706" s="11" t="s">
        <v>23</v>
      </c>
      <c r="E706" s="7" t="s">
        <v>97</v>
      </c>
      <c r="F706" s="9">
        <v>45.4</v>
      </c>
      <c r="G706" s="9">
        <v>124.8</v>
      </c>
      <c r="H706" s="9">
        <v>9.9</v>
      </c>
      <c r="I706" s="9">
        <v>17.5</v>
      </c>
      <c r="J706" s="9">
        <v>0.74</v>
      </c>
      <c r="K706" s="9">
        <v>33.799999999999997</v>
      </c>
      <c r="L706" s="7">
        <v>32</v>
      </c>
      <c r="M706" s="7">
        <v>59.9</v>
      </c>
      <c r="N706" s="7">
        <v>2.5</v>
      </c>
      <c r="O706" s="7">
        <v>208</v>
      </c>
      <c r="P706" s="7" t="s">
        <v>28</v>
      </c>
      <c r="Q706" s="7" t="str">
        <f t="shared" si="40"/>
        <v>Unhealthy</v>
      </c>
      <c r="R706" s="7" t="str">
        <f t="shared" si="41"/>
        <v>Hot</v>
      </c>
      <c r="S706" s="7" t="str">
        <f t="shared" si="42"/>
        <v>Normal Humidity</v>
      </c>
      <c r="T706" s="7" t="str">
        <f t="shared" si="43"/>
        <v>Moderate Wind</v>
      </c>
    </row>
    <row r="707" spans="1:20" x14ac:dyDescent="0.25">
      <c r="A707" s="7" t="s">
        <v>767</v>
      </c>
      <c r="B707" s="10">
        <v>45781</v>
      </c>
      <c r="C707" s="11" t="s">
        <v>42</v>
      </c>
      <c r="D707" s="11" t="s">
        <v>23</v>
      </c>
      <c r="E707" s="7" t="s">
        <v>32</v>
      </c>
      <c r="F707" s="9">
        <v>27.6</v>
      </c>
      <c r="G707" s="9">
        <v>92.4</v>
      </c>
      <c r="H707" s="9">
        <v>30.5</v>
      </c>
      <c r="I707" s="9">
        <v>6.2</v>
      </c>
      <c r="J707" s="9">
        <v>1.02</v>
      </c>
      <c r="K707" s="9">
        <v>21.6</v>
      </c>
      <c r="L707" s="7">
        <v>43</v>
      </c>
      <c r="M707" s="7">
        <v>92.6</v>
      </c>
      <c r="N707" s="7">
        <v>2.1</v>
      </c>
      <c r="O707" s="7">
        <v>168</v>
      </c>
      <c r="P707" s="7" t="s">
        <v>33</v>
      </c>
      <c r="Q707" s="7" t="str">
        <f t="shared" ref="Q707:Q770" si="44">IF(G707&lt;50,"Good",IF(G707&lt;=100,"Moderate",IF(G707&lt;=150,"Unhealthy","VeryUnhealthy")))</f>
        <v>Moderate</v>
      </c>
      <c r="R707" s="7" t="str">
        <f t="shared" ref="R707:R770" si="45">IF(L707&lt;20,"Cool",IF(L707&lt;=30,"Normal","Hot"))</f>
        <v>Hot</v>
      </c>
      <c r="S707" s="7" t="str">
        <f t="shared" ref="S707:S770" si="46">IF(M707&lt;30,"Low Humidity",IF(M707&lt;=60,"Normal Humidity","High Humidity"))</f>
        <v>High Humidity</v>
      </c>
      <c r="T707" s="7" t="str">
        <f t="shared" ref="T707:T770" si="47">IF(N707&lt;2,"Low Wind",IF(N707&lt;=5,"Moderate Wind","High Wind"))</f>
        <v>Moderate Wind</v>
      </c>
    </row>
    <row r="708" spans="1:20" x14ac:dyDescent="0.25">
      <c r="A708" s="7" t="s">
        <v>768</v>
      </c>
      <c r="B708" s="10">
        <v>45774</v>
      </c>
      <c r="C708" s="11" t="s">
        <v>30</v>
      </c>
      <c r="D708" s="11" t="s">
        <v>31</v>
      </c>
      <c r="E708" s="7" t="s">
        <v>27</v>
      </c>
      <c r="F708" s="9">
        <v>32.5</v>
      </c>
      <c r="G708" s="9">
        <v>17</v>
      </c>
      <c r="H708" s="9">
        <v>84.2</v>
      </c>
      <c r="I708" s="9">
        <v>6.3</v>
      </c>
      <c r="J708" s="9">
        <v>1.1399999999999999</v>
      </c>
      <c r="K708" s="9">
        <v>46.9</v>
      </c>
      <c r="L708" s="7">
        <v>31.7</v>
      </c>
      <c r="M708" s="7">
        <v>43.4</v>
      </c>
      <c r="N708" s="7">
        <v>2</v>
      </c>
      <c r="O708" s="7">
        <v>184</v>
      </c>
      <c r="P708" s="7" t="s">
        <v>33</v>
      </c>
      <c r="Q708" s="7" t="str">
        <f t="shared" si="44"/>
        <v>Good</v>
      </c>
      <c r="R708" s="7" t="str">
        <f t="shared" si="45"/>
        <v>Hot</v>
      </c>
      <c r="S708" s="7" t="str">
        <f t="shared" si="46"/>
        <v>Normal Humidity</v>
      </c>
      <c r="T708" s="7" t="str">
        <f t="shared" si="47"/>
        <v>Moderate Wind</v>
      </c>
    </row>
    <row r="709" spans="1:20" x14ac:dyDescent="0.25">
      <c r="A709" s="7" t="s">
        <v>769</v>
      </c>
      <c r="B709" s="10">
        <v>45977</v>
      </c>
      <c r="C709" s="11" t="s">
        <v>99</v>
      </c>
      <c r="D709" s="11" t="s">
        <v>36</v>
      </c>
      <c r="E709" s="7" t="s">
        <v>43</v>
      </c>
      <c r="F709" s="9">
        <v>80.2</v>
      </c>
      <c r="G709" s="9">
        <v>75.3</v>
      </c>
      <c r="H709" s="9">
        <v>32.5</v>
      </c>
      <c r="I709" s="9">
        <v>7.8</v>
      </c>
      <c r="J709" s="9">
        <v>0.55000000000000004</v>
      </c>
      <c r="K709" s="9">
        <v>27.2</v>
      </c>
      <c r="L709" s="7">
        <v>21.2</v>
      </c>
      <c r="M709" s="7">
        <v>55.4</v>
      </c>
      <c r="N709" s="7">
        <v>1.8</v>
      </c>
      <c r="O709" s="7">
        <v>235</v>
      </c>
      <c r="P709" s="7" t="s">
        <v>28</v>
      </c>
      <c r="Q709" s="7" t="str">
        <f t="shared" si="44"/>
        <v>Moderate</v>
      </c>
      <c r="R709" s="7" t="str">
        <f t="shared" si="45"/>
        <v>Normal</v>
      </c>
      <c r="S709" s="7" t="str">
        <f t="shared" si="46"/>
        <v>Normal Humidity</v>
      </c>
      <c r="T709" s="7" t="str">
        <f t="shared" si="47"/>
        <v>Low Wind</v>
      </c>
    </row>
    <row r="710" spans="1:20" x14ac:dyDescent="0.25">
      <c r="A710" s="7" t="s">
        <v>770</v>
      </c>
      <c r="B710" s="10">
        <v>46002</v>
      </c>
      <c r="C710" s="11" t="s">
        <v>38</v>
      </c>
      <c r="D710" s="11" t="s">
        <v>39</v>
      </c>
      <c r="E710" s="7" t="s">
        <v>68</v>
      </c>
      <c r="F710" s="9">
        <v>32.299999999999997</v>
      </c>
      <c r="G710" s="9">
        <v>143.19999999999999</v>
      </c>
      <c r="H710" s="9">
        <v>34.299999999999997</v>
      </c>
      <c r="I710" s="9">
        <v>12.9</v>
      </c>
      <c r="J710" s="9">
        <v>0.1</v>
      </c>
      <c r="K710" s="9">
        <v>7.3</v>
      </c>
      <c r="L710" s="7">
        <v>23</v>
      </c>
      <c r="M710" s="7">
        <v>74.400000000000006</v>
      </c>
      <c r="N710" s="7">
        <v>1.9</v>
      </c>
      <c r="O710" s="7">
        <v>187</v>
      </c>
      <c r="P710" s="7" t="s">
        <v>33</v>
      </c>
      <c r="Q710" s="7" t="str">
        <f t="shared" si="44"/>
        <v>Unhealthy</v>
      </c>
      <c r="R710" s="7" t="str">
        <f t="shared" si="45"/>
        <v>Normal</v>
      </c>
      <c r="S710" s="7" t="str">
        <f t="shared" si="46"/>
        <v>High Humidity</v>
      </c>
      <c r="T710" s="7" t="str">
        <f t="shared" si="47"/>
        <v>Low Wind</v>
      </c>
    </row>
    <row r="711" spans="1:20" x14ac:dyDescent="0.25">
      <c r="A711" s="7" t="s">
        <v>771</v>
      </c>
      <c r="B711" s="10">
        <v>45936</v>
      </c>
      <c r="C711" s="11" t="s">
        <v>26</v>
      </c>
      <c r="D711" s="11" t="s">
        <v>23</v>
      </c>
      <c r="E711" s="7" t="s">
        <v>19</v>
      </c>
      <c r="F711" s="9">
        <v>86.2</v>
      </c>
      <c r="G711" s="9">
        <v>56</v>
      </c>
      <c r="H711" s="9">
        <v>25.5</v>
      </c>
      <c r="I711" s="9">
        <v>6.1</v>
      </c>
      <c r="J711" s="9">
        <v>0.81</v>
      </c>
      <c r="K711" s="9">
        <v>31.8</v>
      </c>
      <c r="L711" s="7">
        <v>24.8</v>
      </c>
      <c r="M711" s="7">
        <v>72.2</v>
      </c>
      <c r="N711" s="7">
        <v>2.1</v>
      </c>
      <c r="O711" s="7">
        <v>234</v>
      </c>
      <c r="P711" s="7" t="s">
        <v>28</v>
      </c>
      <c r="Q711" s="7" t="str">
        <f t="shared" si="44"/>
        <v>Moderate</v>
      </c>
      <c r="R711" s="7" t="str">
        <f t="shared" si="45"/>
        <v>Normal</v>
      </c>
      <c r="S711" s="7" t="str">
        <f t="shared" si="46"/>
        <v>High Humidity</v>
      </c>
      <c r="T711" s="7" t="str">
        <f t="shared" si="47"/>
        <v>Moderate Wind</v>
      </c>
    </row>
    <row r="712" spans="1:20" x14ac:dyDescent="0.25">
      <c r="A712" s="7" t="s">
        <v>772</v>
      </c>
      <c r="B712" s="10">
        <v>45787</v>
      </c>
      <c r="C712" s="11" t="s">
        <v>93</v>
      </c>
      <c r="D712" s="11" t="s">
        <v>36</v>
      </c>
      <c r="E712" s="7" t="s">
        <v>91</v>
      </c>
      <c r="F712" s="9">
        <v>29.1</v>
      </c>
      <c r="G712" s="9">
        <v>37.799999999999997</v>
      </c>
      <c r="H712" s="9">
        <v>13.6</v>
      </c>
      <c r="I712" s="9">
        <v>17.899999999999999</v>
      </c>
      <c r="J712" s="9">
        <v>0.23</v>
      </c>
      <c r="K712" s="9">
        <v>52.8</v>
      </c>
      <c r="L712" s="7">
        <v>18.600000000000001</v>
      </c>
      <c r="M712" s="7">
        <v>51.3</v>
      </c>
      <c r="N712" s="7">
        <v>1.8</v>
      </c>
      <c r="O712" s="7">
        <v>124</v>
      </c>
      <c r="P712" s="7" t="s">
        <v>33</v>
      </c>
      <c r="Q712" s="7" t="str">
        <f t="shared" si="44"/>
        <v>Good</v>
      </c>
      <c r="R712" s="7" t="str">
        <f t="shared" si="45"/>
        <v>Cool</v>
      </c>
      <c r="S712" s="7" t="str">
        <f t="shared" si="46"/>
        <v>Normal Humidity</v>
      </c>
      <c r="T712" s="7" t="str">
        <f t="shared" si="47"/>
        <v>Low Wind</v>
      </c>
    </row>
    <row r="713" spans="1:20" x14ac:dyDescent="0.25">
      <c r="A713" s="7" t="s">
        <v>773</v>
      </c>
      <c r="B713" s="10">
        <v>45892</v>
      </c>
      <c r="C713" s="11" t="s">
        <v>30</v>
      </c>
      <c r="D713" s="11" t="s">
        <v>31</v>
      </c>
      <c r="E713" s="7" t="s">
        <v>61</v>
      </c>
      <c r="F713" s="9">
        <v>35.9</v>
      </c>
      <c r="G713" s="9">
        <v>49.8</v>
      </c>
      <c r="H713" s="9">
        <v>38.4</v>
      </c>
      <c r="I713" s="9">
        <v>8.4</v>
      </c>
      <c r="J713" s="9">
        <v>1.38</v>
      </c>
      <c r="K713" s="9">
        <v>94.8</v>
      </c>
      <c r="L713" s="7">
        <v>29.8</v>
      </c>
      <c r="M713" s="7">
        <v>54.6</v>
      </c>
      <c r="N713" s="7">
        <v>0.9</v>
      </c>
      <c r="O713" s="7">
        <v>204</v>
      </c>
      <c r="P713" s="7" t="s">
        <v>28</v>
      </c>
      <c r="Q713" s="7" t="str">
        <f t="shared" si="44"/>
        <v>Good</v>
      </c>
      <c r="R713" s="7" t="str">
        <f t="shared" si="45"/>
        <v>Normal</v>
      </c>
      <c r="S713" s="7" t="str">
        <f t="shared" si="46"/>
        <v>Normal Humidity</v>
      </c>
      <c r="T713" s="7" t="str">
        <f t="shared" si="47"/>
        <v>Low Wind</v>
      </c>
    </row>
    <row r="714" spans="1:20" x14ac:dyDescent="0.25">
      <c r="A714" s="7" t="s">
        <v>774</v>
      </c>
      <c r="B714" s="10">
        <v>45895</v>
      </c>
      <c r="C714" s="11" t="s">
        <v>30</v>
      </c>
      <c r="D714" s="11" t="s">
        <v>31</v>
      </c>
      <c r="E714" s="7" t="s">
        <v>24</v>
      </c>
      <c r="F714" s="9">
        <v>36.200000000000003</v>
      </c>
      <c r="G714" s="9">
        <v>48.4</v>
      </c>
      <c r="H714" s="9">
        <v>35.4</v>
      </c>
      <c r="I714" s="9">
        <v>3.1</v>
      </c>
      <c r="J714" s="9">
        <v>0.69</v>
      </c>
      <c r="K714" s="9">
        <v>41.5</v>
      </c>
      <c r="L714" s="7">
        <v>30.8</v>
      </c>
      <c r="M714" s="7">
        <v>78.7</v>
      </c>
      <c r="N714" s="7">
        <v>1.1000000000000001</v>
      </c>
      <c r="O714" s="7">
        <v>156</v>
      </c>
      <c r="P714" s="7" t="s">
        <v>33</v>
      </c>
      <c r="Q714" s="7" t="str">
        <f t="shared" si="44"/>
        <v>Good</v>
      </c>
      <c r="R714" s="7" t="str">
        <f t="shared" si="45"/>
        <v>Hot</v>
      </c>
      <c r="S714" s="7" t="str">
        <f t="shared" si="46"/>
        <v>High Humidity</v>
      </c>
      <c r="T714" s="7" t="str">
        <f t="shared" si="47"/>
        <v>Low Wind</v>
      </c>
    </row>
    <row r="715" spans="1:20" x14ac:dyDescent="0.25">
      <c r="A715" s="7" t="s">
        <v>775</v>
      </c>
      <c r="B715" s="10">
        <v>45789</v>
      </c>
      <c r="C715" s="11" t="s">
        <v>64</v>
      </c>
      <c r="D715" s="11" t="s">
        <v>36</v>
      </c>
      <c r="E715" s="7" t="s">
        <v>97</v>
      </c>
      <c r="F715" s="9">
        <v>65.7</v>
      </c>
      <c r="G715" s="9">
        <v>160.80000000000001</v>
      </c>
      <c r="H715" s="9">
        <v>9.6999999999999993</v>
      </c>
      <c r="I715" s="9">
        <v>12.4</v>
      </c>
      <c r="J715" s="9">
        <v>2.4</v>
      </c>
      <c r="K715" s="9">
        <v>21</v>
      </c>
      <c r="L715" s="7">
        <v>25.9</v>
      </c>
      <c r="M715" s="7">
        <v>33.200000000000003</v>
      </c>
      <c r="N715" s="7">
        <v>1.2</v>
      </c>
      <c r="O715" s="7">
        <v>296</v>
      </c>
      <c r="P715" s="7" t="s">
        <v>28</v>
      </c>
      <c r="Q715" s="7" t="str">
        <f t="shared" si="44"/>
        <v>VeryUnhealthy</v>
      </c>
      <c r="R715" s="7" t="str">
        <f t="shared" si="45"/>
        <v>Normal</v>
      </c>
      <c r="S715" s="7" t="str">
        <f t="shared" si="46"/>
        <v>Normal Humidity</v>
      </c>
      <c r="T715" s="7" t="str">
        <f t="shared" si="47"/>
        <v>Low Wind</v>
      </c>
    </row>
    <row r="716" spans="1:20" x14ac:dyDescent="0.25">
      <c r="A716" s="7" t="s">
        <v>776</v>
      </c>
      <c r="B716" s="10">
        <v>45751</v>
      </c>
      <c r="C716" s="11" t="s">
        <v>35</v>
      </c>
      <c r="D716" s="11" t="s">
        <v>36</v>
      </c>
      <c r="E716" s="7" t="s">
        <v>70</v>
      </c>
      <c r="F716" s="9">
        <v>49.7</v>
      </c>
      <c r="G716" s="9">
        <v>174.9</v>
      </c>
      <c r="H716" s="9">
        <v>13</v>
      </c>
      <c r="I716" s="9">
        <v>3.3</v>
      </c>
      <c r="J716" s="9">
        <v>0.95</v>
      </c>
      <c r="K716" s="9">
        <v>5.6</v>
      </c>
      <c r="L716" s="7">
        <v>34.5</v>
      </c>
      <c r="M716" s="7">
        <v>67.5</v>
      </c>
      <c r="N716" s="7">
        <v>3.1</v>
      </c>
      <c r="O716" s="7">
        <v>232</v>
      </c>
      <c r="P716" s="7" t="s">
        <v>28</v>
      </c>
      <c r="Q716" s="7" t="str">
        <f t="shared" si="44"/>
        <v>VeryUnhealthy</v>
      </c>
      <c r="R716" s="7" t="str">
        <f t="shared" si="45"/>
        <v>Hot</v>
      </c>
      <c r="S716" s="7" t="str">
        <f t="shared" si="46"/>
        <v>High Humidity</v>
      </c>
      <c r="T716" s="7" t="str">
        <f t="shared" si="47"/>
        <v>Moderate Wind</v>
      </c>
    </row>
    <row r="717" spans="1:20" x14ac:dyDescent="0.25">
      <c r="A717" s="7" t="s">
        <v>777</v>
      </c>
      <c r="B717" s="10">
        <v>45707</v>
      </c>
      <c r="C717" s="11" t="s">
        <v>38</v>
      </c>
      <c r="D717" s="11" t="s">
        <v>39</v>
      </c>
      <c r="E717" s="7" t="s">
        <v>45</v>
      </c>
      <c r="F717" s="9">
        <v>71.7</v>
      </c>
      <c r="G717" s="9">
        <v>100</v>
      </c>
      <c r="H717" s="9">
        <v>31.2</v>
      </c>
      <c r="I717" s="9">
        <v>7.5</v>
      </c>
      <c r="J717" s="9">
        <v>0.32</v>
      </c>
      <c r="K717" s="9">
        <v>25.2</v>
      </c>
      <c r="L717" s="7">
        <v>22.8</v>
      </c>
      <c r="M717" s="7">
        <v>75.599999999999994</v>
      </c>
      <c r="N717" s="7">
        <v>3.4</v>
      </c>
      <c r="O717" s="7">
        <v>229</v>
      </c>
      <c r="P717" s="7" t="s">
        <v>28</v>
      </c>
      <c r="Q717" s="7" t="str">
        <f t="shared" si="44"/>
        <v>Moderate</v>
      </c>
      <c r="R717" s="7" t="str">
        <f t="shared" si="45"/>
        <v>Normal</v>
      </c>
      <c r="S717" s="7" t="str">
        <f t="shared" si="46"/>
        <v>High Humidity</v>
      </c>
      <c r="T717" s="7" t="str">
        <f t="shared" si="47"/>
        <v>Moderate Wind</v>
      </c>
    </row>
    <row r="718" spans="1:20" x14ac:dyDescent="0.25">
      <c r="A718" s="7" t="s">
        <v>778</v>
      </c>
      <c r="B718" s="10">
        <v>45824</v>
      </c>
      <c r="C718" s="11" t="s">
        <v>35</v>
      </c>
      <c r="D718" s="11" t="s">
        <v>36</v>
      </c>
      <c r="E718" s="7" t="s">
        <v>61</v>
      </c>
      <c r="F718" s="9">
        <v>20.399999999999999</v>
      </c>
      <c r="G718" s="9">
        <v>35</v>
      </c>
      <c r="H718" s="9">
        <v>25.3</v>
      </c>
      <c r="I718" s="9">
        <v>9.8000000000000007</v>
      </c>
      <c r="J718" s="9">
        <v>0.71</v>
      </c>
      <c r="K718" s="9">
        <v>28.1</v>
      </c>
      <c r="L718" s="7">
        <v>22.6</v>
      </c>
      <c r="M718" s="7">
        <v>28.9</v>
      </c>
      <c r="N718" s="7">
        <v>1.8</v>
      </c>
      <c r="O718" s="7">
        <v>113</v>
      </c>
      <c r="P718" s="7" t="s">
        <v>33</v>
      </c>
      <c r="Q718" s="7" t="str">
        <f t="shared" si="44"/>
        <v>Good</v>
      </c>
      <c r="R718" s="7" t="str">
        <f t="shared" si="45"/>
        <v>Normal</v>
      </c>
      <c r="S718" s="7" t="str">
        <f t="shared" si="46"/>
        <v>Low Humidity</v>
      </c>
      <c r="T718" s="7" t="str">
        <f t="shared" si="47"/>
        <v>Low Wind</v>
      </c>
    </row>
    <row r="719" spans="1:20" x14ac:dyDescent="0.25">
      <c r="A719" s="7" t="s">
        <v>779</v>
      </c>
      <c r="B719" s="10">
        <v>45875</v>
      </c>
      <c r="C719" s="11" t="s">
        <v>64</v>
      </c>
      <c r="D719" s="11" t="s">
        <v>36</v>
      </c>
      <c r="E719" s="7" t="s">
        <v>43</v>
      </c>
      <c r="F719" s="9">
        <v>60.6</v>
      </c>
      <c r="G719" s="9">
        <v>65.8</v>
      </c>
      <c r="H719" s="9">
        <v>30.3</v>
      </c>
      <c r="I719" s="9">
        <v>8.3000000000000007</v>
      </c>
      <c r="J719" s="9">
        <v>1.3</v>
      </c>
      <c r="K719" s="9">
        <v>19.899999999999999</v>
      </c>
      <c r="L719" s="7">
        <v>30.4</v>
      </c>
      <c r="M719" s="7">
        <v>66.900000000000006</v>
      </c>
      <c r="N719" s="7">
        <v>0.6</v>
      </c>
      <c r="O719" s="7">
        <v>211</v>
      </c>
      <c r="P719" s="7" t="s">
        <v>28</v>
      </c>
      <c r="Q719" s="7" t="str">
        <f t="shared" si="44"/>
        <v>Moderate</v>
      </c>
      <c r="R719" s="7" t="str">
        <f t="shared" si="45"/>
        <v>Hot</v>
      </c>
      <c r="S719" s="7" t="str">
        <f t="shared" si="46"/>
        <v>High Humidity</v>
      </c>
      <c r="T719" s="7" t="str">
        <f t="shared" si="47"/>
        <v>Low Wind</v>
      </c>
    </row>
    <row r="720" spans="1:20" x14ac:dyDescent="0.25">
      <c r="A720" s="7" t="s">
        <v>780</v>
      </c>
      <c r="B720" s="10">
        <v>45921</v>
      </c>
      <c r="C720" s="11" t="s">
        <v>35</v>
      </c>
      <c r="D720" s="11" t="s">
        <v>36</v>
      </c>
      <c r="E720" s="7" t="s">
        <v>58</v>
      </c>
      <c r="F720" s="9">
        <v>41.3</v>
      </c>
      <c r="G720" s="9">
        <v>138.9</v>
      </c>
      <c r="H720" s="9">
        <v>37.5</v>
      </c>
      <c r="I720" s="9">
        <v>3.8</v>
      </c>
      <c r="J720" s="9">
        <v>0.82</v>
      </c>
      <c r="K720" s="9">
        <v>6.7</v>
      </c>
      <c r="L720" s="7">
        <v>29.3</v>
      </c>
      <c r="M720" s="7">
        <v>78.2</v>
      </c>
      <c r="N720" s="7">
        <v>2.1</v>
      </c>
      <c r="O720" s="7">
        <v>213</v>
      </c>
      <c r="P720" s="7" t="s">
        <v>28</v>
      </c>
      <c r="Q720" s="7" t="str">
        <f t="shared" si="44"/>
        <v>Unhealthy</v>
      </c>
      <c r="R720" s="7" t="str">
        <f t="shared" si="45"/>
        <v>Normal</v>
      </c>
      <c r="S720" s="7" t="str">
        <f t="shared" si="46"/>
        <v>High Humidity</v>
      </c>
      <c r="T720" s="7" t="str">
        <f t="shared" si="47"/>
        <v>Moderate Wind</v>
      </c>
    </row>
    <row r="721" spans="1:20" x14ac:dyDescent="0.25">
      <c r="A721" s="7" t="s">
        <v>781</v>
      </c>
      <c r="B721" s="10">
        <v>45732</v>
      </c>
      <c r="C721" s="11" t="s">
        <v>81</v>
      </c>
      <c r="D721" s="11" t="s">
        <v>39</v>
      </c>
      <c r="E721" s="7" t="s">
        <v>40</v>
      </c>
      <c r="F721" s="9">
        <v>44.5</v>
      </c>
      <c r="G721" s="9">
        <v>63.2</v>
      </c>
      <c r="H721" s="9">
        <v>38.700000000000003</v>
      </c>
      <c r="I721" s="9">
        <v>22.8</v>
      </c>
      <c r="J721" s="9">
        <v>0.93</v>
      </c>
      <c r="K721" s="9">
        <v>88</v>
      </c>
      <c r="L721" s="7">
        <v>35.799999999999997</v>
      </c>
      <c r="M721" s="7">
        <v>45.8</v>
      </c>
      <c r="N721" s="7">
        <v>1.2</v>
      </c>
      <c r="O721" s="7">
        <v>222</v>
      </c>
      <c r="P721" s="7" t="s">
        <v>28</v>
      </c>
      <c r="Q721" s="7" t="str">
        <f t="shared" si="44"/>
        <v>Moderate</v>
      </c>
      <c r="R721" s="7" t="str">
        <f t="shared" si="45"/>
        <v>Hot</v>
      </c>
      <c r="S721" s="7" t="str">
        <f t="shared" si="46"/>
        <v>Normal Humidity</v>
      </c>
      <c r="T721" s="7" t="str">
        <f t="shared" si="47"/>
        <v>Low Wind</v>
      </c>
    </row>
    <row r="722" spans="1:20" x14ac:dyDescent="0.25">
      <c r="A722" s="7" t="s">
        <v>782</v>
      </c>
      <c r="B722" s="10">
        <v>45891</v>
      </c>
      <c r="C722" s="11" t="s">
        <v>81</v>
      </c>
      <c r="D722" s="11" t="s">
        <v>39</v>
      </c>
      <c r="E722" s="7" t="s">
        <v>74</v>
      </c>
      <c r="F722" s="9">
        <v>69.3</v>
      </c>
      <c r="G722" s="9">
        <v>178.6</v>
      </c>
      <c r="H722" s="9">
        <v>22.3</v>
      </c>
      <c r="I722" s="9">
        <v>7.5</v>
      </c>
      <c r="J722" s="9">
        <v>0.68</v>
      </c>
      <c r="K722" s="9">
        <v>6.1</v>
      </c>
      <c r="L722" s="7">
        <v>36.9</v>
      </c>
      <c r="M722" s="7">
        <v>58.5</v>
      </c>
      <c r="N722" s="7">
        <v>0.9</v>
      </c>
      <c r="O722" s="7">
        <v>270</v>
      </c>
      <c r="P722" s="7" t="s">
        <v>28</v>
      </c>
      <c r="Q722" s="7" t="str">
        <f t="shared" si="44"/>
        <v>VeryUnhealthy</v>
      </c>
      <c r="R722" s="7" t="str">
        <f t="shared" si="45"/>
        <v>Hot</v>
      </c>
      <c r="S722" s="7" t="str">
        <f t="shared" si="46"/>
        <v>Normal Humidity</v>
      </c>
      <c r="T722" s="7" t="str">
        <f t="shared" si="47"/>
        <v>Low Wind</v>
      </c>
    </row>
    <row r="723" spans="1:20" x14ac:dyDescent="0.25">
      <c r="A723" s="7" t="s">
        <v>783</v>
      </c>
      <c r="B723" s="10">
        <v>45978</v>
      </c>
      <c r="C723" s="11" t="s">
        <v>30</v>
      </c>
      <c r="D723" s="11" t="s">
        <v>31</v>
      </c>
      <c r="E723" s="7" t="s">
        <v>24</v>
      </c>
      <c r="F723" s="9">
        <v>21.7</v>
      </c>
      <c r="G723" s="9">
        <v>127.7</v>
      </c>
      <c r="H723" s="9">
        <v>10</v>
      </c>
      <c r="I723" s="9">
        <v>2</v>
      </c>
      <c r="J723" s="9">
        <v>0.32</v>
      </c>
      <c r="K723" s="9">
        <v>34.9</v>
      </c>
      <c r="L723" s="7">
        <v>34.9</v>
      </c>
      <c r="M723" s="7">
        <v>41.6</v>
      </c>
      <c r="N723" s="7">
        <v>0.4</v>
      </c>
      <c r="O723" s="7">
        <v>151</v>
      </c>
      <c r="P723" s="7" t="s">
        <v>33</v>
      </c>
      <c r="Q723" s="7" t="str">
        <f t="shared" si="44"/>
        <v>Unhealthy</v>
      </c>
      <c r="R723" s="7" t="str">
        <f t="shared" si="45"/>
        <v>Hot</v>
      </c>
      <c r="S723" s="7" t="str">
        <f t="shared" si="46"/>
        <v>Normal Humidity</v>
      </c>
      <c r="T723" s="7" t="str">
        <f t="shared" si="47"/>
        <v>Low Wind</v>
      </c>
    </row>
    <row r="724" spans="1:20" x14ac:dyDescent="0.25">
      <c r="A724" s="7" t="s">
        <v>784</v>
      </c>
      <c r="B724" s="10">
        <v>45939</v>
      </c>
      <c r="C724" s="11" t="s">
        <v>93</v>
      </c>
      <c r="D724" s="11" t="s">
        <v>36</v>
      </c>
      <c r="E724" s="7" t="s">
        <v>61</v>
      </c>
      <c r="F724" s="9">
        <v>37.200000000000003</v>
      </c>
      <c r="G724" s="9">
        <v>189.4</v>
      </c>
      <c r="H724" s="9">
        <v>14.1</v>
      </c>
      <c r="I724" s="9">
        <v>5.4</v>
      </c>
      <c r="J724" s="9">
        <v>0.05</v>
      </c>
      <c r="K724" s="9">
        <v>109.3</v>
      </c>
      <c r="L724" s="7">
        <v>26.4</v>
      </c>
      <c r="M724" s="7">
        <v>41.6</v>
      </c>
      <c r="N724" s="7">
        <v>2.8</v>
      </c>
      <c r="O724" s="7">
        <v>248</v>
      </c>
      <c r="P724" s="7" t="s">
        <v>28</v>
      </c>
      <c r="Q724" s="7" t="str">
        <f t="shared" si="44"/>
        <v>VeryUnhealthy</v>
      </c>
      <c r="R724" s="7" t="str">
        <f t="shared" si="45"/>
        <v>Normal</v>
      </c>
      <c r="S724" s="7" t="str">
        <f t="shared" si="46"/>
        <v>Normal Humidity</v>
      </c>
      <c r="T724" s="7" t="str">
        <f t="shared" si="47"/>
        <v>Moderate Wind</v>
      </c>
    </row>
    <row r="725" spans="1:20" x14ac:dyDescent="0.25">
      <c r="A725" s="7" t="s">
        <v>785</v>
      </c>
      <c r="B725" s="10">
        <v>45978</v>
      </c>
      <c r="C725" s="11" t="s">
        <v>22</v>
      </c>
      <c r="D725" s="11" t="s">
        <v>23</v>
      </c>
      <c r="E725" s="7" t="s">
        <v>97</v>
      </c>
      <c r="F725" s="9">
        <v>28.1</v>
      </c>
      <c r="G725" s="9">
        <v>31.9</v>
      </c>
      <c r="H725" s="9">
        <v>7.9</v>
      </c>
      <c r="I725" s="9">
        <v>8.5</v>
      </c>
      <c r="J725" s="9">
        <v>0.34</v>
      </c>
      <c r="K725" s="9">
        <v>39.9</v>
      </c>
      <c r="L725" s="7">
        <v>23.4</v>
      </c>
      <c r="M725" s="7">
        <v>63.1</v>
      </c>
      <c r="N725" s="7">
        <v>1.8</v>
      </c>
      <c r="O725" s="7">
        <v>104</v>
      </c>
      <c r="P725" s="7" t="s">
        <v>33</v>
      </c>
      <c r="Q725" s="7" t="str">
        <f t="shared" si="44"/>
        <v>Good</v>
      </c>
      <c r="R725" s="7" t="str">
        <f t="shared" si="45"/>
        <v>Normal</v>
      </c>
      <c r="S725" s="7" t="str">
        <f t="shared" si="46"/>
        <v>High Humidity</v>
      </c>
      <c r="T725" s="7" t="str">
        <f t="shared" si="47"/>
        <v>Low Wind</v>
      </c>
    </row>
    <row r="726" spans="1:20" x14ac:dyDescent="0.25">
      <c r="A726" s="7" t="s">
        <v>786</v>
      </c>
      <c r="B726" s="10">
        <v>45948</v>
      </c>
      <c r="C726" s="11" t="s">
        <v>35</v>
      </c>
      <c r="D726" s="11" t="s">
        <v>36</v>
      </c>
      <c r="E726" s="7" t="s">
        <v>97</v>
      </c>
      <c r="F726" s="9">
        <v>76.2</v>
      </c>
      <c r="G726" s="9">
        <v>97.3</v>
      </c>
      <c r="H726" s="9">
        <v>8.3000000000000007</v>
      </c>
      <c r="I726" s="9">
        <v>19.899999999999999</v>
      </c>
      <c r="J726" s="9">
        <v>0.94</v>
      </c>
      <c r="K726" s="9">
        <v>81.400000000000006</v>
      </c>
      <c r="L726" s="7">
        <v>21.3</v>
      </c>
      <c r="M726" s="7">
        <v>66.599999999999994</v>
      </c>
      <c r="N726" s="7">
        <v>2.2000000000000002</v>
      </c>
      <c r="O726" s="7">
        <v>266</v>
      </c>
      <c r="P726" s="7" t="s">
        <v>28</v>
      </c>
      <c r="Q726" s="7" t="str">
        <f t="shared" si="44"/>
        <v>Moderate</v>
      </c>
      <c r="R726" s="7" t="str">
        <f t="shared" si="45"/>
        <v>Normal</v>
      </c>
      <c r="S726" s="7" t="str">
        <f t="shared" si="46"/>
        <v>High Humidity</v>
      </c>
      <c r="T726" s="7" t="str">
        <f t="shared" si="47"/>
        <v>Moderate Wind</v>
      </c>
    </row>
    <row r="727" spans="1:20" x14ac:dyDescent="0.25">
      <c r="A727" s="7" t="s">
        <v>787</v>
      </c>
      <c r="B727" s="10">
        <v>45838</v>
      </c>
      <c r="C727" s="11" t="s">
        <v>50</v>
      </c>
      <c r="D727" s="11" t="s">
        <v>31</v>
      </c>
      <c r="E727" s="7" t="s">
        <v>97</v>
      </c>
      <c r="F727" s="9">
        <v>73.099999999999994</v>
      </c>
      <c r="G727" s="9">
        <v>185.4</v>
      </c>
      <c r="H727" s="9">
        <v>48.6</v>
      </c>
      <c r="I727" s="9">
        <v>15.5</v>
      </c>
      <c r="J727" s="9">
        <v>0.59</v>
      </c>
      <c r="K727" s="9">
        <v>36.799999999999997</v>
      </c>
      <c r="L727" s="7">
        <v>25.2</v>
      </c>
      <c r="M727" s="7">
        <v>45.6</v>
      </c>
      <c r="N727" s="7">
        <v>3.8</v>
      </c>
      <c r="O727" s="7">
        <v>319</v>
      </c>
      <c r="P727" s="7" t="s">
        <v>20</v>
      </c>
      <c r="Q727" s="7" t="str">
        <f t="shared" si="44"/>
        <v>VeryUnhealthy</v>
      </c>
      <c r="R727" s="7" t="str">
        <f t="shared" si="45"/>
        <v>Normal</v>
      </c>
      <c r="S727" s="7" t="str">
        <f t="shared" si="46"/>
        <v>Normal Humidity</v>
      </c>
      <c r="T727" s="7" t="str">
        <f t="shared" si="47"/>
        <v>Moderate Wind</v>
      </c>
    </row>
    <row r="728" spans="1:20" x14ac:dyDescent="0.25">
      <c r="A728" s="7" t="s">
        <v>788</v>
      </c>
      <c r="B728" s="10">
        <v>46020</v>
      </c>
      <c r="C728" s="11" t="s">
        <v>17</v>
      </c>
      <c r="D728" s="11" t="s">
        <v>18</v>
      </c>
      <c r="E728" s="7" t="s">
        <v>19</v>
      </c>
      <c r="F728" s="9">
        <v>16.3</v>
      </c>
      <c r="G728" s="9">
        <v>73</v>
      </c>
      <c r="H728" s="9">
        <v>40.299999999999997</v>
      </c>
      <c r="I728" s="9">
        <v>2.1</v>
      </c>
      <c r="J728" s="9">
        <v>0.93</v>
      </c>
      <c r="K728" s="9">
        <v>14.8</v>
      </c>
      <c r="L728" s="7">
        <v>25.1</v>
      </c>
      <c r="M728" s="7">
        <v>45</v>
      </c>
      <c r="N728" s="7">
        <v>0.7</v>
      </c>
      <c r="O728" s="7">
        <v>137</v>
      </c>
      <c r="P728" s="7" t="s">
        <v>33</v>
      </c>
      <c r="Q728" s="7" t="str">
        <f t="shared" si="44"/>
        <v>Moderate</v>
      </c>
      <c r="R728" s="7" t="str">
        <f t="shared" si="45"/>
        <v>Normal</v>
      </c>
      <c r="S728" s="7" t="str">
        <f t="shared" si="46"/>
        <v>Normal Humidity</v>
      </c>
      <c r="T728" s="7" t="str">
        <f t="shared" si="47"/>
        <v>Low Wind</v>
      </c>
    </row>
    <row r="729" spans="1:20" x14ac:dyDescent="0.25">
      <c r="A729" s="7" t="s">
        <v>789</v>
      </c>
      <c r="B729" s="10">
        <v>45909</v>
      </c>
      <c r="C729" s="11" t="s">
        <v>50</v>
      </c>
      <c r="D729" s="11" t="s">
        <v>31</v>
      </c>
      <c r="E729" s="7" t="s">
        <v>68</v>
      </c>
      <c r="F729" s="9">
        <v>32</v>
      </c>
      <c r="G729" s="9">
        <v>136.30000000000001</v>
      </c>
      <c r="H729" s="9">
        <v>25</v>
      </c>
      <c r="I729" s="9">
        <v>9.4</v>
      </c>
      <c r="J729" s="9">
        <v>1.54</v>
      </c>
      <c r="K729" s="9">
        <v>71</v>
      </c>
      <c r="L729" s="7">
        <v>32</v>
      </c>
      <c r="M729" s="7">
        <v>63.9</v>
      </c>
      <c r="N729" s="7">
        <v>1.6</v>
      </c>
      <c r="O729" s="7">
        <v>237</v>
      </c>
      <c r="P729" s="7" t="s">
        <v>28</v>
      </c>
      <c r="Q729" s="7" t="str">
        <f t="shared" si="44"/>
        <v>Unhealthy</v>
      </c>
      <c r="R729" s="7" t="str">
        <f t="shared" si="45"/>
        <v>Hot</v>
      </c>
      <c r="S729" s="7" t="str">
        <f t="shared" si="46"/>
        <v>High Humidity</v>
      </c>
      <c r="T729" s="7" t="str">
        <f t="shared" si="47"/>
        <v>Low Wind</v>
      </c>
    </row>
    <row r="730" spans="1:20" x14ac:dyDescent="0.25">
      <c r="A730" s="7" t="s">
        <v>790</v>
      </c>
      <c r="B730" s="10">
        <v>45826</v>
      </c>
      <c r="C730" s="11" t="s">
        <v>99</v>
      </c>
      <c r="D730" s="11" t="s">
        <v>36</v>
      </c>
      <c r="E730" s="7" t="s">
        <v>43</v>
      </c>
      <c r="F730" s="9">
        <v>35.299999999999997</v>
      </c>
      <c r="G730" s="9">
        <v>112.5</v>
      </c>
      <c r="H730" s="9">
        <v>29.4</v>
      </c>
      <c r="I730" s="9">
        <v>1.6</v>
      </c>
      <c r="J730" s="9">
        <v>0.4</v>
      </c>
      <c r="K730" s="9">
        <v>29.1</v>
      </c>
      <c r="L730" s="7">
        <v>34.299999999999997</v>
      </c>
      <c r="M730" s="7">
        <v>76</v>
      </c>
      <c r="N730" s="7">
        <v>2.7</v>
      </c>
      <c r="O730" s="7">
        <v>177</v>
      </c>
      <c r="P730" s="7" t="s">
        <v>33</v>
      </c>
      <c r="Q730" s="7" t="str">
        <f t="shared" si="44"/>
        <v>Unhealthy</v>
      </c>
      <c r="R730" s="7" t="str">
        <f t="shared" si="45"/>
        <v>Hot</v>
      </c>
      <c r="S730" s="7" t="str">
        <f t="shared" si="46"/>
        <v>High Humidity</v>
      </c>
      <c r="T730" s="7" t="str">
        <f t="shared" si="47"/>
        <v>Moderate Wind</v>
      </c>
    </row>
    <row r="731" spans="1:20" x14ac:dyDescent="0.25">
      <c r="A731" s="7" t="s">
        <v>791</v>
      </c>
      <c r="B731" s="10">
        <v>45923</v>
      </c>
      <c r="C731" s="11" t="s">
        <v>67</v>
      </c>
      <c r="D731" s="11" t="s">
        <v>18</v>
      </c>
      <c r="E731" s="7" t="s">
        <v>70</v>
      </c>
      <c r="F731" s="9">
        <v>19.3</v>
      </c>
      <c r="G731" s="9">
        <v>26.2</v>
      </c>
      <c r="H731" s="9">
        <v>21</v>
      </c>
      <c r="I731" s="9">
        <v>25.7</v>
      </c>
      <c r="J731" s="9">
        <v>0.11</v>
      </c>
      <c r="K731" s="9">
        <v>77.5</v>
      </c>
      <c r="L731" s="7">
        <v>22.4</v>
      </c>
      <c r="M731" s="7">
        <v>30.3</v>
      </c>
      <c r="N731" s="7">
        <v>2.8</v>
      </c>
      <c r="O731" s="7">
        <v>120</v>
      </c>
      <c r="P731" s="7" t="s">
        <v>33</v>
      </c>
      <c r="Q731" s="7" t="str">
        <f t="shared" si="44"/>
        <v>Good</v>
      </c>
      <c r="R731" s="7" t="str">
        <f t="shared" si="45"/>
        <v>Normal</v>
      </c>
      <c r="S731" s="7" t="str">
        <f t="shared" si="46"/>
        <v>Normal Humidity</v>
      </c>
      <c r="T731" s="7" t="str">
        <f t="shared" si="47"/>
        <v>Moderate Wind</v>
      </c>
    </row>
    <row r="732" spans="1:20" x14ac:dyDescent="0.25">
      <c r="A732" s="7" t="s">
        <v>792</v>
      </c>
      <c r="B732" s="10">
        <v>46001</v>
      </c>
      <c r="C732" s="11" t="s">
        <v>77</v>
      </c>
      <c r="D732" s="11" t="s">
        <v>39</v>
      </c>
      <c r="E732" s="7" t="s">
        <v>45</v>
      </c>
      <c r="F732" s="9">
        <v>31.6</v>
      </c>
      <c r="G732" s="9">
        <v>42.5</v>
      </c>
      <c r="H732" s="9">
        <v>14.6</v>
      </c>
      <c r="I732" s="9">
        <v>18.600000000000001</v>
      </c>
      <c r="J732" s="9">
        <v>2.12</v>
      </c>
      <c r="K732" s="9">
        <v>20</v>
      </c>
      <c r="L732" s="7">
        <v>31.3</v>
      </c>
      <c r="M732" s="7">
        <v>67.2</v>
      </c>
      <c r="N732" s="7">
        <v>2.9</v>
      </c>
      <c r="O732" s="7">
        <v>165</v>
      </c>
      <c r="P732" s="7" t="s">
        <v>33</v>
      </c>
      <c r="Q732" s="7" t="str">
        <f t="shared" si="44"/>
        <v>Good</v>
      </c>
      <c r="R732" s="7" t="str">
        <f t="shared" si="45"/>
        <v>Hot</v>
      </c>
      <c r="S732" s="7" t="str">
        <f t="shared" si="46"/>
        <v>High Humidity</v>
      </c>
      <c r="T732" s="7" t="str">
        <f t="shared" si="47"/>
        <v>Moderate Wind</v>
      </c>
    </row>
    <row r="733" spans="1:20" x14ac:dyDescent="0.25">
      <c r="A733" s="7" t="s">
        <v>793</v>
      </c>
      <c r="B733" s="10">
        <v>45783</v>
      </c>
      <c r="C733" s="11" t="s">
        <v>99</v>
      </c>
      <c r="D733" s="11" t="s">
        <v>36</v>
      </c>
      <c r="E733" s="7" t="s">
        <v>45</v>
      </c>
      <c r="F733" s="9">
        <v>41.6</v>
      </c>
      <c r="G733" s="9">
        <v>47.8</v>
      </c>
      <c r="H733" s="9">
        <v>94.6</v>
      </c>
      <c r="I733" s="9">
        <v>17.7</v>
      </c>
      <c r="J733" s="9">
        <v>0.81</v>
      </c>
      <c r="K733" s="9">
        <v>37.9</v>
      </c>
      <c r="L733" s="7">
        <v>26.1</v>
      </c>
      <c r="M733" s="7">
        <v>62.3</v>
      </c>
      <c r="N733" s="7">
        <v>0.9</v>
      </c>
      <c r="O733" s="7">
        <v>223</v>
      </c>
      <c r="P733" s="7" t="s">
        <v>28</v>
      </c>
      <c r="Q733" s="7" t="str">
        <f t="shared" si="44"/>
        <v>Good</v>
      </c>
      <c r="R733" s="7" t="str">
        <f t="shared" si="45"/>
        <v>Normal</v>
      </c>
      <c r="S733" s="7" t="str">
        <f t="shared" si="46"/>
        <v>High Humidity</v>
      </c>
      <c r="T733" s="7" t="str">
        <f t="shared" si="47"/>
        <v>Low Wind</v>
      </c>
    </row>
    <row r="734" spans="1:20" x14ac:dyDescent="0.25">
      <c r="A734" s="7" t="s">
        <v>794</v>
      </c>
      <c r="B734" s="10">
        <v>45662</v>
      </c>
      <c r="C734" s="11" t="s">
        <v>77</v>
      </c>
      <c r="D734" s="11" t="s">
        <v>39</v>
      </c>
      <c r="E734" s="7" t="s">
        <v>70</v>
      </c>
      <c r="F734" s="9">
        <v>122.4</v>
      </c>
      <c r="G734" s="9">
        <v>70.8</v>
      </c>
      <c r="H734" s="9">
        <v>49.8</v>
      </c>
      <c r="I734" s="9">
        <v>16</v>
      </c>
      <c r="J734" s="9">
        <v>0.51</v>
      </c>
      <c r="K734" s="9">
        <v>27.7</v>
      </c>
      <c r="L734" s="7">
        <v>31.7</v>
      </c>
      <c r="M734" s="7">
        <v>63.6</v>
      </c>
      <c r="N734" s="7">
        <v>3.9</v>
      </c>
      <c r="O734" s="7">
        <v>318</v>
      </c>
      <c r="P734" s="7" t="s">
        <v>20</v>
      </c>
      <c r="Q734" s="7" t="str">
        <f t="shared" si="44"/>
        <v>Moderate</v>
      </c>
      <c r="R734" s="7" t="str">
        <f t="shared" si="45"/>
        <v>Hot</v>
      </c>
      <c r="S734" s="7" t="str">
        <f t="shared" si="46"/>
        <v>High Humidity</v>
      </c>
      <c r="T734" s="7" t="str">
        <f t="shared" si="47"/>
        <v>Moderate Wind</v>
      </c>
    </row>
    <row r="735" spans="1:20" x14ac:dyDescent="0.25">
      <c r="A735" s="7" t="s">
        <v>795</v>
      </c>
      <c r="B735" s="10">
        <v>45714</v>
      </c>
      <c r="C735" s="11" t="s">
        <v>17</v>
      </c>
      <c r="D735" s="11" t="s">
        <v>18</v>
      </c>
      <c r="E735" s="7" t="s">
        <v>45</v>
      </c>
      <c r="F735" s="9">
        <v>64.900000000000006</v>
      </c>
      <c r="G735" s="9">
        <v>101</v>
      </c>
      <c r="H735" s="9">
        <v>50</v>
      </c>
      <c r="I735" s="9">
        <v>6.1</v>
      </c>
      <c r="J735" s="9">
        <v>1.01</v>
      </c>
      <c r="K735" s="9">
        <v>4.5999999999999996</v>
      </c>
      <c r="L735" s="7">
        <v>22.4</v>
      </c>
      <c r="M735" s="7">
        <v>65.8</v>
      </c>
      <c r="N735" s="7">
        <v>0.1</v>
      </c>
      <c r="O735" s="7">
        <v>241</v>
      </c>
      <c r="P735" s="7" t="s">
        <v>28</v>
      </c>
      <c r="Q735" s="7" t="str">
        <f t="shared" si="44"/>
        <v>Unhealthy</v>
      </c>
      <c r="R735" s="7" t="str">
        <f t="shared" si="45"/>
        <v>Normal</v>
      </c>
      <c r="S735" s="7" t="str">
        <f t="shared" si="46"/>
        <v>High Humidity</v>
      </c>
      <c r="T735" s="7" t="str">
        <f t="shared" si="47"/>
        <v>Low Wind</v>
      </c>
    </row>
    <row r="736" spans="1:20" x14ac:dyDescent="0.25">
      <c r="A736" s="7" t="s">
        <v>796</v>
      </c>
      <c r="B736" s="10">
        <v>45924</v>
      </c>
      <c r="C736" s="11" t="s">
        <v>99</v>
      </c>
      <c r="D736" s="11" t="s">
        <v>36</v>
      </c>
      <c r="E736" s="7" t="s">
        <v>45</v>
      </c>
      <c r="F736" s="9">
        <v>40.1</v>
      </c>
      <c r="G736" s="9">
        <v>72.599999999999994</v>
      </c>
      <c r="H736" s="9">
        <v>37.700000000000003</v>
      </c>
      <c r="I736" s="9">
        <v>30.9</v>
      </c>
      <c r="J736" s="9">
        <v>0.1</v>
      </c>
      <c r="K736" s="9">
        <v>40.9</v>
      </c>
      <c r="L736" s="7">
        <v>27.6</v>
      </c>
      <c r="M736" s="7">
        <v>79.400000000000006</v>
      </c>
      <c r="N736" s="7">
        <v>2.2999999999999998</v>
      </c>
      <c r="O736" s="7">
        <v>184</v>
      </c>
      <c r="P736" s="7" t="s">
        <v>33</v>
      </c>
      <c r="Q736" s="7" t="str">
        <f t="shared" si="44"/>
        <v>Moderate</v>
      </c>
      <c r="R736" s="7" t="str">
        <f t="shared" si="45"/>
        <v>Normal</v>
      </c>
      <c r="S736" s="7" t="str">
        <f t="shared" si="46"/>
        <v>High Humidity</v>
      </c>
      <c r="T736" s="7" t="str">
        <f t="shared" si="47"/>
        <v>Moderate Wind</v>
      </c>
    </row>
    <row r="737" spans="1:20" x14ac:dyDescent="0.25">
      <c r="A737" s="7" t="s">
        <v>797</v>
      </c>
      <c r="B737" s="10">
        <v>45814</v>
      </c>
      <c r="C737" s="11" t="s">
        <v>42</v>
      </c>
      <c r="D737" s="11" t="s">
        <v>23</v>
      </c>
      <c r="E737" s="7" t="s">
        <v>97</v>
      </c>
      <c r="F737" s="9">
        <v>102.5</v>
      </c>
      <c r="G737" s="9">
        <v>67.3</v>
      </c>
      <c r="H737" s="9">
        <v>19.899999999999999</v>
      </c>
      <c r="I737" s="9">
        <v>9.5</v>
      </c>
      <c r="J737" s="9">
        <v>0.28999999999999998</v>
      </c>
      <c r="K737" s="9">
        <v>53.1</v>
      </c>
      <c r="L737" s="7">
        <v>38.799999999999997</v>
      </c>
      <c r="M737" s="7">
        <v>77.7</v>
      </c>
      <c r="N737" s="7">
        <v>2.5</v>
      </c>
      <c r="O737" s="7">
        <v>261</v>
      </c>
      <c r="P737" s="7" t="s">
        <v>28</v>
      </c>
      <c r="Q737" s="7" t="str">
        <f t="shared" si="44"/>
        <v>Moderate</v>
      </c>
      <c r="R737" s="7" t="str">
        <f t="shared" si="45"/>
        <v>Hot</v>
      </c>
      <c r="S737" s="7" t="str">
        <f t="shared" si="46"/>
        <v>High Humidity</v>
      </c>
      <c r="T737" s="7" t="str">
        <f t="shared" si="47"/>
        <v>Moderate Wind</v>
      </c>
    </row>
    <row r="738" spans="1:20" x14ac:dyDescent="0.25">
      <c r="A738" s="7" t="s">
        <v>798</v>
      </c>
      <c r="B738" s="10">
        <v>45669</v>
      </c>
      <c r="C738" s="11" t="s">
        <v>64</v>
      </c>
      <c r="D738" s="11" t="s">
        <v>36</v>
      </c>
      <c r="E738" s="7" t="s">
        <v>58</v>
      </c>
      <c r="F738" s="9">
        <v>31.1</v>
      </c>
      <c r="G738" s="9">
        <v>135</v>
      </c>
      <c r="H738" s="9">
        <v>41</v>
      </c>
      <c r="I738" s="9">
        <v>9</v>
      </c>
      <c r="J738" s="9">
        <v>0.17</v>
      </c>
      <c r="K738" s="9">
        <v>20.9</v>
      </c>
      <c r="L738" s="7">
        <v>22.8</v>
      </c>
      <c r="M738" s="7">
        <v>79.099999999999994</v>
      </c>
      <c r="N738" s="7">
        <v>4.9000000000000004</v>
      </c>
      <c r="O738" s="7">
        <v>190</v>
      </c>
      <c r="P738" s="7" t="s">
        <v>33</v>
      </c>
      <c r="Q738" s="7" t="str">
        <f t="shared" si="44"/>
        <v>Unhealthy</v>
      </c>
      <c r="R738" s="7" t="str">
        <f t="shared" si="45"/>
        <v>Normal</v>
      </c>
      <c r="S738" s="7" t="str">
        <f t="shared" si="46"/>
        <v>High Humidity</v>
      </c>
      <c r="T738" s="7" t="str">
        <f t="shared" si="47"/>
        <v>Moderate Wind</v>
      </c>
    </row>
    <row r="739" spans="1:20" x14ac:dyDescent="0.25">
      <c r="A739" s="7" t="s">
        <v>799</v>
      </c>
      <c r="B739" s="10">
        <v>45841</v>
      </c>
      <c r="C739" s="11" t="s">
        <v>67</v>
      </c>
      <c r="D739" s="11" t="s">
        <v>18</v>
      </c>
      <c r="E739" s="7" t="s">
        <v>43</v>
      </c>
      <c r="F739" s="9">
        <v>32.1</v>
      </c>
      <c r="G739" s="9">
        <v>214.6</v>
      </c>
      <c r="H739" s="9">
        <v>30.6</v>
      </c>
      <c r="I739" s="9">
        <v>3.5</v>
      </c>
      <c r="J739" s="9">
        <v>0.47</v>
      </c>
      <c r="K739" s="9">
        <v>12.8</v>
      </c>
      <c r="L739" s="7">
        <v>21.3</v>
      </c>
      <c r="M739" s="7">
        <v>64.8</v>
      </c>
      <c r="N739" s="7">
        <v>2</v>
      </c>
      <c r="O739" s="7">
        <v>235</v>
      </c>
      <c r="P739" s="7" t="s">
        <v>28</v>
      </c>
      <c r="Q739" s="7" t="str">
        <f t="shared" si="44"/>
        <v>VeryUnhealthy</v>
      </c>
      <c r="R739" s="7" t="str">
        <f t="shared" si="45"/>
        <v>Normal</v>
      </c>
      <c r="S739" s="7" t="str">
        <f t="shared" si="46"/>
        <v>High Humidity</v>
      </c>
      <c r="T739" s="7" t="str">
        <f t="shared" si="47"/>
        <v>Moderate Wind</v>
      </c>
    </row>
    <row r="740" spans="1:20" x14ac:dyDescent="0.25">
      <c r="A740" s="7" t="s">
        <v>800</v>
      </c>
      <c r="B740" s="10">
        <v>45988</v>
      </c>
      <c r="C740" s="11" t="s">
        <v>38</v>
      </c>
      <c r="D740" s="11" t="s">
        <v>39</v>
      </c>
      <c r="E740" s="7" t="s">
        <v>74</v>
      </c>
      <c r="F740" s="9">
        <v>51.6</v>
      </c>
      <c r="G740" s="9">
        <v>23.1</v>
      </c>
      <c r="H740" s="9">
        <v>29.2</v>
      </c>
      <c r="I740" s="9">
        <v>7.5</v>
      </c>
      <c r="J740" s="9">
        <v>0.33</v>
      </c>
      <c r="K740" s="9">
        <v>38.5</v>
      </c>
      <c r="L740" s="7">
        <v>28.3</v>
      </c>
      <c r="M740" s="7">
        <v>48.1</v>
      </c>
      <c r="N740" s="7">
        <v>3.2</v>
      </c>
      <c r="O740" s="7">
        <v>152</v>
      </c>
      <c r="P740" s="7" t="s">
        <v>33</v>
      </c>
      <c r="Q740" s="7" t="str">
        <f t="shared" si="44"/>
        <v>Good</v>
      </c>
      <c r="R740" s="7" t="str">
        <f t="shared" si="45"/>
        <v>Normal</v>
      </c>
      <c r="S740" s="7" t="str">
        <f t="shared" si="46"/>
        <v>Normal Humidity</v>
      </c>
      <c r="T740" s="7" t="str">
        <f t="shared" si="47"/>
        <v>Moderate Wind</v>
      </c>
    </row>
    <row r="741" spans="1:20" x14ac:dyDescent="0.25">
      <c r="A741" s="7" t="s">
        <v>801</v>
      </c>
      <c r="B741" s="10">
        <v>45911</v>
      </c>
      <c r="C741" s="11" t="s">
        <v>93</v>
      </c>
      <c r="D741" s="11" t="s">
        <v>36</v>
      </c>
      <c r="E741" s="7" t="s">
        <v>27</v>
      </c>
      <c r="F741" s="9">
        <v>66.3</v>
      </c>
      <c r="G741" s="9">
        <v>186.8</v>
      </c>
      <c r="H741" s="9">
        <v>52.2</v>
      </c>
      <c r="I741" s="9">
        <v>23.4</v>
      </c>
      <c r="J741" s="9">
        <v>0.08</v>
      </c>
      <c r="K741" s="9">
        <v>20.7</v>
      </c>
      <c r="L741" s="7">
        <v>25.3</v>
      </c>
      <c r="M741" s="7">
        <v>46.8</v>
      </c>
      <c r="N741" s="7">
        <v>3.1</v>
      </c>
      <c r="O741" s="7">
        <v>297</v>
      </c>
      <c r="P741" s="7" t="s">
        <v>28</v>
      </c>
      <c r="Q741" s="7" t="str">
        <f t="shared" si="44"/>
        <v>VeryUnhealthy</v>
      </c>
      <c r="R741" s="7" t="str">
        <f t="shared" si="45"/>
        <v>Normal</v>
      </c>
      <c r="S741" s="7" t="str">
        <f t="shared" si="46"/>
        <v>Normal Humidity</v>
      </c>
      <c r="T741" s="7" t="str">
        <f t="shared" si="47"/>
        <v>Moderate Wind</v>
      </c>
    </row>
    <row r="742" spans="1:20" x14ac:dyDescent="0.25">
      <c r="A742" s="7" t="s">
        <v>802</v>
      </c>
      <c r="B742" s="10">
        <v>46000</v>
      </c>
      <c r="C742" s="11" t="s">
        <v>54</v>
      </c>
      <c r="D742" s="11" t="s">
        <v>18</v>
      </c>
      <c r="E742" s="7" t="s">
        <v>97</v>
      </c>
      <c r="F742" s="9">
        <v>23.4</v>
      </c>
      <c r="G742" s="9">
        <v>82.6</v>
      </c>
      <c r="H742" s="9">
        <v>14.5</v>
      </c>
      <c r="I742" s="9">
        <v>2.2000000000000002</v>
      </c>
      <c r="J742" s="9">
        <v>1.56</v>
      </c>
      <c r="K742" s="9">
        <v>32.5</v>
      </c>
      <c r="L742" s="7">
        <v>30.8</v>
      </c>
      <c r="M742" s="7">
        <v>73.5</v>
      </c>
      <c r="N742" s="7">
        <v>2.1</v>
      </c>
      <c r="O742" s="7">
        <v>158</v>
      </c>
      <c r="P742" s="7" t="s">
        <v>33</v>
      </c>
      <c r="Q742" s="7" t="str">
        <f t="shared" si="44"/>
        <v>Moderate</v>
      </c>
      <c r="R742" s="7" t="str">
        <f t="shared" si="45"/>
        <v>Hot</v>
      </c>
      <c r="S742" s="7" t="str">
        <f t="shared" si="46"/>
        <v>High Humidity</v>
      </c>
      <c r="T742" s="7" t="str">
        <f t="shared" si="47"/>
        <v>Moderate Wind</v>
      </c>
    </row>
    <row r="743" spans="1:20" x14ac:dyDescent="0.25">
      <c r="A743" s="7" t="s">
        <v>803</v>
      </c>
      <c r="B743" s="10">
        <v>45907</v>
      </c>
      <c r="C743" s="11" t="s">
        <v>35</v>
      </c>
      <c r="D743" s="11" t="s">
        <v>36</v>
      </c>
      <c r="E743" s="7" t="s">
        <v>70</v>
      </c>
      <c r="F743" s="9">
        <v>47.4</v>
      </c>
      <c r="G743" s="9">
        <v>82.9</v>
      </c>
      <c r="H743" s="9">
        <v>25.8</v>
      </c>
      <c r="I743" s="9">
        <v>15.9</v>
      </c>
      <c r="J743" s="9">
        <v>1.01</v>
      </c>
      <c r="K743" s="9">
        <v>29.2</v>
      </c>
      <c r="L743" s="7">
        <v>29.6</v>
      </c>
      <c r="M743" s="7">
        <v>73.8</v>
      </c>
      <c r="N743" s="7">
        <v>2.4</v>
      </c>
      <c r="O743" s="7">
        <v>200</v>
      </c>
      <c r="P743" s="7" t="s">
        <v>33</v>
      </c>
      <c r="Q743" s="7" t="str">
        <f t="shared" si="44"/>
        <v>Moderate</v>
      </c>
      <c r="R743" s="7" t="str">
        <f t="shared" si="45"/>
        <v>Normal</v>
      </c>
      <c r="S743" s="7" t="str">
        <f t="shared" si="46"/>
        <v>High Humidity</v>
      </c>
      <c r="T743" s="7" t="str">
        <f t="shared" si="47"/>
        <v>Moderate Wind</v>
      </c>
    </row>
    <row r="744" spans="1:20" x14ac:dyDescent="0.25">
      <c r="A744" s="7" t="s">
        <v>804</v>
      </c>
      <c r="B744" s="10">
        <v>45681</v>
      </c>
      <c r="C744" s="11" t="s">
        <v>35</v>
      </c>
      <c r="D744" s="11" t="s">
        <v>36</v>
      </c>
      <c r="E744" s="7" t="s">
        <v>74</v>
      </c>
      <c r="F744" s="9">
        <v>34.700000000000003</v>
      </c>
      <c r="G744" s="9">
        <v>192.5</v>
      </c>
      <c r="H744" s="9">
        <v>55.2</v>
      </c>
      <c r="I744" s="9">
        <v>13.7</v>
      </c>
      <c r="J744" s="9">
        <v>0.31</v>
      </c>
      <c r="K744" s="9">
        <v>17.3</v>
      </c>
      <c r="L744" s="7">
        <v>28.7</v>
      </c>
      <c r="M744" s="7">
        <v>88.4</v>
      </c>
      <c r="N744" s="7">
        <v>1.7</v>
      </c>
      <c r="O744" s="7">
        <v>250</v>
      </c>
      <c r="P744" s="7" t="s">
        <v>28</v>
      </c>
      <c r="Q744" s="7" t="str">
        <f t="shared" si="44"/>
        <v>VeryUnhealthy</v>
      </c>
      <c r="R744" s="7" t="str">
        <f t="shared" si="45"/>
        <v>Normal</v>
      </c>
      <c r="S744" s="7" t="str">
        <f t="shared" si="46"/>
        <v>High Humidity</v>
      </c>
      <c r="T744" s="7" t="str">
        <f t="shared" si="47"/>
        <v>Low Wind</v>
      </c>
    </row>
    <row r="745" spans="1:20" x14ac:dyDescent="0.25">
      <c r="A745" s="7" t="s">
        <v>805</v>
      </c>
      <c r="B745" s="10">
        <v>45678</v>
      </c>
      <c r="C745" s="11" t="s">
        <v>42</v>
      </c>
      <c r="D745" s="11" t="s">
        <v>23</v>
      </c>
      <c r="E745" s="7" t="s">
        <v>55</v>
      </c>
      <c r="F745" s="9">
        <v>62</v>
      </c>
      <c r="G745" s="9">
        <v>87.5</v>
      </c>
      <c r="H745" s="9">
        <v>14.1</v>
      </c>
      <c r="I745" s="9">
        <v>3.9</v>
      </c>
      <c r="J745" s="9">
        <v>0.52</v>
      </c>
      <c r="K745" s="9">
        <v>8.4</v>
      </c>
      <c r="L745" s="7">
        <v>15.9</v>
      </c>
      <c r="M745" s="7">
        <v>57.4</v>
      </c>
      <c r="N745" s="7">
        <v>2.6</v>
      </c>
      <c r="O745" s="7">
        <v>187</v>
      </c>
      <c r="P745" s="7" t="s">
        <v>33</v>
      </c>
      <c r="Q745" s="7" t="str">
        <f t="shared" si="44"/>
        <v>Moderate</v>
      </c>
      <c r="R745" s="7" t="str">
        <f t="shared" si="45"/>
        <v>Cool</v>
      </c>
      <c r="S745" s="7" t="str">
        <f t="shared" si="46"/>
        <v>Normal Humidity</v>
      </c>
      <c r="T745" s="7" t="str">
        <f t="shared" si="47"/>
        <v>Moderate Wind</v>
      </c>
    </row>
    <row r="746" spans="1:20" x14ac:dyDescent="0.25">
      <c r="A746" s="7" t="s">
        <v>806</v>
      </c>
      <c r="B746" s="10">
        <v>45947</v>
      </c>
      <c r="C746" s="11" t="s">
        <v>67</v>
      </c>
      <c r="D746" s="11" t="s">
        <v>18</v>
      </c>
      <c r="E746" s="7" t="s">
        <v>58</v>
      </c>
      <c r="F746" s="9">
        <v>97.7</v>
      </c>
      <c r="G746" s="9">
        <v>108.2</v>
      </c>
      <c r="H746" s="9">
        <v>45.6</v>
      </c>
      <c r="I746" s="9">
        <v>8.5</v>
      </c>
      <c r="J746" s="9">
        <v>0.2</v>
      </c>
      <c r="K746" s="9">
        <v>76.099999999999994</v>
      </c>
      <c r="L746" s="7">
        <v>26.6</v>
      </c>
      <c r="M746" s="7">
        <v>69.599999999999994</v>
      </c>
      <c r="N746" s="7">
        <v>2</v>
      </c>
      <c r="O746" s="7">
        <v>308</v>
      </c>
      <c r="P746" s="7" t="s">
        <v>20</v>
      </c>
      <c r="Q746" s="7" t="str">
        <f t="shared" si="44"/>
        <v>Unhealthy</v>
      </c>
      <c r="R746" s="7" t="str">
        <f t="shared" si="45"/>
        <v>Normal</v>
      </c>
      <c r="S746" s="7" t="str">
        <f t="shared" si="46"/>
        <v>High Humidity</v>
      </c>
      <c r="T746" s="7" t="str">
        <f t="shared" si="47"/>
        <v>Moderate Wind</v>
      </c>
    </row>
    <row r="747" spans="1:20" x14ac:dyDescent="0.25">
      <c r="A747" s="7" t="s">
        <v>807</v>
      </c>
      <c r="B747" s="10">
        <v>45994</v>
      </c>
      <c r="C747" s="11" t="s">
        <v>17</v>
      </c>
      <c r="D747" s="11" t="s">
        <v>18</v>
      </c>
      <c r="E747" s="7" t="s">
        <v>68</v>
      </c>
      <c r="F747" s="9">
        <v>55</v>
      </c>
      <c r="G747" s="9">
        <v>123.3</v>
      </c>
      <c r="H747" s="9">
        <v>34.200000000000003</v>
      </c>
      <c r="I747" s="9">
        <v>9.6999999999999993</v>
      </c>
      <c r="J747" s="9">
        <v>0.3</v>
      </c>
      <c r="K747" s="9">
        <v>8.1999999999999993</v>
      </c>
      <c r="L747" s="7">
        <v>35.5</v>
      </c>
      <c r="M747" s="7">
        <v>38.9</v>
      </c>
      <c r="N747" s="7">
        <v>1.6</v>
      </c>
      <c r="O747" s="7">
        <v>213</v>
      </c>
      <c r="P747" s="7" t="s">
        <v>28</v>
      </c>
      <c r="Q747" s="7" t="str">
        <f t="shared" si="44"/>
        <v>Unhealthy</v>
      </c>
      <c r="R747" s="7" t="str">
        <f t="shared" si="45"/>
        <v>Hot</v>
      </c>
      <c r="S747" s="7" t="str">
        <f t="shared" si="46"/>
        <v>Normal Humidity</v>
      </c>
      <c r="T747" s="7" t="str">
        <f t="shared" si="47"/>
        <v>Low Wind</v>
      </c>
    </row>
    <row r="748" spans="1:20" x14ac:dyDescent="0.25">
      <c r="A748" s="7" t="s">
        <v>808</v>
      </c>
      <c r="B748" s="10">
        <v>45853</v>
      </c>
      <c r="C748" s="11" t="s">
        <v>99</v>
      </c>
      <c r="D748" s="11" t="s">
        <v>36</v>
      </c>
      <c r="E748" s="7" t="s">
        <v>27</v>
      </c>
      <c r="F748" s="9">
        <v>78.599999999999994</v>
      </c>
      <c r="G748" s="9">
        <v>28.4</v>
      </c>
      <c r="H748" s="9">
        <v>15.1</v>
      </c>
      <c r="I748" s="9">
        <v>28.7</v>
      </c>
      <c r="J748" s="9">
        <v>0.77</v>
      </c>
      <c r="K748" s="9">
        <v>38.1</v>
      </c>
      <c r="L748" s="7">
        <v>33.1</v>
      </c>
      <c r="M748" s="7">
        <v>78.8</v>
      </c>
      <c r="N748" s="7">
        <v>2.8</v>
      </c>
      <c r="O748" s="7">
        <v>213</v>
      </c>
      <c r="P748" s="7" t="s">
        <v>28</v>
      </c>
      <c r="Q748" s="7" t="str">
        <f t="shared" si="44"/>
        <v>Good</v>
      </c>
      <c r="R748" s="7" t="str">
        <f t="shared" si="45"/>
        <v>Hot</v>
      </c>
      <c r="S748" s="7" t="str">
        <f t="shared" si="46"/>
        <v>High Humidity</v>
      </c>
      <c r="T748" s="7" t="str">
        <f t="shared" si="47"/>
        <v>Moderate Wind</v>
      </c>
    </row>
    <row r="749" spans="1:20" x14ac:dyDescent="0.25">
      <c r="A749" s="7" t="s">
        <v>809</v>
      </c>
      <c r="B749" s="10">
        <v>45732</v>
      </c>
      <c r="C749" s="11" t="s">
        <v>38</v>
      </c>
      <c r="D749" s="11" t="s">
        <v>39</v>
      </c>
      <c r="E749" s="7" t="s">
        <v>45</v>
      </c>
      <c r="F749" s="9">
        <v>21.5</v>
      </c>
      <c r="G749" s="9">
        <v>36.299999999999997</v>
      </c>
      <c r="H749" s="9">
        <v>24.5</v>
      </c>
      <c r="I749" s="9">
        <v>5.7</v>
      </c>
      <c r="J749" s="9">
        <v>1.99</v>
      </c>
      <c r="K749" s="9">
        <v>24.4</v>
      </c>
      <c r="L749" s="7">
        <v>26.7</v>
      </c>
      <c r="M749" s="7">
        <v>72.900000000000006</v>
      </c>
      <c r="N749" s="7">
        <v>1.8</v>
      </c>
      <c r="O749" s="7">
        <v>142</v>
      </c>
      <c r="P749" s="7" t="s">
        <v>33</v>
      </c>
      <c r="Q749" s="7" t="str">
        <f t="shared" si="44"/>
        <v>Good</v>
      </c>
      <c r="R749" s="7" t="str">
        <f t="shared" si="45"/>
        <v>Normal</v>
      </c>
      <c r="S749" s="7" t="str">
        <f t="shared" si="46"/>
        <v>High Humidity</v>
      </c>
      <c r="T749" s="7" t="str">
        <f t="shared" si="47"/>
        <v>Low Wind</v>
      </c>
    </row>
    <row r="750" spans="1:20" x14ac:dyDescent="0.25">
      <c r="A750" s="7" t="s">
        <v>810</v>
      </c>
      <c r="B750" s="10">
        <v>45966</v>
      </c>
      <c r="C750" s="11" t="s">
        <v>64</v>
      </c>
      <c r="D750" s="11" t="s">
        <v>36</v>
      </c>
      <c r="E750" s="7" t="s">
        <v>45</v>
      </c>
      <c r="F750" s="9">
        <v>16</v>
      </c>
      <c r="G750" s="9">
        <v>92.8</v>
      </c>
      <c r="H750" s="9">
        <v>14.4</v>
      </c>
      <c r="I750" s="9">
        <v>5.5</v>
      </c>
      <c r="J750" s="9">
        <v>0.62</v>
      </c>
      <c r="K750" s="9">
        <v>17.899999999999999</v>
      </c>
      <c r="L750" s="7">
        <v>40.799999999999997</v>
      </c>
      <c r="M750" s="7">
        <v>53.2</v>
      </c>
      <c r="N750" s="7">
        <v>0.2</v>
      </c>
      <c r="O750" s="7">
        <v>125</v>
      </c>
      <c r="P750" s="7" t="s">
        <v>33</v>
      </c>
      <c r="Q750" s="7" t="str">
        <f t="shared" si="44"/>
        <v>Moderate</v>
      </c>
      <c r="R750" s="7" t="str">
        <f t="shared" si="45"/>
        <v>Hot</v>
      </c>
      <c r="S750" s="7" t="str">
        <f t="shared" si="46"/>
        <v>Normal Humidity</v>
      </c>
      <c r="T750" s="7" t="str">
        <f t="shared" si="47"/>
        <v>Low Wind</v>
      </c>
    </row>
    <row r="751" spans="1:20" x14ac:dyDescent="0.25">
      <c r="A751" s="7" t="s">
        <v>811</v>
      </c>
      <c r="B751" s="10">
        <v>45743</v>
      </c>
      <c r="C751" s="11" t="s">
        <v>67</v>
      </c>
      <c r="D751" s="11" t="s">
        <v>18</v>
      </c>
      <c r="E751" s="7" t="s">
        <v>40</v>
      </c>
      <c r="F751" s="9">
        <v>29.9</v>
      </c>
      <c r="G751" s="9">
        <v>39.6</v>
      </c>
      <c r="H751" s="9">
        <v>27.7</v>
      </c>
      <c r="I751" s="9">
        <v>11.5</v>
      </c>
      <c r="J751" s="9">
        <v>0.6</v>
      </c>
      <c r="K751" s="9">
        <v>10.6</v>
      </c>
      <c r="L751" s="7">
        <v>23.5</v>
      </c>
      <c r="M751" s="7">
        <v>71.2</v>
      </c>
      <c r="N751" s="7">
        <v>0.5</v>
      </c>
      <c r="O751" s="7">
        <v>124</v>
      </c>
      <c r="P751" s="7" t="s">
        <v>33</v>
      </c>
      <c r="Q751" s="7" t="str">
        <f t="shared" si="44"/>
        <v>Good</v>
      </c>
      <c r="R751" s="7" t="str">
        <f t="shared" si="45"/>
        <v>Normal</v>
      </c>
      <c r="S751" s="7" t="str">
        <f t="shared" si="46"/>
        <v>High Humidity</v>
      </c>
      <c r="T751" s="7" t="str">
        <f t="shared" si="47"/>
        <v>Low Wind</v>
      </c>
    </row>
    <row r="752" spans="1:20" x14ac:dyDescent="0.25">
      <c r="A752" s="7" t="s">
        <v>812</v>
      </c>
      <c r="B752" s="10">
        <v>45944</v>
      </c>
      <c r="C752" s="11" t="s">
        <v>54</v>
      </c>
      <c r="D752" s="11" t="s">
        <v>18</v>
      </c>
      <c r="E752" s="7" t="s">
        <v>97</v>
      </c>
      <c r="F752" s="9">
        <v>113.4</v>
      </c>
      <c r="G752" s="9">
        <v>86.8</v>
      </c>
      <c r="H752" s="9">
        <v>5.9</v>
      </c>
      <c r="I752" s="9">
        <v>16.399999999999999</v>
      </c>
      <c r="J752" s="9">
        <v>0.42</v>
      </c>
      <c r="K752" s="9">
        <v>58.1</v>
      </c>
      <c r="L752" s="7">
        <v>21.5</v>
      </c>
      <c r="M752" s="7">
        <v>78.900000000000006</v>
      </c>
      <c r="N752" s="7">
        <v>1.4</v>
      </c>
      <c r="O752" s="7">
        <v>291</v>
      </c>
      <c r="P752" s="7" t="s">
        <v>28</v>
      </c>
      <c r="Q752" s="7" t="str">
        <f t="shared" si="44"/>
        <v>Moderate</v>
      </c>
      <c r="R752" s="7" t="str">
        <f t="shared" si="45"/>
        <v>Normal</v>
      </c>
      <c r="S752" s="7" t="str">
        <f t="shared" si="46"/>
        <v>High Humidity</v>
      </c>
      <c r="T752" s="7" t="str">
        <f t="shared" si="47"/>
        <v>Low Wind</v>
      </c>
    </row>
    <row r="753" spans="1:20" x14ac:dyDescent="0.25">
      <c r="A753" s="7" t="s">
        <v>813</v>
      </c>
      <c r="B753" s="10">
        <v>45690</v>
      </c>
      <c r="C753" s="11" t="s">
        <v>22</v>
      </c>
      <c r="D753" s="11" t="s">
        <v>23</v>
      </c>
      <c r="E753" s="7" t="s">
        <v>19</v>
      </c>
      <c r="F753" s="9">
        <v>35.6</v>
      </c>
      <c r="G753" s="9">
        <v>42.9</v>
      </c>
      <c r="H753" s="9">
        <v>11.6</v>
      </c>
      <c r="I753" s="9">
        <v>16.600000000000001</v>
      </c>
      <c r="J753" s="9">
        <v>0.89</v>
      </c>
      <c r="K753" s="9">
        <v>55.9</v>
      </c>
      <c r="L753" s="7">
        <v>20.5</v>
      </c>
      <c r="M753" s="7">
        <v>87.2</v>
      </c>
      <c r="N753" s="7">
        <v>4</v>
      </c>
      <c r="O753" s="7">
        <v>153</v>
      </c>
      <c r="P753" s="7" t="s">
        <v>33</v>
      </c>
      <c r="Q753" s="7" t="str">
        <f t="shared" si="44"/>
        <v>Good</v>
      </c>
      <c r="R753" s="7" t="str">
        <f t="shared" si="45"/>
        <v>Normal</v>
      </c>
      <c r="S753" s="7" t="str">
        <f t="shared" si="46"/>
        <v>High Humidity</v>
      </c>
      <c r="T753" s="7" t="str">
        <f t="shared" si="47"/>
        <v>Moderate Wind</v>
      </c>
    </row>
    <row r="754" spans="1:20" x14ac:dyDescent="0.25">
      <c r="A754" s="7" t="s">
        <v>814</v>
      </c>
      <c r="B754" s="10">
        <v>45819</v>
      </c>
      <c r="C754" s="11" t="s">
        <v>93</v>
      </c>
      <c r="D754" s="11" t="s">
        <v>36</v>
      </c>
      <c r="E754" s="7" t="s">
        <v>68</v>
      </c>
      <c r="F754" s="9">
        <v>40.6</v>
      </c>
      <c r="G754" s="9">
        <v>47.6</v>
      </c>
      <c r="H754" s="9">
        <v>33.299999999999997</v>
      </c>
      <c r="I754" s="9">
        <v>13.7</v>
      </c>
      <c r="J754" s="9">
        <v>0.38</v>
      </c>
      <c r="K754" s="9">
        <v>34.1</v>
      </c>
      <c r="L754" s="7">
        <v>23.1</v>
      </c>
      <c r="M754" s="7">
        <v>62.5</v>
      </c>
      <c r="N754" s="7">
        <v>3</v>
      </c>
      <c r="O754" s="7">
        <v>157</v>
      </c>
      <c r="P754" s="7" t="s">
        <v>33</v>
      </c>
      <c r="Q754" s="7" t="str">
        <f t="shared" si="44"/>
        <v>Good</v>
      </c>
      <c r="R754" s="7" t="str">
        <f t="shared" si="45"/>
        <v>Normal</v>
      </c>
      <c r="S754" s="7" t="str">
        <f t="shared" si="46"/>
        <v>High Humidity</v>
      </c>
      <c r="T754" s="7" t="str">
        <f t="shared" si="47"/>
        <v>Moderate Wind</v>
      </c>
    </row>
    <row r="755" spans="1:20" x14ac:dyDescent="0.25">
      <c r="A755" s="7" t="s">
        <v>815</v>
      </c>
      <c r="B755" s="10">
        <v>45839</v>
      </c>
      <c r="C755" s="11" t="s">
        <v>54</v>
      </c>
      <c r="D755" s="11" t="s">
        <v>18</v>
      </c>
      <c r="E755" s="7" t="s">
        <v>24</v>
      </c>
      <c r="F755" s="9">
        <v>63.5</v>
      </c>
      <c r="G755" s="9">
        <v>51.2</v>
      </c>
      <c r="H755" s="9">
        <v>14.4</v>
      </c>
      <c r="I755" s="9">
        <v>35.799999999999997</v>
      </c>
      <c r="J755" s="9">
        <v>0.92</v>
      </c>
      <c r="K755" s="9">
        <v>61.1</v>
      </c>
      <c r="L755" s="7">
        <v>32.4</v>
      </c>
      <c r="M755" s="7">
        <v>54</v>
      </c>
      <c r="N755" s="7">
        <v>1.2</v>
      </c>
      <c r="O755" s="7">
        <v>222</v>
      </c>
      <c r="P755" s="7" t="s">
        <v>28</v>
      </c>
      <c r="Q755" s="7" t="str">
        <f t="shared" si="44"/>
        <v>Moderate</v>
      </c>
      <c r="R755" s="7" t="str">
        <f t="shared" si="45"/>
        <v>Hot</v>
      </c>
      <c r="S755" s="7" t="str">
        <f t="shared" si="46"/>
        <v>Normal Humidity</v>
      </c>
      <c r="T755" s="7" t="str">
        <f t="shared" si="47"/>
        <v>Low Wind</v>
      </c>
    </row>
    <row r="756" spans="1:20" x14ac:dyDescent="0.25">
      <c r="A756" s="7" t="s">
        <v>816</v>
      </c>
      <c r="B756" s="10">
        <v>45865</v>
      </c>
      <c r="C756" s="11" t="s">
        <v>93</v>
      </c>
      <c r="D756" s="11" t="s">
        <v>36</v>
      </c>
      <c r="E756" s="7" t="s">
        <v>70</v>
      </c>
      <c r="F756" s="9">
        <v>69.900000000000006</v>
      </c>
      <c r="G756" s="9">
        <v>182.4</v>
      </c>
      <c r="H756" s="9">
        <v>8.1999999999999993</v>
      </c>
      <c r="I756" s="9">
        <v>10.199999999999999</v>
      </c>
      <c r="J756" s="9">
        <v>0.43</v>
      </c>
      <c r="K756" s="9">
        <v>25.9</v>
      </c>
      <c r="L756" s="7">
        <v>35</v>
      </c>
      <c r="M756" s="7">
        <v>63.1</v>
      </c>
      <c r="N756" s="7">
        <v>1.8</v>
      </c>
      <c r="O756" s="7">
        <v>267</v>
      </c>
      <c r="P756" s="7" t="s">
        <v>28</v>
      </c>
      <c r="Q756" s="7" t="str">
        <f t="shared" si="44"/>
        <v>VeryUnhealthy</v>
      </c>
      <c r="R756" s="7" t="str">
        <f t="shared" si="45"/>
        <v>Hot</v>
      </c>
      <c r="S756" s="7" t="str">
        <f t="shared" si="46"/>
        <v>High Humidity</v>
      </c>
      <c r="T756" s="7" t="str">
        <f t="shared" si="47"/>
        <v>Low Wind</v>
      </c>
    </row>
    <row r="757" spans="1:20" x14ac:dyDescent="0.25">
      <c r="A757" s="7" t="s">
        <v>817</v>
      </c>
      <c r="B757" s="10">
        <v>45995</v>
      </c>
      <c r="C757" s="11" t="s">
        <v>35</v>
      </c>
      <c r="D757" s="11" t="s">
        <v>36</v>
      </c>
      <c r="E757" s="7" t="s">
        <v>91</v>
      </c>
      <c r="F757" s="9">
        <v>31.7</v>
      </c>
      <c r="G757" s="9">
        <v>110.8</v>
      </c>
      <c r="H757" s="9">
        <v>22.5</v>
      </c>
      <c r="I757" s="9">
        <v>14.4</v>
      </c>
      <c r="J757" s="9">
        <v>1.2</v>
      </c>
      <c r="K757" s="9">
        <v>17.600000000000001</v>
      </c>
      <c r="L757" s="7">
        <v>21.6</v>
      </c>
      <c r="M757" s="7">
        <v>61.2</v>
      </c>
      <c r="N757" s="7">
        <v>3.2</v>
      </c>
      <c r="O757" s="7">
        <v>189</v>
      </c>
      <c r="P757" s="7" t="s">
        <v>33</v>
      </c>
      <c r="Q757" s="7" t="str">
        <f t="shared" si="44"/>
        <v>Unhealthy</v>
      </c>
      <c r="R757" s="7" t="str">
        <f t="shared" si="45"/>
        <v>Normal</v>
      </c>
      <c r="S757" s="7" t="str">
        <f t="shared" si="46"/>
        <v>High Humidity</v>
      </c>
      <c r="T757" s="7" t="str">
        <f t="shared" si="47"/>
        <v>Moderate Wind</v>
      </c>
    </row>
    <row r="758" spans="1:20" x14ac:dyDescent="0.25">
      <c r="A758" s="7" t="s">
        <v>818</v>
      </c>
      <c r="B758" s="10">
        <v>45887</v>
      </c>
      <c r="C758" s="11" t="s">
        <v>50</v>
      </c>
      <c r="D758" s="11" t="s">
        <v>31</v>
      </c>
      <c r="E758" s="7" t="s">
        <v>91</v>
      </c>
      <c r="F758" s="9">
        <v>57.6</v>
      </c>
      <c r="G758" s="9">
        <v>40.5</v>
      </c>
      <c r="H758" s="9">
        <v>16.399999999999999</v>
      </c>
      <c r="I758" s="9">
        <v>2.8</v>
      </c>
      <c r="J758" s="9">
        <v>0.13</v>
      </c>
      <c r="K758" s="9">
        <v>67.8</v>
      </c>
      <c r="L758" s="7">
        <v>29</v>
      </c>
      <c r="M758" s="7">
        <v>98</v>
      </c>
      <c r="N758" s="7">
        <v>1.8</v>
      </c>
      <c r="O758" s="7">
        <v>167</v>
      </c>
      <c r="P758" s="7" t="s">
        <v>33</v>
      </c>
      <c r="Q758" s="7" t="str">
        <f t="shared" si="44"/>
        <v>Good</v>
      </c>
      <c r="R758" s="7" t="str">
        <f t="shared" si="45"/>
        <v>Normal</v>
      </c>
      <c r="S758" s="7" t="str">
        <f t="shared" si="46"/>
        <v>High Humidity</v>
      </c>
      <c r="T758" s="7" t="str">
        <f t="shared" si="47"/>
        <v>Low Wind</v>
      </c>
    </row>
    <row r="759" spans="1:20" x14ac:dyDescent="0.25">
      <c r="A759" s="7" t="s">
        <v>819</v>
      </c>
      <c r="B759" s="10">
        <v>45899</v>
      </c>
      <c r="C759" s="11" t="s">
        <v>93</v>
      </c>
      <c r="D759" s="11" t="s">
        <v>36</v>
      </c>
      <c r="E759" s="7" t="s">
        <v>97</v>
      </c>
      <c r="F759" s="9">
        <v>26</v>
      </c>
      <c r="G759" s="9">
        <v>220.1</v>
      </c>
      <c r="H759" s="9">
        <v>44.5</v>
      </c>
      <c r="I759" s="9">
        <v>2.4</v>
      </c>
      <c r="J759" s="9">
        <v>0.75</v>
      </c>
      <c r="K759" s="9">
        <v>42.2</v>
      </c>
      <c r="L759" s="7">
        <v>31.1</v>
      </c>
      <c r="M759" s="7">
        <v>66.2</v>
      </c>
      <c r="N759" s="7">
        <v>3.6</v>
      </c>
      <c r="O759" s="7">
        <v>260</v>
      </c>
      <c r="P759" s="7" t="s">
        <v>28</v>
      </c>
      <c r="Q759" s="7" t="str">
        <f t="shared" si="44"/>
        <v>VeryUnhealthy</v>
      </c>
      <c r="R759" s="7" t="str">
        <f t="shared" si="45"/>
        <v>Hot</v>
      </c>
      <c r="S759" s="7" t="str">
        <f t="shared" si="46"/>
        <v>High Humidity</v>
      </c>
      <c r="T759" s="7" t="str">
        <f t="shared" si="47"/>
        <v>Moderate Wind</v>
      </c>
    </row>
    <row r="760" spans="1:20" x14ac:dyDescent="0.25">
      <c r="A760" s="7" t="s">
        <v>820</v>
      </c>
      <c r="B760" s="10">
        <v>45959</v>
      </c>
      <c r="C760" s="11" t="s">
        <v>17</v>
      </c>
      <c r="D760" s="11" t="s">
        <v>18</v>
      </c>
      <c r="E760" s="7" t="s">
        <v>32</v>
      </c>
      <c r="F760" s="9">
        <v>19.899999999999999</v>
      </c>
      <c r="G760" s="9">
        <v>62.8</v>
      </c>
      <c r="H760" s="9">
        <v>14.9</v>
      </c>
      <c r="I760" s="9">
        <v>9.3000000000000007</v>
      </c>
      <c r="J760" s="9">
        <v>0.44</v>
      </c>
      <c r="K760" s="9">
        <v>44.2</v>
      </c>
      <c r="L760" s="7">
        <v>20.6</v>
      </c>
      <c r="M760" s="7">
        <v>57.7</v>
      </c>
      <c r="N760" s="7">
        <v>3.7</v>
      </c>
      <c r="O760" s="7">
        <v>122</v>
      </c>
      <c r="P760" s="7" t="s">
        <v>33</v>
      </c>
      <c r="Q760" s="7" t="str">
        <f t="shared" si="44"/>
        <v>Moderate</v>
      </c>
      <c r="R760" s="7" t="str">
        <f t="shared" si="45"/>
        <v>Normal</v>
      </c>
      <c r="S760" s="7" t="str">
        <f t="shared" si="46"/>
        <v>Normal Humidity</v>
      </c>
      <c r="T760" s="7" t="str">
        <f t="shared" si="47"/>
        <v>Moderate Wind</v>
      </c>
    </row>
    <row r="761" spans="1:20" x14ac:dyDescent="0.25">
      <c r="A761" s="7" t="s">
        <v>821</v>
      </c>
      <c r="B761" s="10">
        <v>45837</v>
      </c>
      <c r="C761" s="11" t="s">
        <v>30</v>
      </c>
      <c r="D761" s="11" t="s">
        <v>31</v>
      </c>
      <c r="E761" s="7" t="s">
        <v>55</v>
      </c>
      <c r="F761" s="9">
        <v>37.700000000000003</v>
      </c>
      <c r="G761" s="9">
        <v>32.200000000000003</v>
      </c>
      <c r="H761" s="9">
        <v>36.799999999999997</v>
      </c>
      <c r="I761" s="9">
        <v>5.4</v>
      </c>
      <c r="J761" s="9">
        <v>0.82</v>
      </c>
      <c r="K761" s="9">
        <v>29.6</v>
      </c>
      <c r="L761" s="7">
        <v>19.3</v>
      </c>
      <c r="M761" s="7">
        <v>71.900000000000006</v>
      </c>
      <c r="N761" s="7">
        <v>0.1</v>
      </c>
      <c r="O761" s="7">
        <v>148</v>
      </c>
      <c r="P761" s="7" t="s">
        <v>33</v>
      </c>
      <c r="Q761" s="7" t="str">
        <f t="shared" si="44"/>
        <v>Good</v>
      </c>
      <c r="R761" s="7" t="str">
        <f t="shared" si="45"/>
        <v>Cool</v>
      </c>
      <c r="S761" s="7" t="str">
        <f t="shared" si="46"/>
        <v>High Humidity</v>
      </c>
      <c r="T761" s="7" t="str">
        <f t="shared" si="47"/>
        <v>Low Wind</v>
      </c>
    </row>
    <row r="762" spans="1:20" x14ac:dyDescent="0.25">
      <c r="A762" s="7" t="s">
        <v>822</v>
      </c>
      <c r="B762" s="10">
        <v>45920</v>
      </c>
      <c r="C762" s="11" t="s">
        <v>22</v>
      </c>
      <c r="D762" s="11" t="s">
        <v>23</v>
      </c>
      <c r="E762" s="7" t="s">
        <v>61</v>
      </c>
      <c r="F762" s="9">
        <v>65.7</v>
      </c>
      <c r="G762" s="9">
        <v>121.4</v>
      </c>
      <c r="H762" s="9">
        <v>72.900000000000006</v>
      </c>
      <c r="I762" s="9">
        <v>4.2</v>
      </c>
      <c r="J762" s="9">
        <v>0.67</v>
      </c>
      <c r="K762" s="9">
        <v>48.5</v>
      </c>
      <c r="L762" s="7">
        <v>25.8</v>
      </c>
      <c r="M762" s="7">
        <v>51.5</v>
      </c>
      <c r="N762" s="7">
        <v>2.6</v>
      </c>
      <c r="O762" s="7">
        <v>284</v>
      </c>
      <c r="P762" s="7" t="s">
        <v>28</v>
      </c>
      <c r="Q762" s="7" t="str">
        <f t="shared" si="44"/>
        <v>Unhealthy</v>
      </c>
      <c r="R762" s="7" t="str">
        <f t="shared" si="45"/>
        <v>Normal</v>
      </c>
      <c r="S762" s="7" t="str">
        <f t="shared" si="46"/>
        <v>Normal Humidity</v>
      </c>
      <c r="T762" s="7" t="str">
        <f t="shared" si="47"/>
        <v>Moderate Wind</v>
      </c>
    </row>
    <row r="763" spans="1:20" x14ac:dyDescent="0.25">
      <c r="A763" s="7" t="s">
        <v>823</v>
      </c>
      <c r="B763" s="10">
        <v>45971</v>
      </c>
      <c r="C763" s="11" t="s">
        <v>26</v>
      </c>
      <c r="D763" s="11" t="s">
        <v>23</v>
      </c>
      <c r="E763" s="7" t="s">
        <v>40</v>
      </c>
      <c r="F763" s="9">
        <v>58.6</v>
      </c>
      <c r="G763" s="9">
        <v>89.6</v>
      </c>
      <c r="H763" s="9">
        <v>28.7</v>
      </c>
      <c r="I763" s="9">
        <v>10</v>
      </c>
      <c r="J763" s="9">
        <v>0.93</v>
      </c>
      <c r="K763" s="9">
        <v>22.7</v>
      </c>
      <c r="L763" s="7">
        <v>25.9</v>
      </c>
      <c r="M763" s="7">
        <v>81.400000000000006</v>
      </c>
      <c r="N763" s="7">
        <v>1.8</v>
      </c>
      <c r="O763" s="7">
        <v>215</v>
      </c>
      <c r="P763" s="7" t="s">
        <v>28</v>
      </c>
      <c r="Q763" s="7" t="str">
        <f t="shared" si="44"/>
        <v>Moderate</v>
      </c>
      <c r="R763" s="7" t="str">
        <f t="shared" si="45"/>
        <v>Normal</v>
      </c>
      <c r="S763" s="7" t="str">
        <f t="shared" si="46"/>
        <v>High Humidity</v>
      </c>
      <c r="T763" s="7" t="str">
        <f t="shared" si="47"/>
        <v>Low Wind</v>
      </c>
    </row>
    <row r="764" spans="1:20" x14ac:dyDescent="0.25">
      <c r="A764" s="7" t="s">
        <v>824</v>
      </c>
      <c r="B764" s="10">
        <v>45666</v>
      </c>
      <c r="C764" s="11" t="s">
        <v>22</v>
      </c>
      <c r="D764" s="11" t="s">
        <v>23</v>
      </c>
      <c r="E764" s="7" t="s">
        <v>43</v>
      </c>
      <c r="F764" s="9">
        <v>52.6</v>
      </c>
      <c r="G764" s="9">
        <v>89.6</v>
      </c>
      <c r="H764" s="9">
        <v>43.5</v>
      </c>
      <c r="I764" s="9">
        <v>4.9000000000000004</v>
      </c>
      <c r="J764" s="9">
        <v>0.76</v>
      </c>
      <c r="K764" s="9">
        <v>9</v>
      </c>
      <c r="L764" s="7">
        <v>31.7</v>
      </c>
      <c r="M764" s="7">
        <v>56.9</v>
      </c>
      <c r="N764" s="7">
        <v>2.5</v>
      </c>
      <c r="O764" s="7">
        <v>204</v>
      </c>
      <c r="P764" s="7" t="s">
        <v>28</v>
      </c>
      <c r="Q764" s="7" t="str">
        <f t="shared" si="44"/>
        <v>Moderate</v>
      </c>
      <c r="R764" s="7" t="str">
        <f t="shared" si="45"/>
        <v>Hot</v>
      </c>
      <c r="S764" s="7" t="str">
        <f t="shared" si="46"/>
        <v>Normal Humidity</v>
      </c>
      <c r="T764" s="7" t="str">
        <f t="shared" si="47"/>
        <v>Moderate Wind</v>
      </c>
    </row>
    <row r="765" spans="1:20" x14ac:dyDescent="0.25">
      <c r="A765" s="7" t="s">
        <v>825</v>
      </c>
      <c r="B765" s="10">
        <v>46004</v>
      </c>
      <c r="C765" s="11" t="s">
        <v>81</v>
      </c>
      <c r="D765" s="11" t="s">
        <v>39</v>
      </c>
      <c r="E765" s="7" t="s">
        <v>19</v>
      </c>
      <c r="F765" s="9">
        <v>11.6</v>
      </c>
      <c r="G765" s="9">
        <v>174.8</v>
      </c>
      <c r="H765" s="9">
        <v>24.3</v>
      </c>
      <c r="I765" s="9">
        <v>22.8</v>
      </c>
      <c r="J765" s="9">
        <v>0.57999999999999996</v>
      </c>
      <c r="K765" s="9">
        <v>27.4</v>
      </c>
      <c r="L765" s="7">
        <v>24.7</v>
      </c>
      <c r="M765" s="7">
        <v>66.400000000000006</v>
      </c>
      <c r="N765" s="7">
        <v>1.1000000000000001</v>
      </c>
      <c r="O765" s="7">
        <v>194</v>
      </c>
      <c r="P765" s="7" t="s">
        <v>33</v>
      </c>
      <c r="Q765" s="7" t="str">
        <f t="shared" si="44"/>
        <v>VeryUnhealthy</v>
      </c>
      <c r="R765" s="7" t="str">
        <f t="shared" si="45"/>
        <v>Normal</v>
      </c>
      <c r="S765" s="7" t="str">
        <f t="shared" si="46"/>
        <v>High Humidity</v>
      </c>
      <c r="T765" s="7" t="str">
        <f t="shared" si="47"/>
        <v>Low Wind</v>
      </c>
    </row>
    <row r="766" spans="1:20" x14ac:dyDescent="0.25">
      <c r="A766" s="7" t="s">
        <v>826</v>
      </c>
      <c r="B766" s="10">
        <v>45973</v>
      </c>
      <c r="C766" s="11" t="s">
        <v>67</v>
      </c>
      <c r="D766" s="11" t="s">
        <v>18</v>
      </c>
      <c r="E766" s="7" t="s">
        <v>24</v>
      </c>
      <c r="F766" s="9">
        <v>47.3</v>
      </c>
      <c r="G766" s="9">
        <v>136.30000000000001</v>
      </c>
      <c r="H766" s="9">
        <v>19.2</v>
      </c>
      <c r="I766" s="9">
        <v>16.5</v>
      </c>
      <c r="J766" s="9">
        <v>1.82</v>
      </c>
      <c r="K766" s="9">
        <v>26.8</v>
      </c>
      <c r="L766" s="7">
        <v>31</v>
      </c>
      <c r="M766" s="7">
        <v>50.7</v>
      </c>
      <c r="N766" s="7">
        <v>3</v>
      </c>
      <c r="O766" s="7">
        <v>249</v>
      </c>
      <c r="P766" s="7" t="s">
        <v>28</v>
      </c>
      <c r="Q766" s="7" t="str">
        <f t="shared" si="44"/>
        <v>Unhealthy</v>
      </c>
      <c r="R766" s="7" t="str">
        <f t="shared" si="45"/>
        <v>Hot</v>
      </c>
      <c r="S766" s="7" t="str">
        <f t="shared" si="46"/>
        <v>Normal Humidity</v>
      </c>
      <c r="T766" s="7" t="str">
        <f t="shared" si="47"/>
        <v>Moderate Wind</v>
      </c>
    </row>
    <row r="767" spans="1:20" x14ac:dyDescent="0.25">
      <c r="A767" s="7" t="s">
        <v>827</v>
      </c>
      <c r="B767" s="10">
        <v>45862</v>
      </c>
      <c r="C767" s="11" t="s">
        <v>38</v>
      </c>
      <c r="D767" s="11" t="s">
        <v>39</v>
      </c>
      <c r="E767" s="7" t="s">
        <v>61</v>
      </c>
      <c r="F767" s="9">
        <v>58</v>
      </c>
      <c r="G767" s="9">
        <v>103.5</v>
      </c>
      <c r="H767" s="9">
        <v>2.1</v>
      </c>
      <c r="I767" s="9">
        <v>9.4</v>
      </c>
      <c r="J767" s="9">
        <v>1.61</v>
      </c>
      <c r="K767" s="9">
        <v>35.799999999999997</v>
      </c>
      <c r="L767" s="7">
        <v>18.899999999999999</v>
      </c>
      <c r="M767" s="7">
        <v>49.8</v>
      </c>
      <c r="N767" s="7">
        <v>1.4</v>
      </c>
      <c r="O767" s="7">
        <v>225</v>
      </c>
      <c r="P767" s="7" t="s">
        <v>28</v>
      </c>
      <c r="Q767" s="7" t="str">
        <f t="shared" si="44"/>
        <v>Unhealthy</v>
      </c>
      <c r="R767" s="7" t="str">
        <f t="shared" si="45"/>
        <v>Cool</v>
      </c>
      <c r="S767" s="7" t="str">
        <f t="shared" si="46"/>
        <v>Normal Humidity</v>
      </c>
      <c r="T767" s="7" t="str">
        <f t="shared" si="47"/>
        <v>Low Wind</v>
      </c>
    </row>
    <row r="768" spans="1:20" x14ac:dyDescent="0.25">
      <c r="A768" s="7" t="s">
        <v>828</v>
      </c>
      <c r="B768" s="10">
        <v>45892</v>
      </c>
      <c r="C768" s="11" t="s">
        <v>22</v>
      </c>
      <c r="D768" s="11" t="s">
        <v>23</v>
      </c>
      <c r="E768" s="7" t="s">
        <v>58</v>
      </c>
      <c r="F768" s="9">
        <v>47</v>
      </c>
      <c r="G768" s="9">
        <v>56.9</v>
      </c>
      <c r="H768" s="9">
        <v>15.8</v>
      </c>
      <c r="I768" s="9">
        <v>14.1</v>
      </c>
      <c r="J768" s="9">
        <v>1.32</v>
      </c>
      <c r="K768" s="9">
        <v>25.5</v>
      </c>
      <c r="L768" s="7">
        <v>25.5</v>
      </c>
      <c r="M768" s="7">
        <v>82</v>
      </c>
      <c r="N768" s="7">
        <v>2.8</v>
      </c>
      <c r="O768" s="7">
        <v>179</v>
      </c>
      <c r="P768" s="7" t="s">
        <v>33</v>
      </c>
      <c r="Q768" s="7" t="str">
        <f t="shared" si="44"/>
        <v>Moderate</v>
      </c>
      <c r="R768" s="7" t="str">
        <f t="shared" si="45"/>
        <v>Normal</v>
      </c>
      <c r="S768" s="7" t="str">
        <f t="shared" si="46"/>
        <v>High Humidity</v>
      </c>
      <c r="T768" s="7" t="str">
        <f t="shared" si="47"/>
        <v>Moderate Wind</v>
      </c>
    </row>
    <row r="769" spans="1:20" x14ac:dyDescent="0.25">
      <c r="A769" s="7" t="s">
        <v>829</v>
      </c>
      <c r="B769" s="10">
        <v>45947</v>
      </c>
      <c r="C769" s="11" t="s">
        <v>26</v>
      </c>
      <c r="D769" s="11" t="s">
        <v>23</v>
      </c>
      <c r="E769" s="7" t="s">
        <v>74</v>
      </c>
      <c r="F769" s="9">
        <v>56.3</v>
      </c>
      <c r="G769" s="9">
        <v>161.5</v>
      </c>
      <c r="H769" s="9">
        <v>30.4</v>
      </c>
      <c r="I769" s="9">
        <v>21.5</v>
      </c>
      <c r="J769" s="9">
        <v>0.2</v>
      </c>
      <c r="K769" s="9">
        <v>17.2</v>
      </c>
      <c r="L769" s="7">
        <v>29.7</v>
      </c>
      <c r="M769" s="7">
        <v>71.8</v>
      </c>
      <c r="N769" s="7">
        <v>2.9</v>
      </c>
      <c r="O769" s="7">
        <v>247</v>
      </c>
      <c r="P769" s="7" t="s">
        <v>28</v>
      </c>
      <c r="Q769" s="7" t="str">
        <f t="shared" si="44"/>
        <v>VeryUnhealthy</v>
      </c>
      <c r="R769" s="7" t="str">
        <f t="shared" si="45"/>
        <v>Normal</v>
      </c>
      <c r="S769" s="7" t="str">
        <f t="shared" si="46"/>
        <v>High Humidity</v>
      </c>
      <c r="T769" s="7" t="str">
        <f t="shared" si="47"/>
        <v>Moderate Wind</v>
      </c>
    </row>
    <row r="770" spans="1:20" x14ac:dyDescent="0.25">
      <c r="A770" s="7" t="s">
        <v>830</v>
      </c>
      <c r="B770" s="10">
        <v>45883</v>
      </c>
      <c r="C770" s="11" t="s">
        <v>93</v>
      </c>
      <c r="D770" s="11" t="s">
        <v>36</v>
      </c>
      <c r="E770" s="7" t="s">
        <v>55</v>
      </c>
      <c r="F770" s="9">
        <v>67.7</v>
      </c>
      <c r="G770" s="9">
        <v>39.200000000000003</v>
      </c>
      <c r="H770" s="9">
        <v>22.7</v>
      </c>
      <c r="I770" s="9">
        <v>9.3000000000000007</v>
      </c>
      <c r="J770" s="9">
        <v>1.18</v>
      </c>
      <c r="K770" s="9">
        <v>43.7</v>
      </c>
      <c r="L770" s="7">
        <v>19.7</v>
      </c>
      <c r="M770" s="7">
        <v>75.8</v>
      </c>
      <c r="N770" s="7">
        <v>2.6</v>
      </c>
      <c r="O770" s="7">
        <v>208</v>
      </c>
      <c r="P770" s="7" t="s">
        <v>28</v>
      </c>
      <c r="Q770" s="7" t="str">
        <f t="shared" si="44"/>
        <v>Good</v>
      </c>
      <c r="R770" s="7" t="str">
        <f t="shared" si="45"/>
        <v>Cool</v>
      </c>
      <c r="S770" s="7" t="str">
        <f t="shared" si="46"/>
        <v>High Humidity</v>
      </c>
      <c r="T770" s="7" t="str">
        <f t="shared" si="47"/>
        <v>Moderate Wind</v>
      </c>
    </row>
    <row r="771" spans="1:20" x14ac:dyDescent="0.25">
      <c r="A771" s="7" t="s">
        <v>831</v>
      </c>
      <c r="B771" s="10">
        <v>46016</v>
      </c>
      <c r="C771" s="11" t="s">
        <v>99</v>
      </c>
      <c r="D771" s="11" t="s">
        <v>36</v>
      </c>
      <c r="E771" s="7" t="s">
        <v>58</v>
      </c>
      <c r="F771" s="9">
        <v>80.5</v>
      </c>
      <c r="G771" s="9">
        <v>50.6</v>
      </c>
      <c r="H771" s="9">
        <v>51.7</v>
      </c>
      <c r="I771" s="9">
        <v>7.5</v>
      </c>
      <c r="J771" s="9">
        <v>0.43</v>
      </c>
      <c r="K771" s="9">
        <v>17.2</v>
      </c>
      <c r="L771" s="7">
        <v>14.4</v>
      </c>
      <c r="M771" s="7">
        <v>40.6</v>
      </c>
      <c r="N771" s="7">
        <v>3.4</v>
      </c>
      <c r="O771" s="7">
        <v>227</v>
      </c>
      <c r="P771" s="7" t="s">
        <v>28</v>
      </c>
      <c r="Q771" s="7" t="str">
        <f t="shared" ref="Q771:Q834" si="48">IF(G771&lt;50,"Good",IF(G771&lt;=100,"Moderate",IF(G771&lt;=150,"Unhealthy","VeryUnhealthy")))</f>
        <v>Moderate</v>
      </c>
      <c r="R771" s="7" t="str">
        <f t="shared" ref="R771:R834" si="49">IF(L771&lt;20,"Cool",IF(L771&lt;=30,"Normal","Hot"))</f>
        <v>Cool</v>
      </c>
      <c r="S771" s="7" t="str">
        <f t="shared" ref="S771:S834" si="50">IF(M771&lt;30,"Low Humidity",IF(M771&lt;=60,"Normal Humidity","High Humidity"))</f>
        <v>Normal Humidity</v>
      </c>
      <c r="T771" s="7" t="str">
        <f t="shared" ref="T771:T834" si="51">IF(N771&lt;2,"Low Wind",IF(N771&lt;=5,"Moderate Wind","High Wind"))</f>
        <v>Moderate Wind</v>
      </c>
    </row>
    <row r="772" spans="1:20" x14ac:dyDescent="0.25">
      <c r="A772" s="7" t="s">
        <v>832</v>
      </c>
      <c r="B772" s="10">
        <v>45895</v>
      </c>
      <c r="C772" s="11" t="s">
        <v>38</v>
      </c>
      <c r="D772" s="11" t="s">
        <v>39</v>
      </c>
      <c r="E772" s="7" t="s">
        <v>61</v>
      </c>
      <c r="F772" s="9">
        <v>52.3</v>
      </c>
      <c r="G772" s="9">
        <v>75.5</v>
      </c>
      <c r="H772" s="9">
        <v>27.1</v>
      </c>
      <c r="I772" s="9">
        <v>1.5</v>
      </c>
      <c r="J772" s="9">
        <v>1.55</v>
      </c>
      <c r="K772" s="9">
        <v>29.1</v>
      </c>
      <c r="L772" s="7">
        <v>21.4</v>
      </c>
      <c r="M772" s="7">
        <v>40.9</v>
      </c>
      <c r="N772" s="7">
        <v>1.8</v>
      </c>
      <c r="O772" s="7">
        <v>207</v>
      </c>
      <c r="P772" s="7" t="s">
        <v>28</v>
      </c>
      <c r="Q772" s="7" t="str">
        <f t="shared" si="48"/>
        <v>Moderate</v>
      </c>
      <c r="R772" s="7" t="str">
        <f t="shared" si="49"/>
        <v>Normal</v>
      </c>
      <c r="S772" s="7" t="str">
        <f t="shared" si="50"/>
        <v>Normal Humidity</v>
      </c>
      <c r="T772" s="7" t="str">
        <f t="shared" si="51"/>
        <v>Low Wind</v>
      </c>
    </row>
    <row r="773" spans="1:20" x14ac:dyDescent="0.25">
      <c r="A773" s="7" t="s">
        <v>833</v>
      </c>
      <c r="B773" s="10">
        <v>45668</v>
      </c>
      <c r="C773" s="11" t="s">
        <v>64</v>
      </c>
      <c r="D773" s="11" t="s">
        <v>36</v>
      </c>
      <c r="E773" s="7" t="s">
        <v>27</v>
      </c>
      <c r="F773" s="9">
        <v>48.7</v>
      </c>
      <c r="G773" s="9">
        <v>103.7</v>
      </c>
      <c r="H773" s="9">
        <v>61.6</v>
      </c>
      <c r="I773" s="9">
        <v>3.9</v>
      </c>
      <c r="J773" s="9">
        <v>0.44</v>
      </c>
      <c r="K773" s="9">
        <v>44.2</v>
      </c>
      <c r="L773" s="7">
        <v>27.9</v>
      </c>
      <c r="M773" s="7">
        <v>82.8</v>
      </c>
      <c r="N773" s="7">
        <v>3.9</v>
      </c>
      <c r="O773" s="7">
        <v>228</v>
      </c>
      <c r="P773" s="7" t="s">
        <v>28</v>
      </c>
      <c r="Q773" s="7" t="str">
        <f t="shared" si="48"/>
        <v>Unhealthy</v>
      </c>
      <c r="R773" s="7" t="str">
        <f t="shared" si="49"/>
        <v>Normal</v>
      </c>
      <c r="S773" s="7" t="str">
        <f t="shared" si="50"/>
        <v>High Humidity</v>
      </c>
      <c r="T773" s="7" t="str">
        <f t="shared" si="51"/>
        <v>Moderate Wind</v>
      </c>
    </row>
    <row r="774" spans="1:20" x14ac:dyDescent="0.25">
      <c r="A774" s="7" t="s">
        <v>834</v>
      </c>
      <c r="B774" s="10">
        <v>45762</v>
      </c>
      <c r="C774" s="11" t="s">
        <v>77</v>
      </c>
      <c r="D774" s="11" t="s">
        <v>39</v>
      </c>
      <c r="E774" s="7" t="s">
        <v>27</v>
      </c>
      <c r="F774" s="9">
        <v>111.5</v>
      </c>
      <c r="G774" s="9">
        <v>109.1</v>
      </c>
      <c r="H774" s="9">
        <v>31.5</v>
      </c>
      <c r="I774" s="9">
        <v>14.9</v>
      </c>
      <c r="J774" s="9">
        <v>0.27</v>
      </c>
      <c r="K774" s="9">
        <v>16.600000000000001</v>
      </c>
      <c r="L774" s="7">
        <v>28.8</v>
      </c>
      <c r="M774" s="7">
        <v>73.099999999999994</v>
      </c>
      <c r="N774" s="7">
        <v>1</v>
      </c>
      <c r="O774" s="7">
        <v>299</v>
      </c>
      <c r="P774" s="7" t="s">
        <v>28</v>
      </c>
      <c r="Q774" s="7" t="str">
        <f t="shared" si="48"/>
        <v>Unhealthy</v>
      </c>
      <c r="R774" s="7" t="str">
        <f t="shared" si="49"/>
        <v>Normal</v>
      </c>
      <c r="S774" s="7" t="str">
        <f t="shared" si="50"/>
        <v>High Humidity</v>
      </c>
      <c r="T774" s="7" t="str">
        <f t="shared" si="51"/>
        <v>Low Wind</v>
      </c>
    </row>
    <row r="775" spans="1:20" x14ac:dyDescent="0.25">
      <c r="A775" s="7" t="s">
        <v>835</v>
      </c>
      <c r="B775" s="10">
        <v>45871</v>
      </c>
      <c r="C775" s="11" t="s">
        <v>93</v>
      </c>
      <c r="D775" s="11" t="s">
        <v>36</v>
      </c>
      <c r="E775" s="7" t="s">
        <v>61</v>
      </c>
      <c r="F775" s="9">
        <v>53.3</v>
      </c>
      <c r="G775" s="9">
        <v>72.8</v>
      </c>
      <c r="H775" s="9">
        <v>19.8</v>
      </c>
      <c r="I775" s="9">
        <v>39.1</v>
      </c>
      <c r="J775" s="9">
        <v>0.54</v>
      </c>
      <c r="K775" s="9">
        <v>5.2</v>
      </c>
      <c r="L775" s="7">
        <v>26.3</v>
      </c>
      <c r="M775" s="7">
        <v>81</v>
      </c>
      <c r="N775" s="7">
        <v>1.5</v>
      </c>
      <c r="O775" s="7">
        <v>192</v>
      </c>
      <c r="P775" s="7" t="s">
        <v>33</v>
      </c>
      <c r="Q775" s="7" t="str">
        <f t="shared" si="48"/>
        <v>Moderate</v>
      </c>
      <c r="R775" s="7" t="str">
        <f t="shared" si="49"/>
        <v>Normal</v>
      </c>
      <c r="S775" s="7" t="str">
        <f t="shared" si="50"/>
        <v>High Humidity</v>
      </c>
      <c r="T775" s="7" t="str">
        <f t="shared" si="51"/>
        <v>Low Wind</v>
      </c>
    </row>
    <row r="776" spans="1:20" x14ac:dyDescent="0.25">
      <c r="A776" s="7" t="s">
        <v>836</v>
      </c>
      <c r="B776" s="10">
        <v>45890</v>
      </c>
      <c r="C776" s="11" t="s">
        <v>64</v>
      </c>
      <c r="D776" s="11" t="s">
        <v>36</v>
      </c>
      <c r="E776" s="7" t="s">
        <v>91</v>
      </c>
      <c r="F776" s="9">
        <v>26.8</v>
      </c>
      <c r="G776" s="9">
        <v>58.3</v>
      </c>
      <c r="H776" s="9">
        <v>27</v>
      </c>
      <c r="I776" s="9">
        <v>0.9</v>
      </c>
      <c r="J776" s="9">
        <v>0.4</v>
      </c>
      <c r="K776" s="9">
        <v>19.2</v>
      </c>
      <c r="L776" s="7">
        <v>35.799999999999997</v>
      </c>
      <c r="M776" s="7">
        <v>53.4</v>
      </c>
      <c r="N776" s="7">
        <v>3.8</v>
      </c>
      <c r="O776" s="7">
        <v>122</v>
      </c>
      <c r="P776" s="7" t="s">
        <v>33</v>
      </c>
      <c r="Q776" s="7" t="str">
        <f t="shared" si="48"/>
        <v>Moderate</v>
      </c>
      <c r="R776" s="7" t="str">
        <f t="shared" si="49"/>
        <v>Hot</v>
      </c>
      <c r="S776" s="7" t="str">
        <f t="shared" si="50"/>
        <v>Normal Humidity</v>
      </c>
      <c r="T776" s="7" t="str">
        <f t="shared" si="51"/>
        <v>Moderate Wind</v>
      </c>
    </row>
    <row r="777" spans="1:20" x14ac:dyDescent="0.25">
      <c r="A777" s="7" t="s">
        <v>837</v>
      </c>
      <c r="B777" s="10">
        <v>45909</v>
      </c>
      <c r="C777" s="11" t="s">
        <v>54</v>
      </c>
      <c r="D777" s="11" t="s">
        <v>18</v>
      </c>
      <c r="E777" s="7" t="s">
        <v>24</v>
      </c>
      <c r="F777" s="9">
        <v>36.4</v>
      </c>
      <c r="G777" s="9">
        <v>107.9</v>
      </c>
      <c r="H777" s="9">
        <v>28.2</v>
      </c>
      <c r="I777" s="9">
        <v>21.4</v>
      </c>
      <c r="J777" s="9">
        <v>0.34</v>
      </c>
      <c r="K777" s="9">
        <v>37.1</v>
      </c>
      <c r="L777" s="7">
        <v>35.9</v>
      </c>
      <c r="M777" s="7">
        <v>39</v>
      </c>
      <c r="N777" s="7">
        <v>3.1</v>
      </c>
      <c r="O777" s="7">
        <v>191</v>
      </c>
      <c r="P777" s="7" t="s">
        <v>33</v>
      </c>
      <c r="Q777" s="7" t="str">
        <f t="shared" si="48"/>
        <v>Unhealthy</v>
      </c>
      <c r="R777" s="7" t="str">
        <f t="shared" si="49"/>
        <v>Hot</v>
      </c>
      <c r="S777" s="7" t="str">
        <f t="shared" si="50"/>
        <v>Normal Humidity</v>
      </c>
      <c r="T777" s="7" t="str">
        <f t="shared" si="51"/>
        <v>Moderate Wind</v>
      </c>
    </row>
    <row r="778" spans="1:20" x14ac:dyDescent="0.25">
      <c r="A778" s="7" t="s">
        <v>838</v>
      </c>
      <c r="B778" s="10">
        <v>45926</v>
      </c>
      <c r="C778" s="11" t="s">
        <v>81</v>
      </c>
      <c r="D778" s="11" t="s">
        <v>39</v>
      </c>
      <c r="E778" s="7" t="s">
        <v>32</v>
      </c>
      <c r="F778" s="9">
        <v>49.2</v>
      </c>
      <c r="G778" s="9">
        <v>100.9</v>
      </c>
      <c r="H778" s="9">
        <v>46.3</v>
      </c>
      <c r="I778" s="9">
        <v>2.5</v>
      </c>
      <c r="J778" s="9">
        <v>0.59</v>
      </c>
      <c r="K778" s="9">
        <v>46.6</v>
      </c>
      <c r="L778" s="7">
        <v>26.7</v>
      </c>
      <c r="M778" s="7">
        <v>71.3</v>
      </c>
      <c r="N778" s="7">
        <v>1.2</v>
      </c>
      <c r="O778" s="7">
        <v>219</v>
      </c>
      <c r="P778" s="7" t="s">
        <v>28</v>
      </c>
      <c r="Q778" s="7" t="str">
        <f t="shared" si="48"/>
        <v>Unhealthy</v>
      </c>
      <c r="R778" s="7" t="str">
        <f t="shared" si="49"/>
        <v>Normal</v>
      </c>
      <c r="S778" s="7" t="str">
        <f t="shared" si="50"/>
        <v>High Humidity</v>
      </c>
      <c r="T778" s="7" t="str">
        <f t="shared" si="51"/>
        <v>Low Wind</v>
      </c>
    </row>
    <row r="779" spans="1:20" x14ac:dyDescent="0.25">
      <c r="A779" s="7" t="s">
        <v>839</v>
      </c>
      <c r="B779" s="10">
        <v>45856</v>
      </c>
      <c r="C779" s="11" t="s">
        <v>77</v>
      </c>
      <c r="D779" s="11" t="s">
        <v>39</v>
      </c>
      <c r="E779" s="7" t="s">
        <v>19</v>
      </c>
      <c r="F779" s="9">
        <v>81.5</v>
      </c>
      <c r="G779" s="9">
        <v>71.900000000000006</v>
      </c>
      <c r="H779" s="9">
        <v>47.1</v>
      </c>
      <c r="I779" s="9">
        <v>14.5</v>
      </c>
      <c r="J779" s="9">
        <v>0.21</v>
      </c>
      <c r="K779" s="9">
        <v>14.3</v>
      </c>
      <c r="L779" s="7">
        <v>26.9</v>
      </c>
      <c r="M779" s="7">
        <v>60.4</v>
      </c>
      <c r="N779" s="7">
        <v>2.4</v>
      </c>
      <c r="O779" s="7">
        <v>237</v>
      </c>
      <c r="P779" s="7" t="s">
        <v>28</v>
      </c>
      <c r="Q779" s="7" t="str">
        <f t="shared" si="48"/>
        <v>Moderate</v>
      </c>
      <c r="R779" s="7" t="str">
        <f t="shared" si="49"/>
        <v>Normal</v>
      </c>
      <c r="S779" s="7" t="str">
        <f t="shared" si="50"/>
        <v>High Humidity</v>
      </c>
      <c r="T779" s="7" t="str">
        <f t="shared" si="51"/>
        <v>Moderate Wind</v>
      </c>
    </row>
    <row r="780" spans="1:20" x14ac:dyDescent="0.25">
      <c r="A780" s="7" t="s">
        <v>840</v>
      </c>
      <c r="B780" s="10">
        <v>45695</v>
      </c>
      <c r="C780" s="11" t="s">
        <v>77</v>
      </c>
      <c r="D780" s="11" t="s">
        <v>39</v>
      </c>
      <c r="E780" s="7" t="s">
        <v>43</v>
      </c>
      <c r="F780" s="9">
        <v>41.8</v>
      </c>
      <c r="G780" s="9">
        <v>31.4</v>
      </c>
      <c r="H780" s="9">
        <v>7.5</v>
      </c>
      <c r="I780" s="9">
        <v>14.9</v>
      </c>
      <c r="J780" s="9">
        <v>0.45</v>
      </c>
      <c r="K780" s="9">
        <v>21.1</v>
      </c>
      <c r="L780" s="7">
        <v>14.6</v>
      </c>
      <c r="M780" s="7">
        <v>62.4</v>
      </c>
      <c r="N780" s="7">
        <v>2.7</v>
      </c>
      <c r="O780" s="7">
        <v>124</v>
      </c>
      <c r="P780" s="7" t="s">
        <v>33</v>
      </c>
      <c r="Q780" s="7" t="str">
        <f t="shared" si="48"/>
        <v>Good</v>
      </c>
      <c r="R780" s="7" t="str">
        <f t="shared" si="49"/>
        <v>Cool</v>
      </c>
      <c r="S780" s="7" t="str">
        <f t="shared" si="50"/>
        <v>High Humidity</v>
      </c>
      <c r="T780" s="7" t="str">
        <f t="shared" si="51"/>
        <v>Moderate Wind</v>
      </c>
    </row>
    <row r="781" spans="1:20" x14ac:dyDescent="0.25">
      <c r="A781" s="7" t="s">
        <v>841</v>
      </c>
      <c r="B781" s="10">
        <v>45768</v>
      </c>
      <c r="C781" s="11" t="s">
        <v>22</v>
      </c>
      <c r="D781" s="11" t="s">
        <v>23</v>
      </c>
      <c r="E781" s="7" t="s">
        <v>45</v>
      </c>
      <c r="F781" s="9">
        <v>80.7</v>
      </c>
      <c r="G781" s="9">
        <v>82.2</v>
      </c>
      <c r="H781" s="9">
        <v>18.100000000000001</v>
      </c>
      <c r="I781" s="9">
        <v>26.2</v>
      </c>
      <c r="J781" s="9">
        <v>0.74</v>
      </c>
      <c r="K781" s="9">
        <v>29.7</v>
      </c>
      <c r="L781" s="7">
        <v>26</v>
      </c>
      <c r="M781" s="7">
        <v>53.3</v>
      </c>
      <c r="N781" s="7">
        <v>2.7</v>
      </c>
      <c r="O781" s="7">
        <v>247</v>
      </c>
      <c r="P781" s="7" t="s">
        <v>28</v>
      </c>
      <c r="Q781" s="7" t="str">
        <f t="shared" si="48"/>
        <v>Moderate</v>
      </c>
      <c r="R781" s="7" t="str">
        <f t="shared" si="49"/>
        <v>Normal</v>
      </c>
      <c r="S781" s="7" t="str">
        <f t="shared" si="50"/>
        <v>Normal Humidity</v>
      </c>
      <c r="T781" s="7" t="str">
        <f t="shared" si="51"/>
        <v>Moderate Wind</v>
      </c>
    </row>
    <row r="782" spans="1:20" x14ac:dyDescent="0.25">
      <c r="A782" s="7" t="s">
        <v>842</v>
      </c>
      <c r="B782" s="10">
        <v>45857</v>
      </c>
      <c r="C782" s="11" t="s">
        <v>77</v>
      </c>
      <c r="D782" s="11" t="s">
        <v>39</v>
      </c>
      <c r="E782" s="7" t="s">
        <v>91</v>
      </c>
      <c r="F782" s="9">
        <v>39.9</v>
      </c>
      <c r="G782" s="9">
        <v>103.5</v>
      </c>
      <c r="H782" s="9">
        <v>3.2</v>
      </c>
      <c r="I782" s="9">
        <v>20.9</v>
      </c>
      <c r="J782" s="9">
        <v>1.0900000000000001</v>
      </c>
      <c r="K782" s="9">
        <v>46.4</v>
      </c>
      <c r="L782" s="7">
        <v>29.5</v>
      </c>
      <c r="M782" s="7">
        <v>54.3</v>
      </c>
      <c r="N782" s="7">
        <v>0.6</v>
      </c>
      <c r="O782" s="7">
        <v>196</v>
      </c>
      <c r="P782" s="7" t="s">
        <v>33</v>
      </c>
      <c r="Q782" s="7" t="str">
        <f t="shared" si="48"/>
        <v>Unhealthy</v>
      </c>
      <c r="R782" s="7" t="str">
        <f t="shared" si="49"/>
        <v>Normal</v>
      </c>
      <c r="S782" s="7" t="str">
        <f t="shared" si="50"/>
        <v>Normal Humidity</v>
      </c>
      <c r="T782" s="7" t="str">
        <f t="shared" si="51"/>
        <v>Low Wind</v>
      </c>
    </row>
    <row r="783" spans="1:20" x14ac:dyDescent="0.25">
      <c r="A783" s="7" t="s">
        <v>843</v>
      </c>
      <c r="B783" s="10">
        <v>45755</v>
      </c>
      <c r="C783" s="11" t="s">
        <v>50</v>
      </c>
      <c r="D783" s="11" t="s">
        <v>31</v>
      </c>
      <c r="E783" s="7" t="s">
        <v>27</v>
      </c>
      <c r="F783" s="9">
        <v>38.6</v>
      </c>
      <c r="G783" s="9">
        <v>78.7</v>
      </c>
      <c r="H783" s="9">
        <v>31.3</v>
      </c>
      <c r="I783" s="9">
        <v>31.5</v>
      </c>
      <c r="J783" s="9">
        <v>1.46</v>
      </c>
      <c r="K783" s="9">
        <v>20.100000000000001</v>
      </c>
      <c r="L783" s="7">
        <v>32.799999999999997</v>
      </c>
      <c r="M783" s="7">
        <v>90.9</v>
      </c>
      <c r="N783" s="7">
        <v>1.2</v>
      </c>
      <c r="O783" s="7">
        <v>206</v>
      </c>
      <c r="P783" s="7" t="s">
        <v>28</v>
      </c>
      <c r="Q783" s="7" t="str">
        <f t="shared" si="48"/>
        <v>Moderate</v>
      </c>
      <c r="R783" s="7" t="str">
        <f t="shared" si="49"/>
        <v>Hot</v>
      </c>
      <c r="S783" s="7" t="str">
        <f t="shared" si="50"/>
        <v>High Humidity</v>
      </c>
      <c r="T783" s="7" t="str">
        <f t="shared" si="51"/>
        <v>Low Wind</v>
      </c>
    </row>
    <row r="784" spans="1:20" x14ac:dyDescent="0.25">
      <c r="A784" s="7" t="s">
        <v>844</v>
      </c>
      <c r="B784" s="10">
        <v>45832</v>
      </c>
      <c r="C784" s="11" t="s">
        <v>26</v>
      </c>
      <c r="D784" s="11" t="s">
        <v>23</v>
      </c>
      <c r="E784" s="7" t="s">
        <v>70</v>
      </c>
      <c r="F784" s="9">
        <v>78.099999999999994</v>
      </c>
      <c r="G784" s="9">
        <v>99.8</v>
      </c>
      <c r="H784" s="9">
        <v>35.9</v>
      </c>
      <c r="I784" s="9">
        <v>1.4</v>
      </c>
      <c r="J784" s="9">
        <v>0.83</v>
      </c>
      <c r="K784" s="9">
        <v>18.899999999999999</v>
      </c>
      <c r="L784" s="7">
        <v>18.8</v>
      </c>
      <c r="M784" s="7">
        <v>57.9</v>
      </c>
      <c r="N784" s="7">
        <v>2.1</v>
      </c>
      <c r="O784" s="7">
        <v>249</v>
      </c>
      <c r="P784" s="7" t="s">
        <v>28</v>
      </c>
      <c r="Q784" s="7" t="str">
        <f t="shared" si="48"/>
        <v>Moderate</v>
      </c>
      <c r="R784" s="7" t="str">
        <f t="shared" si="49"/>
        <v>Cool</v>
      </c>
      <c r="S784" s="7" t="str">
        <f t="shared" si="50"/>
        <v>Normal Humidity</v>
      </c>
      <c r="T784" s="7" t="str">
        <f t="shared" si="51"/>
        <v>Moderate Wind</v>
      </c>
    </row>
    <row r="785" spans="1:20" x14ac:dyDescent="0.25">
      <c r="A785" s="7" t="s">
        <v>845</v>
      </c>
      <c r="B785" s="10">
        <v>45981</v>
      </c>
      <c r="C785" s="11" t="s">
        <v>35</v>
      </c>
      <c r="D785" s="11" t="s">
        <v>36</v>
      </c>
      <c r="E785" s="7" t="s">
        <v>68</v>
      </c>
      <c r="F785" s="9">
        <v>24.2</v>
      </c>
      <c r="G785" s="9">
        <v>55.1</v>
      </c>
      <c r="H785" s="9">
        <v>26</v>
      </c>
      <c r="I785" s="9">
        <v>18.899999999999999</v>
      </c>
      <c r="J785" s="9">
        <v>0.28000000000000003</v>
      </c>
      <c r="K785" s="9">
        <v>49.4</v>
      </c>
      <c r="L785" s="7">
        <v>37.6</v>
      </c>
      <c r="M785" s="7">
        <v>44.3</v>
      </c>
      <c r="N785" s="7">
        <v>2.6</v>
      </c>
      <c r="O785" s="7">
        <v>138</v>
      </c>
      <c r="P785" s="7" t="s">
        <v>33</v>
      </c>
      <c r="Q785" s="7" t="str">
        <f t="shared" si="48"/>
        <v>Moderate</v>
      </c>
      <c r="R785" s="7" t="str">
        <f t="shared" si="49"/>
        <v>Hot</v>
      </c>
      <c r="S785" s="7" t="str">
        <f t="shared" si="50"/>
        <v>Normal Humidity</v>
      </c>
      <c r="T785" s="7" t="str">
        <f t="shared" si="51"/>
        <v>Moderate Wind</v>
      </c>
    </row>
    <row r="786" spans="1:20" x14ac:dyDescent="0.25">
      <c r="A786" s="7" t="s">
        <v>846</v>
      </c>
      <c r="B786" s="10">
        <v>45754</v>
      </c>
      <c r="C786" s="11" t="s">
        <v>64</v>
      </c>
      <c r="D786" s="11" t="s">
        <v>36</v>
      </c>
      <c r="E786" s="7" t="s">
        <v>58</v>
      </c>
      <c r="F786" s="9">
        <v>95.4</v>
      </c>
      <c r="G786" s="9">
        <v>97.4</v>
      </c>
      <c r="H786" s="9">
        <v>20.3</v>
      </c>
      <c r="I786" s="9">
        <v>35</v>
      </c>
      <c r="J786" s="9">
        <v>1.25</v>
      </c>
      <c r="K786" s="9">
        <v>7.8</v>
      </c>
      <c r="L786" s="7">
        <v>36.1</v>
      </c>
      <c r="M786" s="7">
        <v>67.900000000000006</v>
      </c>
      <c r="N786" s="7">
        <v>2</v>
      </c>
      <c r="O786" s="7">
        <v>291</v>
      </c>
      <c r="P786" s="7" t="s">
        <v>28</v>
      </c>
      <c r="Q786" s="7" t="str">
        <f t="shared" si="48"/>
        <v>Moderate</v>
      </c>
      <c r="R786" s="7" t="str">
        <f t="shared" si="49"/>
        <v>Hot</v>
      </c>
      <c r="S786" s="7" t="str">
        <f t="shared" si="50"/>
        <v>High Humidity</v>
      </c>
      <c r="T786" s="7" t="str">
        <f t="shared" si="51"/>
        <v>Moderate Wind</v>
      </c>
    </row>
    <row r="787" spans="1:20" x14ac:dyDescent="0.25">
      <c r="A787" s="7" t="s">
        <v>847</v>
      </c>
      <c r="B787" s="10">
        <v>45979</v>
      </c>
      <c r="C787" s="11" t="s">
        <v>77</v>
      </c>
      <c r="D787" s="11" t="s">
        <v>39</v>
      </c>
      <c r="E787" s="7" t="s">
        <v>55</v>
      </c>
      <c r="F787" s="9">
        <v>43.6</v>
      </c>
      <c r="G787" s="9">
        <v>109.8</v>
      </c>
      <c r="H787" s="9">
        <v>4</v>
      </c>
      <c r="I787" s="9">
        <v>17</v>
      </c>
      <c r="J787" s="9">
        <v>1.0900000000000001</v>
      </c>
      <c r="K787" s="9">
        <v>23.2</v>
      </c>
      <c r="L787" s="7">
        <v>29.3</v>
      </c>
      <c r="M787" s="7">
        <v>72.5</v>
      </c>
      <c r="N787" s="7">
        <v>2.4</v>
      </c>
      <c r="O787" s="7">
        <v>194</v>
      </c>
      <c r="P787" s="7" t="s">
        <v>33</v>
      </c>
      <c r="Q787" s="7" t="str">
        <f t="shared" si="48"/>
        <v>Unhealthy</v>
      </c>
      <c r="R787" s="7" t="str">
        <f t="shared" si="49"/>
        <v>Normal</v>
      </c>
      <c r="S787" s="7" t="str">
        <f t="shared" si="50"/>
        <v>High Humidity</v>
      </c>
      <c r="T787" s="7" t="str">
        <f t="shared" si="51"/>
        <v>Moderate Wind</v>
      </c>
    </row>
    <row r="788" spans="1:20" x14ac:dyDescent="0.25">
      <c r="A788" s="7" t="s">
        <v>848</v>
      </c>
      <c r="B788" s="10">
        <v>46014</v>
      </c>
      <c r="C788" s="11" t="s">
        <v>54</v>
      </c>
      <c r="D788" s="11" t="s">
        <v>18</v>
      </c>
      <c r="E788" s="7" t="s">
        <v>27</v>
      </c>
      <c r="F788" s="9">
        <v>185.3</v>
      </c>
      <c r="G788" s="9">
        <v>73.900000000000006</v>
      </c>
      <c r="H788" s="9">
        <v>42.6</v>
      </c>
      <c r="I788" s="9">
        <v>23.9</v>
      </c>
      <c r="J788" s="9">
        <v>1.9</v>
      </c>
      <c r="K788" s="9">
        <v>113.3</v>
      </c>
      <c r="L788" s="7">
        <v>27</v>
      </c>
      <c r="M788" s="7">
        <v>68.5</v>
      </c>
      <c r="N788" s="7">
        <v>1.9</v>
      </c>
      <c r="O788" s="7">
        <v>494</v>
      </c>
      <c r="P788" s="7" t="s">
        <v>20</v>
      </c>
      <c r="Q788" s="7" t="str">
        <f t="shared" si="48"/>
        <v>Moderate</v>
      </c>
      <c r="R788" s="7" t="str">
        <f t="shared" si="49"/>
        <v>Normal</v>
      </c>
      <c r="S788" s="7" t="str">
        <f t="shared" si="50"/>
        <v>High Humidity</v>
      </c>
      <c r="T788" s="7" t="str">
        <f t="shared" si="51"/>
        <v>Low Wind</v>
      </c>
    </row>
    <row r="789" spans="1:20" x14ac:dyDescent="0.25">
      <c r="A789" s="7" t="s">
        <v>849</v>
      </c>
      <c r="B789" s="10">
        <v>45708</v>
      </c>
      <c r="C789" s="11" t="s">
        <v>99</v>
      </c>
      <c r="D789" s="11" t="s">
        <v>36</v>
      </c>
      <c r="E789" s="7" t="s">
        <v>43</v>
      </c>
      <c r="F789" s="9">
        <v>33.799999999999997</v>
      </c>
      <c r="G789" s="9">
        <v>83.6</v>
      </c>
      <c r="H789" s="9">
        <v>16.5</v>
      </c>
      <c r="I789" s="9">
        <v>6.5</v>
      </c>
      <c r="J789" s="9">
        <v>0.64</v>
      </c>
      <c r="K789" s="9">
        <v>22.2</v>
      </c>
      <c r="L789" s="7">
        <v>24.4</v>
      </c>
      <c r="M789" s="7">
        <v>90.5</v>
      </c>
      <c r="N789" s="7">
        <v>2.7</v>
      </c>
      <c r="O789" s="7">
        <v>152</v>
      </c>
      <c r="P789" s="7" t="s">
        <v>33</v>
      </c>
      <c r="Q789" s="7" t="str">
        <f t="shared" si="48"/>
        <v>Moderate</v>
      </c>
      <c r="R789" s="7" t="str">
        <f t="shared" si="49"/>
        <v>Normal</v>
      </c>
      <c r="S789" s="7" t="str">
        <f t="shared" si="50"/>
        <v>High Humidity</v>
      </c>
      <c r="T789" s="7" t="str">
        <f t="shared" si="51"/>
        <v>Moderate Wind</v>
      </c>
    </row>
    <row r="790" spans="1:20" x14ac:dyDescent="0.25">
      <c r="A790" s="7" t="s">
        <v>850</v>
      </c>
      <c r="B790" s="10">
        <v>45989</v>
      </c>
      <c r="C790" s="11" t="s">
        <v>42</v>
      </c>
      <c r="D790" s="11" t="s">
        <v>23</v>
      </c>
      <c r="E790" s="7" t="s">
        <v>40</v>
      </c>
      <c r="F790" s="9">
        <v>36.4</v>
      </c>
      <c r="G790" s="9">
        <v>37.6</v>
      </c>
      <c r="H790" s="9">
        <v>48.8</v>
      </c>
      <c r="I790" s="9">
        <v>10.5</v>
      </c>
      <c r="J790" s="9">
        <v>0.88</v>
      </c>
      <c r="K790" s="9">
        <v>23.4</v>
      </c>
      <c r="L790" s="7">
        <v>33.4</v>
      </c>
      <c r="M790" s="7">
        <v>90.8</v>
      </c>
      <c r="N790" s="7">
        <v>0.9</v>
      </c>
      <c r="O790" s="7">
        <v>162</v>
      </c>
      <c r="P790" s="7" t="s">
        <v>33</v>
      </c>
      <c r="Q790" s="7" t="str">
        <f t="shared" si="48"/>
        <v>Good</v>
      </c>
      <c r="R790" s="7" t="str">
        <f t="shared" si="49"/>
        <v>Hot</v>
      </c>
      <c r="S790" s="7" t="str">
        <f t="shared" si="50"/>
        <v>High Humidity</v>
      </c>
      <c r="T790" s="7" t="str">
        <f t="shared" si="51"/>
        <v>Low Wind</v>
      </c>
    </row>
    <row r="791" spans="1:20" x14ac:dyDescent="0.25">
      <c r="A791" s="7" t="s">
        <v>851</v>
      </c>
      <c r="B791" s="10">
        <v>45929</v>
      </c>
      <c r="C791" s="11" t="s">
        <v>30</v>
      </c>
      <c r="D791" s="11" t="s">
        <v>31</v>
      </c>
      <c r="E791" s="7" t="s">
        <v>55</v>
      </c>
      <c r="F791" s="9">
        <v>34.9</v>
      </c>
      <c r="G791" s="9">
        <v>71.8</v>
      </c>
      <c r="H791" s="9">
        <v>37.200000000000003</v>
      </c>
      <c r="I791" s="9">
        <v>7.2</v>
      </c>
      <c r="J791" s="9">
        <v>1.58</v>
      </c>
      <c r="K791" s="9">
        <v>27.3</v>
      </c>
      <c r="L791" s="7">
        <v>31.7</v>
      </c>
      <c r="M791" s="7">
        <v>80.3</v>
      </c>
      <c r="N791" s="7">
        <v>2.4</v>
      </c>
      <c r="O791" s="7">
        <v>189</v>
      </c>
      <c r="P791" s="7" t="s">
        <v>33</v>
      </c>
      <c r="Q791" s="7" t="str">
        <f t="shared" si="48"/>
        <v>Moderate</v>
      </c>
      <c r="R791" s="7" t="str">
        <f t="shared" si="49"/>
        <v>Hot</v>
      </c>
      <c r="S791" s="7" t="str">
        <f t="shared" si="50"/>
        <v>High Humidity</v>
      </c>
      <c r="T791" s="7" t="str">
        <f t="shared" si="51"/>
        <v>Moderate Wind</v>
      </c>
    </row>
    <row r="792" spans="1:20" x14ac:dyDescent="0.25">
      <c r="A792" s="7" t="s">
        <v>852</v>
      </c>
      <c r="B792" s="10">
        <v>45800</v>
      </c>
      <c r="C792" s="11" t="s">
        <v>64</v>
      </c>
      <c r="D792" s="11" t="s">
        <v>36</v>
      </c>
      <c r="E792" s="7" t="s">
        <v>55</v>
      </c>
      <c r="F792" s="9">
        <v>30.8</v>
      </c>
      <c r="G792" s="9">
        <v>39.5</v>
      </c>
      <c r="H792" s="9">
        <v>17.5</v>
      </c>
      <c r="I792" s="9">
        <v>21.6</v>
      </c>
      <c r="J792" s="9">
        <v>0.9</v>
      </c>
      <c r="K792" s="9">
        <v>36.5</v>
      </c>
      <c r="L792" s="7">
        <v>26.8</v>
      </c>
      <c r="M792" s="7">
        <v>77.8</v>
      </c>
      <c r="N792" s="7">
        <v>2.7</v>
      </c>
      <c r="O792" s="7">
        <v>143</v>
      </c>
      <c r="P792" s="7" t="s">
        <v>33</v>
      </c>
      <c r="Q792" s="7" t="str">
        <f t="shared" si="48"/>
        <v>Good</v>
      </c>
      <c r="R792" s="7" t="str">
        <f t="shared" si="49"/>
        <v>Normal</v>
      </c>
      <c r="S792" s="7" t="str">
        <f t="shared" si="50"/>
        <v>High Humidity</v>
      </c>
      <c r="T792" s="7" t="str">
        <f t="shared" si="51"/>
        <v>Moderate Wind</v>
      </c>
    </row>
    <row r="793" spans="1:20" x14ac:dyDescent="0.25">
      <c r="A793" s="7" t="s">
        <v>853</v>
      </c>
      <c r="B793" s="10">
        <v>45913</v>
      </c>
      <c r="C793" s="11" t="s">
        <v>30</v>
      </c>
      <c r="D793" s="11" t="s">
        <v>31</v>
      </c>
      <c r="E793" s="7" t="s">
        <v>45</v>
      </c>
      <c r="F793" s="9">
        <v>24</v>
      </c>
      <c r="G793" s="9">
        <v>67.5</v>
      </c>
      <c r="H793" s="9">
        <v>105</v>
      </c>
      <c r="I793" s="9">
        <v>13.2</v>
      </c>
      <c r="J793" s="9">
        <v>1.29</v>
      </c>
      <c r="K793" s="9">
        <v>42.7</v>
      </c>
      <c r="L793" s="7">
        <v>23.8</v>
      </c>
      <c r="M793" s="7">
        <v>69.400000000000006</v>
      </c>
      <c r="N793" s="7">
        <v>2.9</v>
      </c>
      <c r="O793" s="7">
        <v>227</v>
      </c>
      <c r="P793" s="7" t="s">
        <v>28</v>
      </c>
      <c r="Q793" s="7" t="str">
        <f t="shared" si="48"/>
        <v>Moderate</v>
      </c>
      <c r="R793" s="7" t="str">
        <f t="shared" si="49"/>
        <v>Normal</v>
      </c>
      <c r="S793" s="7" t="str">
        <f t="shared" si="50"/>
        <v>High Humidity</v>
      </c>
      <c r="T793" s="7" t="str">
        <f t="shared" si="51"/>
        <v>Moderate Wind</v>
      </c>
    </row>
    <row r="794" spans="1:20" x14ac:dyDescent="0.25">
      <c r="A794" s="7" t="s">
        <v>854</v>
      </c>
      <c r="B794" s="10">
        <v>45701</v>
      </c>
      <c r="C794" s="11" t="s">
        <v>22</v>
      </c>
      <c r="D794" s="11" t="s">
        <v>23</v>
      </c>
      <c r="E794" s="7" t="s">
        <v>19</v>
      </c>
      <c r="F794" s="9">
        <v>43.5</v>
      </c>
      <c r="G794" s="9">
        <v>96.6</v>
      </c>
      <c r="H794" s="9">
        <v>41.5</v>
      </c>
      <c r="I794" s="9">
        <v>6.9</v>
      </c>
      <c r="J794" s="9">
        <v>0.68</v>
      </c>
      <c r="K794" s="9">
        <v>45.9</v>
      </c>
      <c r="L794" s="7">
        <v>25</v>
      </c>
      <c r="M794" s="7">
        <v>26.1</v>
      </c>
      <c r="N794" s="7">
        <v>2.2000000000000002</v>
      </c>
      <c r="O794" s="7">
        <v>208</v>
      </c>
      <c r="P794" s="7" t="s">
        <v>28</v>
      </c>
      <c r="Q794" s="7" t="str">
        <f t="shared" si="48"/>
        <v>Moderate</v>
      </c>
      <c r="R794" s="7" t="str">
        <f t="shared" si="49"/>
        <v>Normal</v>
      </c>
      <c r="S794" s="7" t="str">
        <f t="shared" si="50"/>
        <v>Low Humidity</v>
      </c>
      <c r="T794" s="7" t="str">
        <f t="shared" si="51"/>
        <v>Moderate Wind</v>
      </c>
    </row>
    <row r="795" spans="1:20" x14ac:dyDescent="0.25">
      <c r="A795" s="7" t="s">
        <v>855</v>
      </c>
      <c r="B795" s="10">
        <v>45826</v>
      </c>
      <c r="C795" s="11" t="s">
        <v>64</v>
      </c>
      <c r="D795" s="11" t="s">
        <v>36</v>
      </c>
      <c r="E795" s="7" t="s">
        <v>58</v>
      </c>
      <c r="F795" s="9">
        <v>115.2</v>
      </c>
      <c r="G795" s="9">
        <v>164.1</v>
      </c>
      <c r="H795" s="9">
        <v>10.7</v>
      </c>
      <c r="I795" s="9">
        <v>12.9</v>
      </c>
      <c r="J795" s="9">
        <v>1.1599999999999999</v>
      </c>
      <c r="K795" s="9">
        <v>31.1</v>
      </c>
      <c r="L795" s="7">
        <v>35.299999999999997</v>
      </c>
      <c r="M795" s="7">
        <v>43.9</v>
      </c>
      <c r="N795" s="7">
        <v>1.9</v>
      </c>
      <c r="O795" s="7">
        <v>352</v>
      </c>
      <c r="P795" s="7" t="s">
        <v>20</v>
      </c>
      <c r="Q795" s="7" t="str">
        <f t="shared" si="48"/>
        <v>VeryUnhealthy</v>
      </c>
      <c r="R795" s="7" t="str">
        <f t="shared" si="49"/>
        <v>Hot</v>
      </c>
      <c r="S795" s="7" t="str">
        <f t="shared" si="50"/>
        <v>Normal Humidity</v>
      </c>
      <c r="T795" s="7" t="str">
        <f t="shared" si="51"/>
        <v>Low Wind</v>
      </c>
    </row>
    <row r="796" spans="1:20" x14ac:dyDescent="0.25">
      <c r="A796" s="7" t="s">
        <v>856</v>
      </c>
      <c r="B796" s="10">
        <v>45793</v>
      </c>
      <c r="C796" s="11" t="s">
        <v>99</v>
      </c>
      <c r="D796" s="11" t="s">
        <v>36</v>
      </c>
      <c r="E796" s="7" t="s">
        <v>43</v>
      </c>
      <c r="F796" s="9">
        <v>46.3</v>
      </c>
      <c r="G796" s="9">
        <v>131.9</v>
      </c>
      <c r="H796" s="9">
        <v>9.1999999999999993</v>
      </c>
      <c r="I796" s="9">
        <v>22.4</v>
      </c>
      <c r="J796" s="9">
        <v>1.29</v>
      </c>
      <c r="K796" s="9">
        <v>48.4</v>
      </c>
      <c r="L796" s="7">
        <v>32.200000000000003</v>
      </c>
      <c r="M796" s="7">
        <v>68.3</v>
      </c>
      <c r="N796" s="7">
        <v>1.1000000000000001</v>
      </c>
      <c r="O796" s="7">
        <v>237</v>
      </c>
      <c r="P796" s="7" t="s">
        <v>28</v>
      </c>
      <c r="Q796" s="7" t="str">
        <f t="shared" si="48"/>
        <v>Unhealthy</v>
      </c>
      <c r="R796" s="7" t="str">
        <f t="shared" si="49"/>
        <v>Hot</v>
      </c>
      <c r="S796" s="7" t="str">
        <f t="shared" si="50"/>
        <v>High Humidity</v>
      </c>
      <c r="T796" s="7" t="str">
        <f t="shared" si="51"/>
        <v>Low Wind</v>
      </c>
    </row>
    <row r="797" spans="1:20" x14ac:dyDescent="0.25">
      <c r="A797" s="7" t="s">
        <v>857</v>
      </c>
      <c r="B797" s="10">
        <v>45803</v>
      </c>
      <c r="C797" s="11" t="s">
        <v>17</v>
      </c>
      <c r="D797" s="11" t="s">
        <v>18</v>
      </c>
      <c r="E797" s="7" t="s">
        <v>97</v>
      </c>
      <c r="F797" s="9">
        <v>25.1</v>
      </c>
      <c r="G797" s="9">
        <v>102.7</v>
      </c>
      <c r="H797" s="9">
        <v>19.399999999999999</v>
      </c>
      <c r="I797" s="9">
        <v>10.4</v>
      </c>
      <c r="J797" s="9">
        <v>0.47</v>
      </c>
      <c r="K797" s="9">
        <v>30.1</v>
      </c>
      <c r="L797" s="7">
        <v>30.9</v>
      </c>
      <c r="M797" s="7">
        <v>54.2</v>
      </c>
      <c r="N797" s="7">
        <v>3.3</v>
      </c>
      <c r="O797" s="7">
        <v>155</v>
      </c>
      <c r="P797" s="7" t="s">
        <v>33</v>
      </c>
      <c r="Q797" s="7" t="str">
        <f t="shared" si="48"/>
        <v>Unhealthy</v>
      </c>
      <c r="R797" s="7" t="str">
        <f t="shared" si="49"/>
        <v>Hot</v>
      </c>
      <c r="S797" s="7" t="str">
        <f t="shared" si="50"/>
        <v>Normal Humidity</v>
      </c>
      <c r="T797" s="7" t="str">
        <f t="shared" si="51"/>
        <v>Moderate Wind</v>
      </c>
    </row>
    <row r="798" spans="1:20" x14ac:dyDescent="0.25">
      <c r="A798" s="7" t="s">
        <v>858</v>
      </c>
      <c r="B798" s="10">
        <v>45956</v>
      </c>
      <c r="C798" s="11" t="s">
        <v>81</v>
      </c>
      <c r="D798" s="11" t="s">
        <v>39</v>
      </c>
      <c r="E798" s="7" t="s">
        <v>68</v>
      </c>
      <c r="F798" s="9">
        <v>30.8</v>
      </c>
      <c r="G798" s="9">
        <v>75.5</v>
      </c>
      <c r="H798" s="9">
        <v>65.3</v>
      </c>
      <c r="I798" s="9">
        <v>23.7</v>
      </c>
      <c r="J798" s="9">
        <v>0.11</v>
      </c>
      <c r="K798" s="9">
        <v>11.8</v>
      </c>
      <c r="L798" s="7">
        <v>24.3</v>
      </c>
      <c r="M798" s="7">
        <v>61.4</v>
      </c>
      <c r="N798" s="7">
        <v>2.9</v>
      </c>
      <c r="O798" s="7">
        <v>175</v>
      </c>
      <c r="P798" s="7" t="s">
        <v>33</v>
      </c>
      <c r="Q798" s="7" t="str">
        <f t="shared" si="48"/>
        <v>Moderate</v>
      </c>
      <c r="R798" s="7" t="str">
        <f t="shared" si="49"/>
        <v>Normal</v>
      </c>
      <c r="S798" s="7" t="str">
        <f t="shared" si="50"/>
        <v>High Humidity</v>
      </c>
      <c r="T798" s="7" t="str">
        <f t="shared" si="51"/>
        <v>Moderate Wind</v>
      </c>
    </row>
    <row r="799" spans="1:20" x14ac:dyDescent="0.25">
      <c r="A799" s="7" t="s">
        <v>859</v>
      </c>
      <c r="B799" s="10">
        <v>45776</v>
      </c>
      <c r="C799" s="11" t="s">
        <v>77</v>
      </c>
      <c r="D799" s="11" t="s">
        <v>39</v>
      </c>
      <c r="E799" s="7" t="s">
        <v>55</v>
      </c>
      <c r="F799" s="9">
        <v>24.6</v>
      </c>
      <c r="G799" s="9">
        <v>59.1</v>
      </c>
      <c r="H799" s="9">
        <v>13.3</v>
      </c>
      <c r="I799" s="9">
        <v>23.2</v>
      </c>
      <c r="J799" s="9">
        <v>1.46</v>
      </c>
      <c r="K799" s="9">
        <v>45.4</v>
      </c>
      <c r="L799" s="7">
        <v>25</v>
      </c>
      <c r="M799" s="7">
        <v>51</v>
      </c>
      <c r="N799" s="7">
        <v>1.4</v>
      </c>
      <c r="O799" s="7">
        <v>162</v>
      </c>
      <c r="P799" s="7" t="s">
        <v>33</v>
      </c>
      <c r="Q799" s="7" t="str">
        <f t="shared" si="48"/>
        <v>Moderate</v>
      </c>
      <c r="R799" s="7" t="str">
        <f t="shared" si="49"/>
        <v>Normal</v>
      </c>
      <c r="S799" s="7" t="str">
        <f t="shared" si="50"/>
        <v>Normal Humidity</v>
      </c>
      <c r="T799" s="7" t="str">
        <f t="shared" si="51"/>
        <v>Low Wind</v>
      </c>
    </row>
    <row r="800" spans="1:20" x14ac:dyDescent="0.25">
      <c r="A800" s="7" t="s">
        <v>860</v>
      </c>
      <c r="B800" s="10">
        <v>45869</v>
      </c>
      <c r="C800" s="11" t="s">
        <v>52</v>
      </c>
      <c r="D800" s="11" t="s">
        <v>31</v>
      </c>
      <c r="E800" s="7" t="s">
        <v>40</v>
      </c>
      <c r="F800" s="9">
        <v>53.6</v>
      </c>
      <c r="G800" s="9">
        <v>90.7</v>
      </c>
      <c r="H800" s="9">
        <v>26.5</v>
      </c>
      <c r="I800" s="9">
        <v>5.6</v>
      </c>
      <c r="J800" s="9">
        <v>0.56999999999999995</v>
      </c>
      <c r="K800" s="9">
        <v>40.200000000000003</v>
      </c>
      <c r="L800" s="7">
        <v>29.7</v>
      </c>
      <c r="M800" s="7">
        <v>33</v>
      </c>
      <c r="N800" s="7">
        <v>2.9</v>
      </c>
      <c r="O800" s="7">
        <v>202</v>
      </c>
      <c r="P800" s="7" t="s">
        <v>28</v>
      </c>
      <c r="Q800" s="7" t="str">
        <f t="shared" si="48"/>
        <v>Moderate</v>
      </c>
      <c r="R800" s="7" t="str">
        <f t="shared" si="49"/>
        <v>Normal</v>
      </c>
      <c r="S800" s="7" t="str">
        <f t="shared" si="50"/>
        <v>Normal Humidity</v>
      </c>
      <c r="T800" s="7" t="str">
        <f t="shared" si="51"/>
        <v>Moderate Wind</v>
      </c>
    </row>
    <row r="801" spans="1:20" x14ac:dyDescent="0.25">
      <c r="A801" s="7" t="s">
        <v>861</v>
      </c>
      <c r="B801" s="10">
        <v>45919</v>
      </c>
      <c r="C801" s="11" t="s">
        <v>77</v>
      </c>
      <c r="D801" s="11" t="s">
        <v>39</v>
      </c>
      <c r="E801" s="7" t="s">
        <v>70</v>
      </c>
      <c r="F801" s="9">
        <v>61.2</v>
      </c>
      <c r="G801" s="9">
        <v>93.5</v>
      </c>
      <c r="H801" s="9">
        <v>15.3</v>
      </c>
      <c r="I801" s="9">
        <v>10.5</v>
      </c>
      <c r="J801" s="9">
        <v>0.17</v>
      </c>
      <c r="K801" s="9">
        <v>52.4</v>
      </c>
      <c r="L801" s="7">
        <v>25.3</v>
      </c>
      <c r="M801" s="7">
        <v>55.7</v>
      </c>
      <c r="N801" s="7">
        <v>2.9</v>
      </c>
      <c r="O801" s="7">
        <v>206</v>
      </c>
      <c r="P801" s="7" t="s">
        <v>28</v>
      </c>
      <c r="Q801" s="7" t="str">
        <f t="shared" si="48"/>
        <v>Moderate</v>
      </c>
      <c r="R801" s="7" t="str">
        <f t="shared" si="49"/>
        <v>Normal</v>
      </c>
      <c r="S801" s="7" t="str">
        <f t="shared" si="50"/>
        <v>Normal Humidity</v>
      </c>
      <c r="T801" s="7" t="str">
        <f t="shared" si="51"/>
        <v>Moderate Wind</v>
      </c>
    </row>
    <row r="802" spans="1:20" x14ac:dyDescent="0.25">
      <c r="A802" s="7" t="s">
        <v>862</v>
      </c>
      <c r="B802" s="10">
        <v>45946</v>
      </c>
      <c r="C802" s="11" t="s">
        <v>54</v>
      </c>
      <c r="D802" s="11" t="s">
        <v>18</v>
      </c>
      <c r="E802" s="7" t="s">
        <v>91</v>
      </c>
      <c r="F802" s="9">
        <v>46</v>
      </c>
      <c r="G802" s="9">
        <v>120.3</v>
      </c>
      <c r="H802" s="9">
        <v>20</v>
      </c>
      <c r="I802" s="9">
        <v>6.6</v>
      </c>
      <c r="J802" s="9">
        <v>0.36</v>
      </c>
      <c r="K802" s="9">
        <v>20.3</v>
      </c>
      <c r="L802" s="7">
        <v>25.3</v>
      </c>
      <c r="M802" s="7">
        <v>42.3</v>
      </c>
      <c r="N802" s="7">
        <v>0.9</v>
      </c>
      <c r="O802" s="7">
        <v>191</v>
      </c>
      <c r="P802" s="7" t="s">
        <v>33</v>
      </c>
      <c r="Q802" s="7" t="str">
        <f t="shared" si="48"/>
        <v>Unhealthy</v>
      </c>
      <c r="R802" s="7" t="str">
        <f t="shared" si="49"/>
        <v>Normal</v>
      </c>
      <c r="S802" s="7" t="str">
        <f t="shared" si="50"/>
        <v>Normal Humidity</v>
      </c>
      <c r="T802" s="7" t="str">
        <f t="shared" si="51"/>
        <v>Low Wind</v>
      </c>
    </row>
    <row r="803" spans="1:20" x14ac:dyDescent="0.25">
      <c r="A803" s="7" t="s">
        <v>863</v>
      </c>
      <c r="B803" s="10">
        <v>45823</v>
      </c>
      <c r="C803" s="11" t="s">
        <v>93</v>
      </c>
      <c r="D803" s="11" t="s">
        <v>36</v>
      </c>
      <c r="E803" s="7" t="s">
        <v>61</v>
      </c>
      <c r="F803" s="9">
        <v>44.5</v>
      </c>
      <c r="G803" s="9">
        <v>49.5</v>
      </c>
      <c r="H803" s="9">
        <v>33.200000000000003</v>
      </c>
      <c r="I803" s="9">
        <v>1.8</v>
      </c>
      <c r="J803" s="9">
        <v>0.41</v>
      </c>
      <c r="K803" s="9">
        <v>43.1</v>
      </c>
      <c r="L803" s="7">
        <v>18.600000000000001</v>
      </c>
      <c r="M803" s="7">
        <v>60.5</v>
      </c>
      <c r="N803" s="7">
        <v>1.3</v>
      </c>
      <c r="O803" s="7">
        <v>161</v>
      </c>
      <c r="P803" s="7" t="s">
        <v>33</v>
      </c>
      <c r="Q803" s="7" t="str">
        <f t="shared" si="48"/>
        <v>Good</v>
      </c>
      <c r="R803" s="7" t="str">
        <f t="shared" si="49"/>
        <v>Cool</v>
      </c>
      <c r="S803" s="7" t="str">
        <f t="shared" si="50"/>
        <v>High Humidity</v>
      </c>
      <c r="T803" s="7" t="str">
        <f t="shared" si="51"/>
        <v>Low Wind</v>
      </c>
    </row>
    <row r="804" spans="1:20" x14ac:dyDescent="0.25">
      <c r="A804" s="7" t="s">
        <v>864</v>
      </c>
      <c r="B804" s="10">
        <v>45943</v>
      </c>
      <c r="C804" s="11" t="s">
        <v>30</v>
      </c>
      <c r="D804" s="11" t="s">
        <v>31</v>
      </c>
      <c r="E804" s="7" t="s">
        <v>45</v>
      </c>
      <c r="F804" s="9">
        <v>98</v>
      </c>
      <c r="G804" s="9">
        <v>56.1</v>
      </c>
      <c r="H804" s="9">
        <v>11.9</v>
      </c>
      <c r="I804" s="9">
        <v>14</v>
      </c>
      <c r="J804" s="9">
        <v>2.0099999999999998</v>
      </c>
      <c r="K804" s="9">
        <v>48.1</v>
      </c>
      <c r="L804" s="7">
        <v>17.899999999999999</v>
      </c>
      <c r="M804" s="7">
        <v>56.9</v>
      </c>
      <c r="N804" s="7">
        <v>1.9</v>
      </c>
      <c r="O804" s="7">
        <v>284</v>
      </c>
      <c r="P804" s="7" t="s">
        <v>28</v>
      </c>
      <c r="Q804" s="7" t="str">
        <f t="shared" si="48"/>
        <v>Moderate</v>
      </c>
      <c r="R804" s="7" t="str">
        <f t="shared" si="49"/>
        <v>Cool</v>
      </c>
      <c r="S804" s="7" t="str">
        <f t="shared" si="50"/>
        <v>Normal Humidity</v>
      </c>
      <c r="T804" s="7" t="str">
        <f t="shared" si="51"/>
        <v>Low Wind</v>
      </c>
    </row>
    <row r="805" spans="1:20" x14ac:dyDescent="0.25">
      <c r="A805" s="7" t="s">
        <v>865</v>
      </c>
      <c r="B805" s="10">
        <v>45905</v>
      </c>
      <c r="C805" s="11" t="s">
        <v>64</v>
      </c>
      <c r="D805" s="11" t="s">
        <v>36</v>
      </c>
      <c r="E805" s="7" t="s">
        <v>61</v>
      </c>
      <c r="F805" s="9">
        <v>47.7</v>
      </c>
      <c r="G805" s="9">
        <v>34.6</v>
      </c>
      <c r="H805" s="9">
        <v>13.9</v>
      </c>
      <c r="I805" s="9">
        <v>14</v>
      </c>
      <c r="J805" s="9">
        <v>0.25</v>
      </c>
      <c r="K805" s="9">
        <v>52.6</v>
      </c>
      <c r="L805" s="7">
        <v>32.1</v>
      </c>
      <c r="M805" s="7">
        <v>77.099999999999994</v>
      </c>
      <c r="N805" s="7">
        <v>3.2</v>
      </c>
      <c r="O805" s="7">
        <v>150</v>
      </c>
      <c r="P805" s="7" t="s">
        <v>33</v>
      </c>
      <c r="Q805" s="7" t="str">
        <f t="shared" si="48"/>
        <v>Good</v>
      </c>
      <c r="R805" s="7" t="str">
        <f t="shared" si="49"/>
        <v>Hot</v>
      </c>
      <c r="S805" s="7" t="str">
        <f t="shared" si="50"/>
        <v>High Humidity</v>
      </c>
      <c r="T805" s="7" t="str">
        <f t="shared" si="51"/>
        <v>Moderate Wind</v>
      </c>
    </row>
    <row r="806" spans="1:20" x14ac:dyDescent="0.25">
      <c r="A806" s="7" t="s">
        <v>866</v>
      </c>
      <c r="B806" s="10">
        <v>45722</v>
      </c>
      <c r="C806" s="11" t="s">
        <v>81</v>
      </c>
      <c r="D806" s="11" t="s">
        <v>39</v>
      </c>
      <c r="E806" s="7" t="s">
        <v>68</v>
      </c>
      <c r="F806" s="9">
        <v>29.5</v>
      </c>
      <c r="G806" s="9">
        <v>117.3</v>
      </c>
      <c r="H806" s="9">
        <v>25.6</v>
      </c>
      <c r="I806" s="9">
        <v>16.7</v>
      </c>
      <c r="J806" s="9">
        <v>1.73</v>
      </c>
      <c r="K806" s="9">
        <v>20.9</v>
      </c>
      <c r="L806" s="7">
        <v>29.1</v>
      </c>
      <c r="M806" s="7">
        <v>49.1</v>
      </c>
      <c r="N806" s="7">
        <v>4.3</v>
      </c>
      <c r="O806" s="7">
        <v>208</v>
      </c>
      <c r="P806" s="7" t="s">
        <v>28</v>
      </c>
      <c r="Q806" s="7" t="str">
        <f t="shared" si="48"/>
        <v>Unhealthy</v>
      </c>
      <c r="R806" s="7" t="str">
        <f t="shared" si="49"/>
        <v>Normal</v>
      </c>
      <c r="S806" s="7" t="str">
        <f t="shared" si="50"/>
        <v>Normal Humidity</v>
      </c>
      <c r="T806" s="7" t="str">
        <f t="shared" si="51"/>
        <v>Moderate Wind</v>
      </c>
    </row>
    <row r="807" spans="1:20" x14ac:dyDescent="0.25">
      <c r="A807" s="7" t="s">
        <v>867</v>
      </c>
      <c r="B807" s="10">
        <v>45913</v>
      </c>
      <c r="C807" s="11" t="s">
        <v>99</v>
      </c>
      <c r="D807" s="11" t="s">
        <v>36</v>
      </c>
      <c r="E807" s="7" t="s">
        <v>70</v>
      </c>
      <c r="F807" s="9">
        <v>41.3</v>
      </c>
      <c r="G807" s="9">
        <v>78.8</v>
      </c>
      <c r="H807" s="9">
        <v>28</v>
      </c>
      <c r="I807" s="9">
        <v>16.2</v>
      </c>
      <c r="J807" s="9">
        <v>0.14000000000000001</v>
      </c>
      <c r="K807" s="9">
        <v>73.2</v>
      </c>
      <c r="L807" s="7">
        <v>37.299999999999997</v>
      </c>
      <c r="M807" s="7">
        <v>54.8</v>
      </c>
      <c r="N807" s="7">
        <v>3.6</v>
      </c>
      <c r="O807" s="7">
        <v>187</v>
      </c>
      <c r="P807" s="7" t="s">
        <v>33</v>
      </c>
      <c r="Q807" s="7" t="str">
        <f t="shared" si="48"/>
        <v>Moderate</v>
      </c>
      <c r="R807" s="7" t="str">
        <f t="shared" si="49"/>
        <v>Hot</v>
      </c>
      <c r="S807" s="7" t="str">
        <f t="shared" si="50"/>
        <v>Normal Humidity</v>
      </c>
      <c r="T807" s="7" t="str">
        <f t="shared" si="51"/>
        <v>Moderate Wind</v>
      </c>
    </row>
    <row r="808" spans="1:20" x14ac:dyDescent="0.25">
      <c r="A808" s="7" t="s">
        <v>868</v>
      </c>
      <c r="B808" s="10">
        <v>45790</v>
      </c>
      <c r="C808" s="11" t="s">
        <v>54</v>
      </c>
      <c r="D808" s="11" t="s">
        <v>18</v>
      </c>
      <c r="E808" s="7" t="s">
        <v>27</v>
      </c>
      <c r="F808" s="9">
        <v>61.7</v>
      </c>
      <c r="G808" s="9">
        <v>69.2</v>
      </c>
      <c r="H808" s="9">
        <v>54.8</v>
      </c>
      <c r="I808" s="9">
        <v>0.8</v>
      </c>
      <c r="J808" s="9">
        <v>0.28000000000000003</v>
      </c>
      <c r="K808" s="9">
        <v>47.7</v>
      </c>
      <c r="L808" s="7">
        <v>22.3</v>
      </c>
      <c r="M808" s="7">
        <v>50.7</v>
      </c>
      <c r="N808" s="7">
        <v>2.7</v>
      </c>
      <c r="O808" s="7">
        <v>217</v>
      </c>
      <c r="P808" s="7" t="s">
        <v>28</v>
      </c>
      <c r="Q808" s="7" t="str">
        <f t="shared" si="48"/>
        <v>Moderate</v>
      </c>
      <c r="R808" s="7" t="str">
        <f t="shared" si="49"/>
        <v>Normal</v>
      </c>
      <c r="S808" s="7" t="str">
        <f t="shared" si="50"/>
        <v>Normal Humidity</v>
      </c>
      <c r="T808" s="7" t="str">
        <f t="shared" si="51"/>
        <v>Moderate Wind</v>
      </c>
    </row>
    <row r="809" spans="1:20" x14ac:dyDescent="0.25">
      <c r="A809" s="7" t="s">
        <v>869</v>
      </c>
      <c r="B809" s="10">
        <v>46016</v>
      </c>
      <c r="C809" s="11" t="s">
        <v>26</v>
      </c>
      <c r="D809" s="11" t="s">
        <v>23</v>
      </c>
      <c r="E809" s="7" t="s">
        <v>68</v>
      </c>
      <c r="F809" s="9">
        <v>28.7</v>
      </c>
      <c r="G809" s="9">
        <v>161.69999999999999</v>
      </c>
      <c r="H809" s="9">
        <v>38.700000000000003</v>
      </c>
      <c r="I809" s="9">
        <v>4.0999999999999996</v>
      </c>
      <c r="J809" s="9">
        <v>0.85</v>
      </c>
      <c r="K809" s="9">
        <v>41.7</v>
      </c>
      <c r="L809" s="7">
        <v>20.8</v>
      </c>
      <c r="M809" s="7">
        <v>73.2</v>
      </c>
      <c r="N809" s="7">
        <v>2</v>
      </c>
      <c r="O809" s="7">
        <v>225</v>
      </c>
      <c r="P809" s="7" t="s">
        <v>28</v>
      </c>
      <c r="Q809" s="7" t="str">
        <f t="shared" si="48"/>
        <v>VeryUnhealthy</v>
      </c>
      <c r="R809" s="7" t="str">
        <f t="shared" si="49"/>
        <v>Normal</v>
      </c>
      <c r="S809" s="7" t="str">
        <f t="shared" si="50"/>
        <v>High Humidity</v>
      </c>
      <c r="T809" s="7" t="str">
        <f t="shared" si="51"/>
        <v>Moderate Wind</v>
      </c>
    </row>
    <row r="810" spans="1:20" x14ac:dyDescent="0.25">
      <c r="A810" s="7" t="s">
        <v>870</v>
      </c>
      <c r="B810" s="10">
        <v>45952</v>
      </c>
      <c r="C810" s="11" t="s">
        <v>81</v>
      </c>
      <c r="D810" s="11" t="s">
        <v>39</v>
      </c>
      <c r="E810" s="7" t="s">
        <v>32</v>
      </c>
      <c r="F810" s="9">
        <v>80.900000000000006</v>
      </c>
      <c r="G810" s="9">
        <v>55.8</v>
      </c>
      <c r="H810" s="9">
        <v>21.7</v>
      </c>
      <c r="I810" s="9">
        <v>8.5</v>
      </c>
      <c r="J810" s="9">
        <v>0.16</v>
      </c>
      <c r="K810" s="9">
        <v>28.7</v>
      </c>
      <c r="L810" s="7">
        <v>23.9</v>
      </c>
      <c r="M810" s="7">
        <v>76.5</v>
      </c>
      <c r="N810" s="7">
        <v>1.8</v>
      </c>
      <c r="O810" s="7">
        <v>206</v>
      </c>
      <c r="P810" s="7" t="s">
        <v>28</v>
      </c>
      <c r="Q810" s="7" t="str">
        <f t="shared" si="48"/>
        <v>Moderate</v>
      </c>
      <c r="R810" s="7" t="str">
        <f t="shared" si="49"/>
        <v>Normal</v>
      </c>
      <c r="S810" s="7" t="str">
        <f t="shared" si="50"/>
        <v>High Humidity</v>
      </c>
      <c r="T810" s="7" t="str">
        <f t="shared" si="51"/>
        <v>Low Wind</v>
      </c>
    </row>
    <row r="811" spans="1:20" x14ac:dyDescent="0.25">
      <c r="A811" s="7" t="s">
        <v>871</v>
      </c>
      <c r="B811" s="10">
        <v>45907</v>
      </c>
      <c r="C811" s="11" t="s">
        <v>26</v>
      </c>
      <c r="D811" s="11" t="s">
        <v>23</v>
      </c>
      <c r="E811" s="7" t="s">
        <v>61</v>
      </c>
      <c r="F811" s="9">
        <v>36.9</v>
      </c>
      <c r="G811" s="9">
        <v>198.3</v>
      </c>
      <c r="H811" s="9">
        <v>34.299999999999997</v>
      </c>
      <c r="I811" s="9">
        <v>4</v>
      </c>
      <c r="J811" s="9">
        <v>0.25</v>
      </c>
      <c r="K811" s="9">
        <v>55.9</v>
      </c>
      <c r="L811" s="7">
        <v>25.8</v>
      </c>
      <c r="M811" s="7">
        <v>65.8</v>
      </c>
      <c r="N811" s="7">
        <v>1.4</v>
      </c>
      <c r="O811" s="7">
        <v>250</v>
      </c>
      <c r="P811" s="7" t="s">
        <v>28</v>
      </c>
      <c r="Q811" s="7" t="str">
        <f t="shared" si="48"/>
        <v>VeryUnhealthy</v>
      </c>
      <c r="R811" s="7" t="str">
        <f t="shared" si="49"/>
        <v>Normal</v>
      </c>
      <c r="S811" s="7" t="str">
        <f t="shared" si="50"/>
        <v>High Humidity</v>
      </c>
      <c r="T811" s="7" t="str">
        <f t="shared" si="51"/>
        <v>Low Wind</v>
      </c>
    </row>
    <row r="812" spans="1:20" x14ac:dyDescent="0.25">
      <c r="A812" s="7" t="s">
        <v>872</v>
      </c>
      <c r="B812" s="10">
        <v>45911</v>
      </c>
      <c r="C812" s="11" t="s">
        <v>35</v>
      </c>
      <c r="D812" s="11" t="s">
        <v>36</v>
      </c>
      <c r="E812" s="7" t="s">
        <v>43</v>
      </c>
      <c r="F812" s="9">
        <v>61.2</v>
      </c>
      <c r="G812" s="9">
        <v>164.4</v>
      </c>
      <c r="H812" s="9">
        <v>16.399999999999999</v>
      </c>
      <c r="I812" s="9">
        <v>3.7</v>
      </c>
      <c r="J812" s="9">
        <v>0.31</v>
      </c>
      <c r="K812" s="9">
        <v>46</v>
      </c>
      <c r="L812" s="7">
        <v>29.7</v>
      </c>
      <c r="M812" s="7">
        <v>43.5</v>
      </c>
      <c r="N812" s="7">
        <v>1.8</v>
      </c>
      <c r="O812" s="7">
        <v>249</v>
      </c>
      <c r="P812" s="7" t="s">
        <v>28</v>
      </c>
      <c r="Q812" s="7" t="str">
        <f t="shared" si="48"/>
        <v>VeryUnhealthy</v>
      </c>
      <c r="R812" s="7" t="str">
        <f t="shared" si="49"/>
        <v>Normal</v>
      </c>
      <c r="S812" s="7" t="str">
        <f t="shared" si="50"/>
        <v>Normal Humidity</v>
      </c>
      <c r="T812" s="7" t="str">
        <f t="shared" si="51"/>
        <v>Low Wind</v>
      </c>
    </row>
    <row r="813" spans="1:20" x14ac:dyDescent="0.25">
      <c r="A813" s="7" t="s">
        <v>873</v>
      </c>
      <c r="B813" s="10">
        <v>45686</v>
      </c>
      <c r="C813" s="11" t="s">
        <v>30</v>
      </c>
      <c r="D813" s="11" t="s">
        <v>31</v>
      </c>
      <c r="E813" s="7" t="s">
        <v>27</v>
      </c>
      <c r="F813" s="9">
        <v>40.200000000000003</v>
      </c>
      <c r="G813" s="9">
        <v>61.9</v>
      </c>
      <c r="H813" s="9">
        <v>17.399999999999999</v>
      </c>
      <c r="I813" s="9">
        <v>17.7</v>
      </c>
      <c r="J813" s="9">
        <v>0.97</v>
      </c>
      <c r="K813" s="9">
        <v>8.5</v>
      </c>
      <c r="L813" s="7">
        <v>28.1</v>
      </c>
      <c r="M813" s="7">
        <v>77.2</v>
      </c>
      <c r="N813" s="7">
        <v>1.5</v>
      </c>
      <c r="O813" s="7">
        <v>159</v>
      </c>
      <c r="P813" s="7" t="s">
        <v>33</v>
      </c>
      <c r="Q813" s="7" t="str">
        <f t="shared" si="48"/>
        <v>Moderate</v>
      </c>
      <c r="R813" s="7" t="str">
        <f t="shared" si="49"/>
        <v>Normal</v>
      </c>
      <c r="S813" s="7" t="str">
        <f t="shared" si="50"/>
        <v>High Humidity</v>
      </c>
      <c r="T813" s="7" t="str">
        <f t="shared" si="51"/>
        <v>Low Wind</v>
      </c>
    </row>
    <row r="814" spans="1:20" x14ac:dyDescent="0.25">
      <c r="A814" s="7" t="s">
        <v>874</v>
      </c>
      <c r="B814" s="10">
        <v>45957</v>
      </c>
      <c r="C814" s="11" t="s">
        <v>93</v>
      </c>
      <c r="D814" s="11" t="s">
        <v>36</v>
      </c>
      <c r="E814" s="7" t="s">
        <v>45</v>
      </c>
      <c r="F814" s="9">
        <v>31.4</v>
      </c>
      <c r="G814" s="9">
        <v>46.4</v>
      </c>
      <c r="H814" s="9">
        <v>12.8</v>
      </c>
      <c r="I814" s="9">
        <v>28.6</v>
      </c>
      <c r="J814" s="9">
        <v>0.43</v>
      </c>
      <c r="K814" s="9">
        <v>24.1</v>
      </c>
      <c r="L814" s="7">
        <v>16.899999999999999</v>
      </c>
      <c r="M814" s="7">
        <v>29.2</v>
      </c>
      <c r="N814" s="7">
        <v>3.2</v>
      </c>
      <c r="O814" s="7">
        <v>132</v>
      </c>
      <c r="P814" s="7" t="s">
        <v>33</v>
      </c>
      <c r="Q814" s="7" t="str">
        <f t="shared" si="48"/>
        <v>Good</v>
      </c>
      <c r="R814" s="7" t="str">
        <f t="shared" si="49"/>
        <v>Cool</v>
      </c>
      <c r="S814" s="7" t="str">
        <f t="shared" si="50"/>
        <v>Low Humidity</v>
      </c>
      <c r="T814" s="7" t="str">
        <f t="shared" si="51"/>
        <v>Moderate Wind</v>
      </c>
    </row>
    <row r="815" spans="1:20" x14ac:dyDescent="0.25">
      <c r="A815" s="7" t="s">
        <v>875</v>
      </c>
      <c r="B815" s="10">
        <v>45738</v>
      </c>
      <c r="C815" s="11" t="s">
        <v>35</v>
      </c>
      <c r="D815" s="11" t="s">
        <v>36</v>
      </c>
      <c r="E815" s="7" t="s">
        <v>43</v>
      </c>
      <c r="F815" s="9">
        <v>46.1</v>
      </c>
      <c r="G815" s="9">
        <v>111.8</v>
      </c>
      <c r="H815" s="9">
        <v>19.5</v>
      </c>
      <c r="I815" s="9">
        <v>10.6</v>
      </c>
      <c r="J815" s="9">
        <v>1.84</v>
      </c>
      <c r="K815" s="9">
        <v>46.1</v>
      </c>
      <c r="L815" s="7">
        <v>28.3</v>
      </c>
      <c r="M815" s="7">
        <v>44.5</v>
      </c>
      <c r="N815" s="7">
        <v>3.5</v>
      </c>
      <c r="O815" s="7">
        <v>236</v>
      </c>
      <c r="P815" s="7" t="s">
        <v>28</v>
      </c>
      <c r="Q815" s="7" t="str">
        <f t="shared" si="48"/>
        <v>Unhealthy</v>
      </c>
      <c r="R815" s="7" t="str">
        <f t="shared" si="49"/>
        <v>Normal</v>
      </c>
      <c r="S815" s="7" t="str">
        <f t="shared" si="50"/>
        <v>Normal Humidity</v>
      </c>
      <c r="T815" s="7" t="str">
        <f t="shared" si="51"/>
        <v>Moderate Wind</v>
      </c>
    </row>
    <row r="816" spans="1:20" x14ac:dyDescent="0.25">
      <c r="A816" s="7" t="s">
        <v>876</v>
      </c>
      <c r="B816" s="10">
        <v>45933</v>
      </c>
      <c r="C816" s="11" t="s">
        <v>30</v>
      </c>
      <c r="D816" s="11" t="s">
        <v>31</v>
      </c>
      <c r="E816" s="7" t="s">
        <v>97</v>
      </c>
      <c r="F816" s="9">
        <v>53.6</v>
      </c>
      <c r="G816" s="9">
        <v>54.6</v>
      </c>
      <c r="H816" s="9">
        <v>49.5</v>
      </c>
      <c r="I816" s="9">
        <v>17.2</v>
      </c>
      <c r="J816" s="9">
        <v>1.47</v>
      </c>
      <c r="K816" s="9">
        <v>31.5</v>
      </c>
      <c r="L816" s="7">
        <v>31.8</v>
      </c>
      <c r="M816" s="7">
        <v>38.6</v>
      </c>
      <c r="N816" s="7">
        <v>3.3</v>
      </c>
      <c r="O816" s="7">
        <v>224</v>
      </c>
      <c r="P816" s="7" t="s">
        <v>28</v>
      </c>
      <c r="Q816" s="7" t="str">
        <f t="shared" si="48"/>
        <v>Moderate</v>
      </c>
      <c r="R816" s="7" t="str">
        <f t="shared" si="49"/>
        <v>Hot</v>
      </c>
      <c r="S816" s="7" t="str">
        <f t="shared" si="50"/>
        <v>Normal Humidity</v>
      </c>
      <c r="T816" s="7" t="str">
        <f t="shared" si="51"/>
        <v>Moderate Wind</v>
      </c>
    </row>
    <row r="817" spans="1:20" x14ac:dyDescent="0.25">
      <c r="A817" s="7" t="s">
        <v>877</v>
      </c>
      <c r="B817" s="10">
        <v>45872</v>
      </c>
      <c r="C817" s="11" t="s">
        <v>52</v>
      </c>
      <c r="D817" s="11" t="s">
        <v>31</v>
      </c>
      <c r="E817" s="7" t="s">
        <v>32</v>
      </c>
      <c r="F817" s="9">
        <v>23.5</v>
      </c>
      <c r="G817" s="9">
        <v>74.5</v>
      </c>
      <c r="H817" s="9">
        <v>5.6</v>
      </c>
      <c r="I817" s="9">
        <v>21.1</v>
      </c>
      <c r="J817" s="9">
        <v>0.72</v>
      </c>
      <c r="K817" s="9">
        <v>18.8</v>
      </c>
      <c r="L817" s="7">
        <v>27.5</v>
      </c>
      <c r="M817" s="7">
        <v>47.2</v>
      </c>
      <c r="N817" s="7">
        <v>4.2</v>
      </c>
      <c r="O817" s="7">
        <v>132</v>
      </c>
      <c r="P817" s="7" t="s">
        <v>33</v>
      </c>
      <c r="Q817" s="7" t="str">
        <f t="shared" si="48"/>
        <v>Moderate</v>
      </c>
      <c r="R817" s="7" t="str">
        <f t="shared" si="49"/>
        <v>Normal</v>
      </c>
      <c r="S817" s="7" t="str">
        <f t="shared" si="50"/>
        <v>Normal Humidity</v>
      </c>
      <c r="T817" s="7" t="str">
        <f t="shared" si="51"/>
        <v>Moderate Wind</v>
      </c>
    </row>
    <row r="818" spans="1:20" x14ac:dyDescent="0.25">
      <c r="A818" s="7" t="s">
        <v>878</v>
      </c>
      <c r="B818" s="10">
        <v>46017</v>
      </c>
      <c r="C818" s="11" t="s">
        <v>30</v>
      </c>
      <c r="D818" s="11" t="s">
        <v>31</v>
      </c>
      <c r="E818" s="7" t="s">
        <v>61</v>
      </c>
      <c r="F818" s="9">
        <v>44.9</v>
      </c>
      <c r="G818" s="9">
        <v>74.2</v>
      </c>
      <c r="H818" s="9">
        <v>22.7</v>
      </c>
      <c r="I818" s="9">
        <v>21.2</v>
      </c>
      <c r="J818" s="9">
        <v>0.45</v>
      </c>
      <c r="K818" s="9">
        <v>28.6</v>
      </c>
      <c r="L818" s="7">
        <v>29.5</v>
      </c>
      <c r="M818" s="7">
        <v>48.5</v>
      </c>
      <c r="N818" s="7">
        <v>2.6</v>
      </c>
      <c r="O818" s="7">
        <v>177</v>
      </c>
      <c r="P818" s="7" t="s">
        <v>33</v>
      </c>
      <c r="Q818" s="7" t="str">
        <f t="shared" si="48"/>
        <v>Moderate</v>
      </c>
      <c r="R818" s="7" t="str">
        <f t="shared" si="49"/>
        <v>Normal</v>
      </c>
      <c r="S818" s="7" t="str">
        <f t="shared" si="50"/>
        <v>Normal Humidity</v>
      </c>
      <c r="T818" s="7" t="str">
        <f t="shared" si="51"/>
        <v>Moderate Wind</v>
      </c>
    </row>
    <row r="819" spans="1:20" x14ac:dyDescent="0.25">
      <c r="A819" s="7" t="s">
        <v>879</v>
      </c>
      <c r="B819" s="10">
        <v>45667</v>
      </c>
      <c r="C819" s="11" t="s">
        <v>42</v>
      </c>
      <c r="D819" s="11" t="s">
        <v>23</v>
      </c>
      <c r="E819" s="7" t="s">
        <v>40</v>
      </c>
      <c r="F819" s="9">
        <v>18.600000000000001</v>
      </c>
      <c r="G819" s="9">
        <v>48.6</v>
      </c>
      <c r="H819" s="9">
        <v>42.4</v>
      </c>
      <c r="I819" s="9">
        <v>10.8</v>
      </c>
      <c r="J819" s="9">
        <v>0.27</v>
      </c>
      <c r="K819" s="9">
        <v>54.9</v>
      </c>
      <c r="L819" s="7">
        <v>30.9</v>
      </c>
      <c r="M819" s="7">
        <v>68.8</v>
      </c>
      <c r="N819" s="7">
        <v>4.2</v>
      </c>
      <c r="O819" s="7">
        <v>134</v>
      </c>
      <c r="P819" s="7" t="s">
        <v>33</v>
      </c>
      <c r="Q819" s="7" t="str">
        <f t="shared" si="48"/>
        <v>Good</v>
      </c>
      <c r="R819" s="7" t="str">
        <f t="shared" si="49"/>
        <v>Hot</v>
      </c>
      <c r="S819" s="7" t="str">
        <f t="shared" si="50"/>
        <v>High Humidity</v>
      </c>
      <c r="T819" s="7" t="str">
        <f t="shared" si="51"/>
        <v>Moderate Wind</v>
      </c>
    </row>
    <row r="820" spans="1:20" x14ac:dyDescent="0.25">
      <c r="A820" s="7" t="s">
        <v>880</v>
      </c>
      <c r="B820" s="10">
        <v>45898</v>
      </c>
      <c r="C820" s="11" t="s">
        <v>35</v>
      </c>
      <c r="D820" s="11" t="s">
        <v>36</v>
      </c>
      <c r="E820" s="7" t="s">
        <v>32</v>
      </c>
      <c r="F820" s="9">
        <v>35.1</v>
      </c>
      <c r="G820" s="9">
        <v>173.7</v>
      </c>
      <c r="H820" s="9">
        <v>27.8</v>
      </c>
      <c r="I820" s="9">
        <v>2.8</v>
      </c>
      <c r="J820" s="9">
        <v>2.76</v>
      </c>
      <c r="K820" s="9">
        <v>42.8</v>
      </c>
      <c r="L820" s="7">
        <v>25.3</v>
      </c>
      <c r="M820" s="7">
        <v>75.8</v>
      </c>
      <c r="N820" s="7">
        <v>2.9</v>
      </c>
      <c r="O820" s="7">
        <v>282</v>
      </c>
      <c r="P820" s="7" t="s">
        <v>28</v>
      </c>
      <c r="Q820" s="7" t="str">
        <f t="shared" si="48"/>
        <v>VeryUnhealthy</v>
      </c>
      <c r="R820" s="7" t="str">
        <f t="shared" si="49"/>
        <v>Normal</v>
      </c>
      <c r="S820" s="7" t="str">
        <f t="shared" si="50"/>
        <v>High Humidity</v>
      </c>
      <c r="T820" s="7" t="str">
        <f t="shared" si="51"/>
        <v>Moderate Wind</v>
      </c>
    </row>
    <row r="821" spans="1:20" x14ac:dyDescent="0.25">
      <c r="A821" s="7" t="s">
        <v>881</v>
      </c>
      <c r="B821" s="10">
        <v>45823</v>
      </c>
      <c r="C821" s="11" t="s">
        <v>52</v>
      </c>
      <c r="D821" s="11" t="s">
        <v>31</v>
      </c>
      <c r="E821" s="7" t="s">
        <v>68</v>
      </c>
      <c r="F821" s="9">
        <v>55.5</v>
      </c>
      <c r="G821" s="9">
        <v>66.7</v>
      </c>
      <c r="H821" s="9">
        <v>12</v>
      </c>
      <c r="I821" s="9">
        <v>13.7</v>
      </c>
      <c r="J821" s="9">
        <v>0.95</v>
      </c>
      <c r="K821" s="9">
        <v>54.8</v>
      </c>
      <c r="L821" s="7">
        <v>29.9</v>
      </c>
      <c r="M821" s="7">
        <v>66.599999999999994</v>
      </c>
      <c r="N821" s="7">
        <v>2.8</v>
      </c>
      <c r="O821" s="7">
        <v>200</v>
      </c>
      <c r="P821" s="7" t="s">
        <v>33</v>
      </c>
      <c r="Q821" s="7" t="str">
        <f t="shared" si="48"/>
        <v>Moderate</v>
      </c>
      <c r="R821" s="7" t="str">
        <f t="shared" si="49"/>
        <v>Normal</v>
      </c>
      <c r="S821" s="7" t="str">
        <f t="shared" si="50"/>
        <v>High Humidity</v>
      </c>
      <c r="T821" s="7" t="str">
        <f t="shared" si="51"/>
        <v>Moderate Wind</v>
      </c>
    </row>
    <row r="822" spans="1:20" x14ac:dyDescent="0.25">
      <c r="A822" s="7" t="s">
        <v>882</v>
      </c>
      <c r="B822" s="10">
        <v>45864</v>
      </c>
      <c r="C822" s="11" t="s">
        <v>17</v>
      </c>
      <c r="D822" s="11" t="s">
        <v>18</v>
      </c>
      <c r="E822" s="7" t="s">
        <v>40</v>
      </c>
      <c r="F822" s="9">
        <v>19.899999999999999</v>
      </c>
      <c r="G822" s="9">
        <v>44.7</v>
      </c>
      <c r="H822" s="9">
        <v>25.9</v>
      </c>
      <c r="I822" s="9">
        <v>10.8</v>
      </c>
      <c r="J822" s="9">
        <v>1.05</v>
      </c>
      <c r="K822" s="9">
        <v>35.299999999999997</v>
      </c>
      <c r="L822" s="7">
        <v>27</v>
      </c>
      <c r="M822" s="7">
        <v>52</v>
      </c>
      <c r="N822" s="7">
        <v>2</v>
      </c>
      <c r="O822" s="7">
        <v>131</v>
      </c>
      <c r="P822" s="7" t="s">
        <v>33</v>
      </c>
      <c r="Q822" s="7" t="str">
        <f t="shared" si="48"/>
        <v>Good</v>
      </c>
      <c r="R822" s="7" t="str">
        <f t="shared" si="49"/>
        <v>Normal</v>
      </c>
      <c r="S822" s="7" t="str">
        <f t="shared" si="50"/>
        <v>Normal Humidity</v>
      </c>
      <c r="T822" s="7" t="str">
        <f t="shared" si="51"/>
        <v>Moderate Wind</v>
      </c>
    </row>
    <row r="823" spans="1:20" x14ac:dyDescent="0.25">
      <c r="A823" s="7" t="s">
        <v>883</v>
      </c>
      <c r="B823" s="10">
        <v>45769</v>
      </c>
      <c r="C823" s="11" t="s">
        <v>93</v>
      </c>
      <c r="D823" s="11" t="s">
        <v>36</v>
      </c>
      <c r="E823" s="7" t="s">
        <v>43</v>
      </c>
      <c r="F823" s="9">
        <v>56.7</v>
      </c>
      <c r="G823" s="9">
        <v>127.3</v>
      </c>
      <c r="H823" s="9">
        <v>46.8</v>
      </c>
      <c r="I823" s="9">
        <v>2.8</v>
      </c>
      <c r="J823" s="9">
        <v>1.24</v>
      </c>
      <c r="K823" s="9">
        <v>7.2</v>
      </c>
      <c r="L823" s="7">
        <v>27.1</v>
      </c>
      <c r="M823" s="7">
        <v>65.5</v>
      </c>
      <c r="N823" s="7">
        <v>2.5</v>
      </c>
      <c r="O823" s="7">
        <v>247</v>
      </c>
      <c r="P823" s="7" t="s">
        <v>28</v>
      </c>
      <c r="Q823" s="7" t="str">
        <f t="shared" si="48"/>
        <v>Unhealthy</v>
      </c>
      <c r="R823" s="7" t="str">
        <f t="shared" si="49"/>
        <v>Normal</v>
      </c>
      <c r="S823" s="7" t="str">
        <f t="shared" si="50"/>
        <v>High Humidity</v>
      </c>
      <c r="T823" s="7" t="str">
        <f t="shared" si="51"/>
        <v>Moderate Wind</v>
      </c>
    </row>
    <row r="824" spans="1:20" x14ac:dyDescent="0.25">
      <c r="A824" s="7" t="s">
        <v>884</v>
      </c>
      <c r="B824" s="10">
        <v>45906</v>
      </c>
      <c r="C824" s="11" t="s">
        <v>99</v>
      </c>
      <c r="D824" s="11" t="s">
        <v>36</v>
      </c>
      <c r="E824" s="7" t="s">
        <v>74</v>
      </c>
      <c r="F824" s="9">
        <v>11.2</v>
      </c>
      <c r="G824" s="9">
        <v>143.30000000000001</v>
      </c>
      <c r="H824" s="9">
        <v>31.3</v>
      </c>
      <c r="I824" s="9">
        <v>16.8</v>
      </c>
      <c r="J824" s="9">
        <v>0.44</v>
      </c>
      <c r="K824" s="9">
        <v>23.2</v>
      </c>
      <c r="L824" s="7">
        <v>37.5</v>
      </c>
      <c r="M824" s="7">
        <v>77.7</v>
      </c>
      <c r="N824" s="7">
        <v>1.3</v>
      </c>
      <c r="O824" s="7">
        <v>169</v>
      </c>
      <c r="P824" s="7" t="s">
        <v>33</v>
      </c>
      <c r="Q824" s="7" t="str">
        <f t="shared" si="48"/>
        <v>Unhealthy</v>
      </c>
      <c r="R824" s="7" t="str">
        <f t="shared" si="49"/>
        <v>Hot</v>
      </c>
      <c r="S824" s="7" t="str">
        <f t="shared" si="50"/>
        <v>High Humidity</v>
      </c>
      <c r="T824" s="7" t="str">
        <f t="shared" si="51"/>
        <v>Low Wind</v>
      </c>
    </row>
    <row r="825" spans="1:20" x14ac:dyDescent="0.25">
      <c r="A825" s="7" t="s">
        <v>885</v>
      </c>
      <c r="B825" s="10">
        <v>45723</v>
      </c>
      <c r="C825" s="11" t="s">
        <v>17</v>
      </c>
      <c r="D825" s="11" t="s">
        <v>18</v>
      </c>
      <c r="E825" s="7" t="s">
        <v>19</v>
      </c>
      <c r="F825" s="9">
        <v>53.5</v>
      </c>
      <c r="G825" s="9">
        <v>92.8</v>
      </c>
      <c r="H825" s="9">
        <v>10.1</v>
      </c>
      <c r="I825" s="9">
        <v>7.8</v>
      </c>
      <c r="J825" s="9">
        <v>0.56000000000000005</v>
      </c>
      <c r="K825" s="9">
        <v>24</v>
      </c>
      <c r="L825" s="7">
        <v>28.1</v>
      </c>
      <c r="M825" s="7">
        <v>68.400000000000006</v>
      </c>
      <c r="N825" s="7">
        <v>2.2000000000000002</v>
      </c>
      <c r="O825" s="7">
        <v>184</v>
      </c>
      <c r="P825" s="7" t="s">
        <v>33</v>
      </c>
      <c r="Q825" s="7" t="str">
        <f t="shared" si="48"/>
        <v>Moderate</v>
      </c>
      <c r="R825" s="7" t="str">
        <f t="shared" si="49"/>
        <v>Normal</v>
      </c>
      <c r="S825" s="7" t="str">
        <f t="shared" si="50"/>
        <v>High Humidity</v>
      </c>
      <c r="T825" s="7" t="str">
        <f t="shared" si="51"/>
        <v>Moderate Wind</v>
      </c>
    </row>
    <row r="826" spans="1:20" x14ac:dyDescent="0.25">
      <c r="A826" s="7" t="s">
        <v>886</v>
      </c>
      <c r="B826" s="10">
        <v>45709</v>
      </c>
      <c r="C826" s="11" t="s">
        <v>42</v>
      </c>
      <c r="D826" s="11" t="s">
        <v>23</v>
      </c>
      <c r="E826" s="7" t="s">
        <v>55</v>
      </c>
      <c r="F826" s="9">
        <v>10.9</v>
      </c>
      <c r="G826" s="9">
        <v>96.6</v>
      </c>
      <c r="H826" s="9">
        <v>7.7</v>
      </c>
      <c r="I826" s="9">
        <v>45.5</v>
      </c>
      <c r="J826" s="9">
        <v>0.82</v>
      </c>
      <c r="K826" s="9">
        <v>39.299999999999997</v>
      </c>
      <c r="L826" s="7">
        <v>20.3</v>
      </c>
      <c r="M826" s="7">
        <v>41.3</v>
      </c>
      <c r="N826" s="7">
        <v>1.8</v>
      </c>
      <c r="O826" s="7">
        <v>156</v>
      </c>
      <c r="P826" s="7" t="s">
        <v>33</v>
      </c>
      <c r="Q826" s="7" t="str">
        <f t="shared" si="48"/>
        <v>Moderate</v>
      </c>
      <c r="R826" s="7" t="str">
        <f t="shared" si="49"/>
        <v>Normal</v>
      </c>
      <c r="S826" s="7" t="str">
        <f t="shared" si="50"/>
        <v>Normal Humidity</v>
      </c>
      <c r="T826" s="7" t="str">
        <f t="shared" si="51"/>
        <v>Low Wind</v>
      </c>
    </row>
    <row r="827" spans="1:20" x14ac:dyDescent="0.25">
      <c r="A827" s="7" t="s">
        <v>887</v>
      </c>
      <c r="B827" s="10">
        <v>45674</v>
      </c>
      <c r="C827" s="11" t="s">
        <v>54</v>
      </c>
      <c r="D827" s="11" t="s">
        <v>18</v>
      </c>
      <c r="E827" s="7" t="s">
        <v>27</v>
      </c>
      <c r="F827" s="9">
        <v>84.8</v>
      </c>
      <c r="G827" s="9">
        <v>88.9</v>
      </c>
      <c r="H827" s="9">
        <v>27.8</v>
      </c>
      <c r="I827" s="9">
        <v>10.4</v>
      </c>
      <c r="J827" s="9">
        <v>1.51</v>
      </c>
      <c r="K827" s="9">
        <v>32.700000000000003</v>
      </c>
      <c r="L827" s="7">
        <v>21.8</v>
      </c>
      <c r="M827" s="7">
        <v>52.3</v>
      </c>
      <c r="N827" s="7">
        <v>2.6</v>
      </c>
      <c r="O827" s="7">
        <v>275</v>
      </c>
      <c r="P827" s="7" t="s">
        <v>28</v>
      </c>
      <c r="Q827" s="7" t="str">
        <f t="shared" si="48"/>
        <v>Moderate</v>
      </c>
      <c r="R827" s="7" t="str">
        <f t="shared" si="49"/>
        <v>Normal</v>
      </c>
      <c r="S827" s="7" t="str">
        <f t="shared" si="50"/>
        <v>Normal Humidity</v>
      </c>
      <c r="T827" s="7" t="str">
        <f t="shared" si="51"/>
        <v>Moderate Wind</v>
      </c>
    </row>
    <row r="828" spans="1:20" x14ac:dyDescent="0.25">
      <c r="A828" s="7" t="s">
        <v>888</v>
      </c>
      <c r="B828" s="10">
        <v>45692</v>
      </c>
      <c r="C828" s="11" t="s">
        <v>99</v>
      </c>
      <c r="D828" s="11" t="s">
        <v>36</v>
      </c>
      <c r="E828" s="7" t="s">
        <v>55</v>
      </c>
      <c r="F828" s="9">
        <v>48.6</v>
      </c>
      <c r="G828" s="9">
        <v>74.8</v>
      </c>
      <c r="H828" s="9">
        <v>42</v>
      </c>
      <c r="I828" s="9">
        <v>20.8</v>
      </c>
      <c r="J828" s="9">
        <v>0.92</v>
      </c>
      <c r="K828" s="9">
        <v>70.400000000000006</v>
      </c>
      <c r="L828" s="7">
        <v>24.1</v>
      </c>
      <c r="M828" s="7">
        <v>54.4</v>
      </c>
      <c r="N828" s="7">
        <v>2.9</v>
      </c>
      <c r="O828" s="7">
        <v>229</v>
      </c>
      <c r="P828" s="7" t="s">
        <v>28</v>
      </c>
      <c r="Q828" s="7" t="str">
        <f t="shared" si="48"/>
        <v>Moderate</v>
      </c>
      <c r="R828" s="7" t="str">
        <f t="shared" si="49"/>
        <v>Normal</v>
      </c>
      <c r="S828" s="7" t="str">
        <f t="shared" si="50"/>
        <v>Normal Humidity</v>
      </c>
      <c r="T828" s="7" t="str">
        <f t="shared" si="51"/>
        <v>Moderate Wind</v>
      </c>
    </row>
    <row r="829" spans="1:20" x14ac:dyDescent="0.25">
      <c r="A829" s="7" t="s">
        <v>889</v>
      </c>
      <c r="B829" s="10">
        <v>45664</v>
      </c>
      <c r="C829" s="11" t="s">
        <v>52</v>
      </c>
      <c r="D829" s="11" t="s">
        <v>31</v>
      </c>
      <c r="E829" s="7" t="s">
        <v>91</v>
      </c>
      <c r="F829" s="9">
        <v>33.799999999999997</v>
      </c>
      <c r="G829" s="9">
        <v>71</v>
      </c>
      <c r="H829" s="9">
        <v>30.5</v>
      </c>
      <c r="I829" s="9">
        <v>9</v>
      </c>
      <c r="J829" s="9">
        <v>1.65</v>
      </c>
      <c r="K829" s="9">
        <v>20.100000000000001</v>
      </c>
      <c r="L829" s="7">
        <v>28</v>
      </c>
      <c r="M829" s="7">
        <v>71.599999999999994</v>
      </c>
      <c r="N829" s="7">
        <v>2.8</v>
      </c>
      <c r="O829" s="7">
        <v>181</v>
      </c>
      <c r="P829" s="7" t="s">
        <v>33</v>
      </c>
      <c r="Q829" s="7" t="str">
        <f t="shared" si="48"/>
        <v>Moderate</v>
      </c>
      <c r="R829" s="7" t="str">
        <f t="shared" si="49"/>
        <v>Normal</v>
      </c>
      <c r="S829" s="7" t="str">
        <f t="shared" si="50"/>
        <v>High Humidity</v>
      </c>
      <c r="T829" s="7" t="str">
        <f t="shared" si="51"/>
        <v>Moderate Wind</v>
      </c>
    </row>
    <row r="830" spans="1:20" x14ac:dyDescent="0.25">
      <c r="A830" s="7" t="s">
        <v>890</v>
      </c>
      <c r="B830" s="10">
        <v>45784</v>
      </c>
      <c r="C830" s="11" t="s">
        <v>38</v>
      </c>
      <c r="D830" s="11" t="s">
        <v>39</v>
      </c>
      <c r="E830" s="7" t="s">
        <v>91</v>
      </c>
      <c r="F830" s="9">
        <v>74.099999999999994</v>
      </c>
      <c r="G830" s="9">
        <v>114.4</v>
      </c>
      <c r="H830" s="9">
        <v>50.2</v>
      </c>
      <c r="I830" s="9">
        <v>2.9</v>
      </c>
      <c r="J830" s="9">
        <v>0.5</v>
      </c>
      <c r="K830" s="9">
        <v>32.799999999999997</v>
      </c>
      <c r="L830" s="7">
        <v>25.1</v>
      </c>
      <c r="M830" s="7">
        <v>57.2</v>
      </c>
      <c r="N830" s="7">
        <v>2.6</v>
      </c>
      <c r="O830" s="7">
        <v>262</v>
      </c>
      <c r="P830" s="7" t="s">
        <v>28</v>
      </c>
      <c r="Q830" s="7" t="str">
        <f t="shared" si="48"/>
        <v>Unhealthy</v>
      </c>
      <c r="R830" s="7" t="str">
        <f t="shared" si="49"/>
        <v>Normal</v>
      </c>
      <c r="S830" s="7" t="str">
        <f t="shared" si="50"/>
        <v>Normal Humidity</v>
      </c>
      <c r="T830" s="7" t="str">
        <f t="shared" si="51"/>
        <v>Moderate Wind</v>
      </c>
    </row>
    <row r="831" spans="1:20" x14ac:dyDescent="0.25">
      <c r="A831" s="7" t="s">
        <v>891</v>
      </c>
      <c r="B831" s="10">
        <v>45720</v>
      </c>
      <c r="C831" s="11" t="s">
        <v>99</v>
      </c>
      <c r="D831" s="11" t="s">
        <v>36</v>
      </c>
      <c r="E831" s="7" t="s">
        <v>58</v>
      </c>
      <c r="F831" s="9">
        <v>65.3</v>
      </c>
      <c r="G831" s="9">
        <v>80.5</v>
      </c>
      <c r="H831" s="9">
        <v>38.299999999999997</v>
      </c>
      <c r="I831" s="9">
        <v>9.1999999999999993</v>
      </c>
      <c r="J831" s="9">
        <v>0.83</v>
      </c>
      <c r="K831" s="9">
        <v>36.799999999999997</v>
      </c>
      <c r="L831" s="7">
        <v>32.9</v>
      </c>
      <c r="M831" s="7">
        <v>48.9</v>
      </c>
      <c r="N831" s="7">
        <v>2</v>
      </c>
      <c r="O831" s="7">
        <v>231</v>
      </c>
      <c r="P831" s="7" t="s">
        <v>28</v>
      </c>
      <c r="Q831" s="7" t="str">
        <f t="shared" si="48"/>
        <v>Moderate</v>
      </c>
      <c r="R831" s="7" t="str">
        <f t="shared" si="49"/>
        <v>Hot</v>
      </c>
      <c r="S831" s="7" t="str">
        <f t="shared" si="50"/>
        <v>Normal Humidity</v>
      </c>
      <c r="T831" s="7" t="str">
        <f t="shared" si="51"/>
        <v>Moderate Wind</v>
      </c>
    </row>
    <row r="832" spans="1:20" x14ac:dyDescent="0.25">
      <c r="A832" s="7" t="s">
        <v>892</v>
      </c>
      <c r="B832" s="10">
        <v>45906</v>
      </c>
      <c r="C832" s="11" t="s">
        <v>99</v>
      </c>
      <c r="D832" s="11" t="s">
        <v>36</v>
      </c>
      <c r="E832" s="7" t="s">
        <v>27</v>
      </c>
      <c r="F832" s="9">
        <v>57.6</v>
      </c>
      <c r="G832" s="9">
        <v>74.099999999999994</v>
      </c>
      <c r="H832" s="9">
        <v>63.4</v>
      </c>
      <c r="I832" s="9">
        <v>6.5</v>
      </c>
      <c r="J832" s="9">
        <v>1.03</v>
      </c>
      <c r="K832" s="9">
        <v>56</v>
      </c>
      <c r="L832" s="7">
        <v>36.700000000000003</v>
      </c>
      <c r="M832" s="7">
        <v>39.1</v>
      </c>
      <c r="N832" s="7">
        <v>0.1</v>
      </c>
      <c r="O832" s="7">
        <v>247</v>
      </c>
      <c r="P832" s="7" t="s">
        <v>28</v>
      </c>
      <c r="Q832" s="7" t="str">
        <f t="shared" si="48"/>
        <v>Moderate</v>
      </c>
      <c r="R832" s="7" t="str">
        <f t="shared" si="49"/>
        <v>Hot</v>
      </c>
      <c r="S832" s="7" t="str">
        <f t="shared" si="50"/>
        <v>Normal Humidity</v>
      </c>
      <c r="T832" s="7" t="str">
        <f t="shared" si="51"/>
        <v>Low Wind</v>
      </c>
    </row>
    <row r="833" spans="1:20" x14ac:dyDescent="0.25">
      <c r="A833" s="7" t="s">
        <v>893</v>
      </c>
      <c r="B833" s="10">
        <v>46000</v>
      </c>
      <c r="C833" s="11" t="s">
        <v>26</v>
      </c>
      <c r="D833" s="11" t="s">
        <v>23</v>
      </c>
      <c r="E833" s="7" t="s">
        <v>91</v>
      </c>
      <c r="F833" s="9">
        <v>73.900000000000006</v>
      </c>
      <c r="G833" s="9">
        <v>105.7</v>
      </c>
      <c r="H833" s="9">
        <v>33.299999999999997</v>
      </c>
      <c r="I833" s="9">
        <v>16.899999999999999</v>
      </c>
      <c r="J833" s="9">
        <v>1.55</v>
      </c>
      <c r="K833" s="9">
        <v>37.200000000000003</v>
      </c>
      <c r="L833" s="7">
        <v>37.299999999999997</v>
      </c>
      <c r="M833" s="7">
        <v>81.400000000000006</v>
      </c>
      <c r="N833" s="7">
        <v>3.4</v>
      </c>
      <c r="O833" s="7">
        <v>281</v>
      </c>
      <c r="P833" s="7" t="s">
        <v>28</v>
      </c>
      <c r="Q833" s="7" t="str">
        <f t="shared" si="48"/>
        <v>Unhealthy</v>
      </c>
      <c r="R833" s="7" t="str">
        <f t="shared" si="49"/>
        <v>Hot</v>
      </c>
      <c r="S833" s="7" t="str">
        <f t="shared" si="50"/>
        <v>High Humidity</v>
      </c>
      <c r="T833" s="7" t="str">
        <f t="shared" si="51"/>
        <v>Moderate Wind</v>
      </c>
    </row>
    <row r="834" spans="1:20" x14ac:dyDescent="0.25">
      <c r="A834" s="7" t="s">
        <v>894</v>
      </c>
      <c r="B834" s="10">
        <v>46016</v>
      </c>
      <c r="C834" s="11" t="s">
        <v>54</v>
      </c>
      <c r="D834" s="11" t="s">
        <v>18</v>
      </c>
      <c r="E834" s="7" t="s">
        <v>32</v>
      </c>
      <c r="F834" s="9">
        <v>18.100000000000001</v>
      </c>
      <c r="G834" s="9">
        <v>50.2</v>
      </c>
      <c r="H834" s="9">
        <v>38.5</v>
      </c>
      <c r="I834" s="9">
        <v>16.7</v>
      </c>
      <c r="J834" s="9">
        <v>1.1599999999999999</v>
      </c>
      <c r="K834" s="9">
        <v>11.5</v>
      </c>
      <c r="L834" s="7">
        <v>22.2</v>
      </c>
      <c r="M834" s="7">
        <v>77.2</v>
      </c>
      <c r="N834" s="7">
        <v>0.8</v>
      </c>
      <c r="O834" s="7">
        <v>138</v>
      </c>
      <c r="P834" s="7" t="s">
        <v>33</v>
      </c>
      <c r="Q834" s="7" t="str">
        <f t="shared" si="48"/>
        <v>Moderate</v>
      </c>
      <c r="R834" s="7" t="str">
        <f t="shared" si="49"/>
        <v>Normal</v>
      </c>
      <c r="S834" s="7" t="str">
        <f t="shared" si="50"/>
        <v>High Humidity</v>
      </c>
      <c r="T834" s="7" t="str">
        <f t="shared" si="51"/>
        <v>Low Wind</v>
      </c>
    </row>
    <row r="835" spans="1:20" x14ac:dyDescent="0.25">
      <c r="A835" s="7" t="s">
        <v>895</v>
      </c>
      <c r="B835" s="10">
        <v>45777</v>
      </c>
      <c r="C835" s="11" t="s">
        <v>50</v>
      </c>
      <c r="D835" s="11" t="s">
        <v>31</v>
      </c>
      <c r="E835" s="7" t="s">
        <v>24</v>
      </c>
      <c r="F835" s="9">
        <v>71.900000000000006</v>
      </c>
      <c r="G835" s="9">
        <v>43.5</v>
      </c>
      <c r="H835" s="9">
        <v>12</v>
      </c>
      <c r="I835" s="9">
        <v>15.9</v>
      </c>
      <c r="J835" s="9">
        <v>0.46</v>
      </c>
      <c r="K835" s="9">
        <v>31.8</v>
      </c>
      <c r="L835" s="7">
        <v>28.3</v>
      </c>
      <c r="M835" s="7">
        <v>62</v>
      </c>
      <c r="N835" s="7">
        <v>2.9</v>
      </c>
      <c r="O835" s="7">
        <v>190</v>
      </c>
      <c r="P835" s="7" t="s">
        <v>33</v>
      </c>
      <c r="Q835" s="7" t="str">
        <f t="shared" ref="Q835:Q898" si="52">IF(G835&lt;50,"Good",IF(G835&lt;=100,"Moderate",IF(G835&lt;=150,"Unhealthy","VeryUnhealthy")))</f>
        <v>Good</v>
      </c>
      <c r="R835" s="7" t="str">
        <f t="shared" ref="R835:R898" si="53">IF(L835&lt;20,"Cool",IF(L835&lt;=30,"Normal","Hot"))</f>
        <v>Normal</v>
      </c>
      <c r="S835" s="7" t="str">
        <f t="shared" ref="S835:S898" si="54">IF(M835&lt;30,"Low Humidity",IF(M835&lt;=60,"Normal Humidity","High Humidity"))</f>
        <v>High Humidity</v>
      </c>
      <c r="T835" s="7" t="str">
        <f t="shared" ref="T835:T898" si="55">IF(N835&lt;2,"Low Wind",IF(N835&lt;=5,"Moderate Wind","High Wind"))</f>
        <v>Moderate Wind</v>
      </c>
    </row>
    <row r="836" spans="1:20" x14ac:dyDescent="0.25">
      <c r="A836" s="7" t="s">
        <v>896</v>
      </c>
      <c r="B836" s="10">
        <v>45980</v>
      </c>
      <c r="C836" s="11" t="s">
        <v>54</v>
      </c>
      <c r="D836" s="11" t="s">
        <v>18</v>
      </c>
      <c r="E836" s="7" t="s">
        <v>43</v>
      </c>
      <c r="F836" s="9">
        <v>1.2</v>
      </c>
      <c r="G836" s="9">
        <v>19.7</v>
      </c>
      <c r="H836" s="9">
        <v>10</v>
      </c>
      <c r="I836" s="9">
        <v>9.4</v>
      </c>
      <c r="J836" s="9">
        <v>1.92</v>
      </c>
      <c r="K836" s="9">
        <v>35.700000000000003</v>
      </c>
      <c r="L836" s="7">
        <v>34.4</v>
      </c>
      <c r="M836" s="7">
        <v>82.3</v>
      </c>
      <c r="N836" s="7">
        <v>2.5</v>
      </c>
      <c r="O836" s="7">
        <v>93</v>
      </c>
      <c r="P836" s="7" t="s">
        <v>71</v>
      </c>
      <c r="Q836" s="7" t="str">
        <f t="shared" si="52"/>
        <v>Good</v>
      </c>
      <c r="R836" s="7" t="str">
        <f t="shared" si="53"/>
        <v>Hot</v>
      </c>
      <c r="S836" s="7" t="str">
        <f t="shared" si="54"/>
        <v>High Humidity</v>
      </c>
      <c r="T836" s="7" t="str">
        <f t="shared" si="55"/>
        <v>Moderate Wind</v>
      </c>
    </row>
    <row r="837" spans="1:20" x14ac:dyDescent="0.25">
      <c r="A837" s="7" t="s">
        <v>897</v>
      </c>
      <c r="B837" s="10">
        <v>46000</v>
      </c>
      <c r="C837" s="11" t="s">
        <v>77</v>
      </c>
      <c r="D837" s="11" t="s">
        <v>39</v>
      </c>
      <c r="E837" s="7" t="s">
        <v>19</v>
      </c>
      <c r="F837" s="9">
        <v>83.8</v>
      </c>
      <c r="G837" s="9">
        <v>76.2</v>
      </c>
      <c r="H837" s="9">
        <v>35.700000000000003</v>
      </c>
      <c r="I837" s="9">
        <v>18.899999999999999</v>
      </c>
      <c r="J837" s="9">
        <v>0.44</v>
      </c>
      <c r="K837" s="9">
        <v>22.4</v>
      </c>
      <c r="L837" s="7">
        <v>31.7</v>
      </c>
      <c r="M837" s="7">
        <v>20</v>
      </c>
      <c r="N837" s="7">
        <v>2.6</v>
      </c>
      <c r="O837" s="7">
        <v>246</v>
      </c>
      <c r="P837" s="7" t="s">
        <v>28</v>
      </c>
      <c r="Q837" s="7" t="str">
        <f t="shared" si="52"/>
        <v>Moderate</v>
      </c>
      <c r="R837" s="7" t="str">
        <f t="shared" si="53"/>
        <v>Hot</v>
      </c>
      <c r="S837" s="7" t="str">
        <f t="shared" si="54"/>
        <v>Low Humidity</v>
      </c>
      <c r="T837" s="7" t="str">
        <f t="shared" si="55"/>
        <v>Moderate Wind</v>
      </c>
    </row>
    <row r="838" spans="1:20" x14ac:dyDescent="0.25">
      <c r="A838" s="7" t="s">
        <v>898</v>
      </c>
      <c r="B838" s="10">
        <v>45873</v>
      </c>
      <c r="C838" s="11" t="s">
        <v>67</v>
      </c>
      <c r="D838" s="11" t="s">
        <v>18</v>
      </c>
      <c r="E838" s="7" t="s">
        <v>45</v>
      </c>
      <c r="F838" s="9">
        <v>50.6</v>
      </c>
      <c r="G838" s="9">
        <v>102.7</v>
      </c>
      <c r="H838" s="9">
        <v>12.2</v>
      </c>
      <c r="I838" s="9">
        <v>4.5</v>
      </c>
      <c r="J838" s="9">
        <v>0.54</v>
      </c>
      <c r="K838" s="9">
        <v>4.9000000000000004</v>
      </c>
      <c r="L838" s="7">
        <v>28.9</v>
      </c>
      <c r="M838" s="7">
        <v>76</v>
      </c>
      <c r="N838" s="7">
        <v>2.4</v>
      </c>
      <c r="O838" s="7">
        <v>176</v>
      </c>
      <c r="P838" s="7" t="s">
        <v>33</v>
      </c>
      <c r="Q838" s="7" t="str">
        <f t="shared" si="52"/>
        <v>Unhealthy</v>
      </c>
      <c r="R838" s="7" t="str">
        <f t="shared" si="53"/>
        <v>Normal</v>
      </c>
      <c r="S838" s="7" t="str">
        <f t="shared" si="54"/>
        <v>High Humidity</v>
      </c>
      <c r="T838" s="7" t="str">
        <f t="shared" si="55"/>
        <v>Moderate Wind</v>
      </c>
    </row>
    <row r="839" spans="1:20" x14ac:dyDescent="0.25">
      <c r="A839" s="7" t="s">
        <v>899</v>
      </c>
      <c r="B839" s="10">
        <v>45693</v>
      </c>
      <c r="C839" s="11" t="s">
        <v>42</v>
      </c>
      <c r="D839" s="11" t="s">
        <v>23</v>
      </c>
      <c r="E839" s="7" t="s">
        <v>74</v>
      </c>
      <c r="F839" s="9">
        <v>83</v>
      </c>
      <c r="G839" s="9">
        <v>113.3</v>
      </c>
      <c r="H839" s="9">
        <v>133.1</v>
      </c>
      <c r="I839" s="9">
        <v>11.3</v>
      </c>
      <c r="J839" s="9">
        <v>0.55000000000000004</v>
      </c>
      <c r="K839" s="9">
        <v>9</v>
      </c>
      <c r="L839" s="7">
        <v>13.6</v>
      </c>
      <c r="M839" s="7">
        <v>65.900000000000006</v>
      </c>
      <c r="N839" s="7">
        <v>2.9</v>
      </c>
      <c r="O839" s="7">
        <v>339</v>
      </c>
      <c r="P839" s="7" t="s">
        <v>20</v>
      </c>
      <c r="Q839" s="7" t="str">
        <f t="shared" si="52"/>
        <v>Unhealthy</v>
      </c>
      <c r="R839" s="7" t="str">
        <f t="shared" si="53"/>
        <v>Cool</v>
      </c>
      <c r="S839" s="7" t="str">
        <f t="shared" si="54"/>
        <v>High Humidity</v>
      </c>
      <c r="T839" s="7" t="str">
        <f t="shared" si="55"/>
        <v>Moderate Wind</v>
      </c>
    </row>
    <row r="840" spans="1:20" x14ac:dyDescent="0.25">
      <c r="A840" s="7" t="s">
        <v>900</v>
      </c>
      <c r="B840" s="10">
        <v>45679</v>
      </c>
      <c r="C840" s="11" t="s">
        <v>35</v>
      </c>
      <c r="D840" s="11" t="s">
        <v>36</v>
      </c>
      <c r="E840" s="7" t="s">
        <v>68</v>
      </c>
      <c r="F840" s="9">
        <v>159.80000000000001</v>
      </c>
      <c r="G840" s="9">
        <v>92.7</v>
      </c>
      <c r="H840" s="9">
        <v>39.200000000000003</v>
      </c>
      <c r="I840" s="9">
        <v>9.8000000000000007</v>
      </c>
      <c r="J840" s="9">
        <v>0.19</v>
      </c>
      <c r="K840" s="9">
        <v>33.6</v>
      </c>
      <c r="L840" s="7">
        <v>26.8</v>
      </c>
      <c r="M840" s="7">
        <v>45.1</v>
      </c>
      <c r="N840" s="7">
        <v>3.1</v>
      </c>
      <c r="O840" s="7">
        <v>374</v>
      </c>
      <c r="P840" s="7" t="s">
        <v>20</v>
      </c>
      <c r="Q840" s="7" t="str">
        <f t="shared" si="52"/>
        <v>Moderate</v>
      </c>
      <c r="R840" s="7" t="str">
        <f t="shared" si="53"/>
        <v>Normal</v>
      </c>
      <c r="S840" s="7" t="str">
        <f t="shared" si="54"/>
        <v>Normal Humidity</v>
      </c>
      <c r="T840" s="7" t="str">
        <f t="shared" si="55"/>
        <v>Moderate Wind</v>
      </c>
    </row>
    <row r="841" spans="1:20" x14ac:dyDescent="0.25">
      <c r="A841" s="7" t="s">
        <v>901</v>
      </c>
      <c r="B841" s="10">
        <v>45878</v>
      </c>
      <c r="C841" s="11" t="s">
        <v>77</v>
      </c>
      <c r="D841" s="11" t="s">
        <v>39</v>
      </c>
      <c r="E841" s="7" t="s">
        <v>40</v>
      </c>
      <c r="F841" s="9">
        <v>51</v>
      </c>
      <c r="G841" s="9">
        <v>118.9</v>
      </c>
      <c r="H841" s="9">
        <v>55.4</v>
      </c>
      <c r="I841" s="9">
        <v>21.5</v>
      </c>
      <c r="J841" s="9">
        <v>0.44</v>
      </c>
      <c r="K841" s="9">
        <v>18.100000000000001</v>
      </c>
      <c r="L841" s="7">
        <v>39.9</v>
      </c>
      <c r="M841" s="7">
        <v>65.599999999999994</v>
      </c>
      <c r="N841" s="7">
        <v>3.8</v>
      </c>
      <c r="O841" s="7">
        <v>237</v>
      </c>
      <c r="P841" s="7" t="s">
        <v>28</v>
      </c>
      <c r="Q841" s="7" t="str">
        <f t="shared" si="52"/>
        <v>Unhealthy</v>
      </c>
      <c r="R841" s="7" t="str">
        <f t="shared" si="53"/>
        <v>Hot</v>
      </c>
      <c r="S841" s="7" t="str">
        <f t="shared" si="54"/>
        <v>High Humidity</v>
      </c>
      <c r="T841" s="7" t="str">
        <f t="shared" si="55"/>
        <v>Moderate Wind</v>
      </c>
    </row>
    <row r="842" spans="1:20" x14ac:dyDescent="0.25">
      <c r="A842" s="7" t="s">
        <v>902</v>
      </c>
      <c r="B842" s="10">
        <v>45880</v>
      </c>
      <c r="C842" s="11" t="s">
        <v>38</v>
      </c>
      <c r="D842" s="11" t="s">
        <v>39</v>
      </c>
      <c r="E842" s="7" t="s">
        <v>61</v>
      </c>
      <c r="F842" s="9">
        <v>21.8</v>
      </c>
      <c r="G842" s="9">
        <v>59.3</v>
      </c>
      <c r="H842" s="9">
        <v>29.6</v>
      </c>
      <c r="I842" s="9">
        <v>21.8</v>
      </c>
      <c r="J842" s="9">
        <v>0.76</v>
      </c>
      <c r="K842" s="9">
        <v>13.1</v>
      </c>
      <c r="L842" s="7">
        <v>31.7</v>
      </c>
      <c r="M842" s="7">
        <v>60</v>
      </c>
      <c r="N842" s="7">
        <v>1.5</v>
      </c>
      <c r="O842" s="7">
        <v>137</v>
      </c>
      <c r="P842" s="7" t="s">
        <v>33</v>
      </c>
      <c r="Q842" s="7" t="str">
        <f t="shared" si="52"/>
        <v>Moderate</v>
      </c>
      <c r="R842" s="7" t="str">
        <f t="shared" si="53"/>
        <v>Hot</v>
      </c>
      <c r="S842" s="7" t="str">
        <f t="shared" si="54"/>
        <v>Normal Humidity</v>
      </c>
      <c r="T842" s="7" t="str">
        <f t="shared" si="55"/>
        <v>Low Wind</v>
      </c>
    </row>
    <row r="843" spans="1:20" x14ac:dyDescent="0.25">
      <c r="A843" s="7" t="s">
        <v>903</v>
      </c>
      <c r="B843" s="10">
        <v>45851</v>
      </c>
      <c r="C843" s="11" t="s">
        <v>26</v>
      </c>
      <c r="D843" s="11" t="s">
        <v>23</v>
      </c>
      <c r="E843" s="7" t="s">
        <v>45</v>
      </c>
      <c r="F843" s="9">
        <v>69</v>
      </c>
      <c r="G843" s="9">
        <v>109.2</v>
      </c>
      <c r="H843" s="9">
        <v>11.6</v>
      </c>
      <c r="I843" s="9">
        <v>8.4</v>
      </c>
      <c r="J843" s="9">
        <v>1.1299999999999999</v>
      </c>
      <c r="K843" s="9">
        <v>48.9</v>
      </c>
      <c r="L843" s="7">
        <v>28</v>
      </c>
      <c r="M843" s="7">
        <v>57</v>
      </c>
      <c r="N843" s="7">
        <v>3</v>
      </c>
      <c r="O843" s="7">
        <v>247</v>
      </c>
      <c r="P843" s="7" t="s">
        <v>28</v>
      </c>
      <c r="Q843" s="7" t="str">
        <f t="shared" si="52"/>
        <v>Unhealthy</v>
      </c>
      <c r="R843" s="7" t="str">
        <f t="shared" si="53"/>
        <v>Normal</v>
      </c>
      <c r="S843" s="7" t="str">
        <f t="shared" si="54"/>
        <v>Normal Humidity</v>
      </c>
      <c r="T843" s="7" t="str">
        <f t="shared" si="55"/>
        <v>Moderate Wind</v>
      </c>
    </row>
    <row r="844" spans="1:20" x14ac:dyDescent="0.25">
      <c r="A844" s="7" t="s">
        <v>904</v>
      </c>
      <c r="B844" s="10">
        <v>45871</v>
      </c>
      <c r="C844" s="11" t="s">
        <v>42</v>
      </c>
      <c r="D844" s="11" t="s">
        <v>23</v>
      </c>
      <c r="E844" s="7" t="s">
        <v>58</v>
      </c>
      <c r="F844" s="9">
        <v>33.700000000000003</v>
      </c>
      <c r="G844" s="9">
        <v>117.6</v>
      </c>
      <c r="H844" s="9">
        <v>57.9</v>
      </c>
      <c r="I844" s="9">
        <v>13</v>
      </c>
      <c r="J844" s="9">
        <v>0.35</v>
      </c>
      <c r="K844" s="9">
        <v>35.9</v>
      </c>
      <c r="L844" s="7">
        <v>23.7</v>
      </c>
      <c r="M844" s="7">
        <v>71.400000000000006</v>
      </c>
      <c r="N844" s="7">
        <v>1.1000000000000001</v>
      </c>
      <c r="O844" s="7">
        <v>211</v>
      </c>
      <c r="P844" s="7" t="s">
        <v>28</v>
      </c>
      <c r="Q844" s="7" t="str">
        <f t="shared" si="52"/>
        <v>Unhealthy</v>
      </c>
      <c r="R844" s="7" t="str">
        <f t="shared" si="53"/>
        <v>Normal</v>
      </c>
      <c r="S844" s="7" t="str">
        <f t="shared" si="54"/>
        <v>High Humidity</v>
      </c>
      <c r="T844" s="7" t="str">
        <f t="shared" si="55"/>
        <v>Low Wind</v>
      </c>
    </row>
    <row r="845" spans="1:20" x14ac:dyDescent="0.25">
      <c r="A845" s="7" t="s">
        <v>905</v>
      </c>
      <c r="B845" s="10">
        <v>45889</v>
      </c>
      <c r="C845" s="11" t="s">
        <v>38</v>
      </c>
      <c r="D845" s="11" t="s">
        <v>39</v>
      </c>
      <c r="E845" s="7" t="s">
        <v>32</v>
      </c>
      <c r="F845" s="9">
        <v>20.8</v>
      </c>
      <c r="G845" s="9">
        <v>89.6</v>
      </c>
      <c r="H845" s="9">
        <v>36.5</v>
      </c>
      <c r="I845" s="9">
        <v>37.700000000000003</v>
      </c>
      <c r="J845" s="9">
        <v>1.02</v>
      </c>
      <c r="K845" s="9">
        <v>14.6</v>
      </c>
      <c r="L845" s="7">
        <v>26.7</v>
      </c>
      <c r="M845" s="7">
        <v>92.5</v>
      </c>
      <c r="N845" s="7">
        <v>3.6</v>
      </c>
      <c r="O845" s="7">
        <v>179</v>
      </c>
      <c r="P845" s="7" t="s">
        <v>33</v>
      </c>
      <c r="Q845" s="7" t="str">
        <f t="shared" si="52"/>
        <v>Moderate</v>
      </c>
      <c r="R845" s="7" t="str">
        <f t="shared" si="53"/>
        <v>Normal</v>
      </c>
      <c r="S845" s="7" t="str">
        <f t="shared" si="54"/>
        <v>High Humidity</v>
      </c>
      <c r="T845" s="7" t="str">
        <f t="shared" si="55"/>
        <v>Moderate Wind</v>
      </c>
    </row>
    <row r="846" spans="1:20" x14ac:dyDescent="0.25">
      <c r="A846" s="7" t="s">
        <v>906</v>
      </c>
      <c r="B846" s="10">
        <v>45791</v>
      </c>
      <c r="C846" s="11" t="s">
        <v>17</v>
      </c>
      <c r="D846" s="11" t="s">
        <v>18</v>
      </c>
      <c r="E846" s="7" t="s">
        <v>40</v>
      </c>
      <c r="F846" s="9">
        <v>85.2</v>
      </c>
      <c r="G846" s="9">
        <v>51</v>
      </c>
      <c r="H846" s="9">
        <v>26</v>
      </c>
      <c r="I846" s="9">
        <v>1</v>
      </c>
      <c r="J846" s="9">
        <v>0.6</v>
      </c>
      <c r="K846" s="9">
        <v>29.9</v>
      </c>
      <c r="L846" s="7">
        <v>23.9</v>
      </c>
      <c r="M846" s="7">
        <v>63</v>
      </c>
      <c r="N846" s="7">
        <v>3.3</v>
      </c>
      <c r="O846" s="7">
        <v>219</v>
      </c>
      <c r="P846" s="7" t="s">
        <v>28</v>
      </c>
      <c r="Q846" s="7" t="str">
        <f t="shared" si="52"/>
        <v>Moderate</v>
      </c>
      <c r="R846" s="7" t="str">
        <f t="shared" si="53"/>
        <v>Normal</v>
      </c>
      <c r="S846" s="7" t="str">
        <f t="shared" si="54"/>
        <v>High Humidity</v>
      </c>
      <c r="T846" s="7" t="str">
        <f t="shared" si="55"/>
        <v>Moderate Wind</v>
      </c>
    </row>
    <row r="847" spans="1:20" x14ac:dyDescent="0.25">
      <c r="A847" s="7" t="s">
        <v>907</v>
      </c>
      <c r="B847" s="10">
        <v>45967</v>
      </c>
      <c r="C847" s="11" t="s">
        <v>77</v>
      </c>
      <c r="D847" s="11" t="s">
        <v>39</v>
      </c>
      <c r="E847" s="7" t="s">
        <v>68</v>
      </c>
      <c r="F847" s="9">
        <v>29.6</v>
      </c>
      <c r="G847" s="9">
        <v>83.3</v>
      </c>
      <c r="H847" s="9">
        <v>19.600000000000001</v>
      </c>
      <c r="I847" s="9">
        <v>29</v>
      </c>
      <c r="J847" s="9">
        <v>0.5</v>
      </c>
      <c r="K847" s="9">
        <v>6.4</v>
      </c>
      <c r="L847" s="7">
        <v>38.4</v>
      </c>
      <c r="M847" s="7">
        <v>81.7</v>
      </c>
      <c r="N847" s="7">
        <v>0.3</v>
      </c>
      <c r="O847" s="7">
        <v>153</v>
      </c>
      <c r="P847" s="7" t="s">
        <v>33</v>
      </c>
      <c r="Q847" s="7" t="str">
        <f t="shared" si="52"/>
        <v>Moderate</v>
      </c>
      <c r="R847" s="7" t="str">
        <f t="shared" si="53"/>
        <v>Hot</v>
      </c>
      <c r="S847" s="7" t="str">
        <f t="shared" si="54"/>
        <v>High Humidity</v>
      </c>
      <c r="T847" s="7" t="str">
        <f t="shared" si="55"/>
        <v>Low Wind</v>
      </c>
    </row>
    <row r="848" spans="1:20" x14ac:dyDescent="0.25">
      <c r="A848" s="7" t="s">
        <v>908</v>
      </c>
      <c r="B848" s="10">
        <v>45923</v>
      </c>
      <c r="C848" s="11" t="s">
        <v>64</v>
      </c>
      <c r="D848" s="11" t="s">
        <v>36</v>
      </c>
      <c r="E848" s="7" t="s">
        <v>27</v>
      </c>
      <c r="F848" s="9">
        <v>21.1</v>
      </c>
      <c r="G848" s="9">
        <v>67.099999999999994</v>
      </c>
      <c r="H848" s="9">
        <v>16.899999999999999</v>
      </c>
      <c r="I848" s="9">
        <v>11.4</v>
      </c>
      <c r="J848" s="9">
        <v>0.38</v>
      </c>
      <c r="K848" s="9">
        <v>31.4</v>
      </c>
      <c r="L848" s="7">
        <v>24.6</v>
      </c>
      <c r="M848" s="7">
        <v>48.8</v>
      </c>
      <c r="N848" s="7">
        <v>3.4</v>
      </c>
      <c r="O848" s="7">
        <v>123</v>
      </c>
      <c r="P848" s="7" t="s">
        <v>33</v>
      </c>
      <c r="Q848" s="7" t="str">
        <f t="shared" si="52"/>
        <v>Moderate</v>
      </c>
      <c r="R848" s="7" t="str">
        <f t="shared" si="53"/>
        <v>Normal</v>
      </c>
      <c r="S848" s="7" t="str">
        <f t="shared" si="54"/>
        <v>Normal Humidity</v>
      </c>
      <c r="T848" s="7" t="str">
        <f t="shared" si="55"/>
        <v>Moderate Wind</v>
      </c>
    </row>
    <row r="849" spans="1:20" x14ac:dyDescent="0.25">
      <c r="A849" s="7" t="s">
        <v>909</v>
      </c>
      <c r="B849" s="10">
        <v>45800</v>
      </c>
      <c r="C849" s="11" t="s">
        <v>50</v>
      </c>
      <c r="D849" s="11" t="s">
        <v>31</v>
      </c>
      <c r="E849" s="7" t="s">
        <v>24</v>
      </c>
      <c r="F849" s="9">
        <v>15.9</v>
      </c>
      <c r="G849" s="9">
        <v>16</v>
      </c>
      <c r="H849" s="9">
        <v>15.7</v>
      </c>
      <c r="I849" s="9">
        <v>5.4</v>
      </c>
      <c r="J849" s="9">
        <v>0.2</v>
      </c>
      <c r="K849" s="9">
        <v>50.9</v>
      </c>
      <c r="L849" s="7">
        <v>15.1</v>
      </c>
      <c r="M849" s="7">
        <v>60.7</v>
      </c>
      <c r="N849" s="7">
        <v>2.8</v>
      </c>
      <c r="O849" s="7">
        <v>80</v>
      </c>
      <c r="P849" s="7" t="s">
        <v>71</v>
      </c>
      <c r="Q849" s="7" t="str">
        <f t="shared" si="52"/>
        <v>Good</v>
      </c>
      <c r="R849" s="7" t="str">
        <f t="shared" si="53"/>
        <v>Cool</v>
      </c>
      <c r="S849" s="7" t="str">
        <f t="shared" si="54"/>
        <v>High Humidity</v>
      </c>
      <c r="T849" s="7" t="str">
        <f t="shared" si="55"/>
        <v>Moderate Wind</v>
      </c>
    </row>
    <row r="850" spans="1:20" x14ac:dyDescent="0.25">
      <c r="A850" s="7" t="s">
        <v>910</v>
      </c>
      <c r="B850" s="10">
        <v>45922</v>
      </c>
      <c r="C850" s="11" t="s">
        <v>54</v>
      </c>
      <c r="D850" s="11" t="s">
        <v>18</v>
      </c>
      <c r="E850" s="7" t="s">
        <v>74</v>
      </c>
      <c r="F850" s="9">
        <v>69.2</v>
      </c>
      <c r="G850" s="9">
        <v>192.4</v>
      </c>
      <c r="H850" s="9">
        <v>17.5</v>
      </c>
      <c r="I850" s="9">
        <v>4.0999999999999996</v>
      </c>
      <c r="J850" s="9">
        <v>0.98</v>
      </c>
      <c r="K850" s="9">
        <v>28</v>
      </c>
      <c r="L850" s="7">
        <v>19.399999999999999</v>
      </c>
      <c r="M850" s="7">
        <v>54.5</v>
      </c>
      <c r="N850" s="7">
        <v>0.9</v>
      </c>
      <c r="O850" s="7">
        <v>290</v>
      </c>
      <c r="P850" s="7" t="s">
        <v>28</v>
      </c>
      <c r="Q850" s="7" t="str">
        <f t="shared" si="52"/>
        <v>VeryUnhealthy</v>
      </c>
      <c r="R850" s="7" t="str">
        <f t="shared" si="53"/>
        <v>Cool</v>
      </c>
      <c r="S850" s="7" t="str">
        <f t="shared" si="54"/>
        <v>Normal Humidity</v>
      </c>
      <c r="T850" s="7" t="str">
        <f t="shared" si="55"/>
        <v>Low Wind</v>
      </c>
    </row>
    <row r="851" spans="1:20" x14ac:dyDescent="0.25">
      <c r="A851" s="7" t="s">
        <v>911</v>
      </c>
      <c r="B851" s="10">
        <v>45900</v>
      </c>
      <c r="C851" s="11" t="s">
        <v>64</v>
      </c>
      <c r="D851" s="11" t="s">
        <v>36</v>
      </c>
      <c r="E851" s="7" t="s">
        <v>27</v>
      </c>
      <c r="F851" s="9">
        <v>54</v>
      </c>
      <c r="G851" s="9">
        <v>49.7</v>
      </c>
      <c r="H851" s="9">
        <v>7.5</v>
      </c>
      <c r="I851" s="9">
        <v>8.6</v>
      </c>
      <c r="J851" s="9">
        <v>0.85</v>
      </c>
      <c r="K851" s="9">
        <v>13.1</v>
      </c>
      <c r="L851" s="7">
        <v>14.6</v>
      </c>
      <c r="M851" s="7">
        <v>82.7</v>
      </c>
      <c r="N851" s="7">
        <v>1.3</v>
      </c>
      <c r="O851" s="7">
        <v>158</v>
      </c>
      <c r="P851" s="7" t="s">
        <v>33</v>
      </c>
      <c r="Q851" s="7" t="str">
        <f t="shared" si="52"/>
        <v>Good</v>
      </c>
      <c r="R851" s="7" t="str">
        <f t="shared" si="53"/>
        <v>Cool</v>
      </c>
      <c r="S851" s="7" t="str">
        <f t="shared" si="54"/>
        <v>High Humidity</v>
      </c>
      <c r="T851" s="7" t="str">
        <f t="shared" si="55"/>
        <v>Low Wind</v>
      </c>
    </row>
    <row r="852" spans="1:20" x14ac:dyDescent="0.25">
      <c r="A852" s="7" t="s">
        <v>912</v>
      </c>
      <c r="B852" s="10">
        <v>45765</v>
      </c>
      <c r="C852" s="11" t="s">
        <v>54</v>
      </c>
      <c r="D852" s="11" t="s">
        <v>18</v>
      </c>
      <c r="E852" s="7" t="s">
        <v>27</v>
      </c>
      <c r="F852" s="9">
        <v>102.4</v>
      </c>
      <c r="G852" s="9">
        <v>88.3</v>
      </c>
      <c r="H852" s="9">
        <v>38.700000000000003</v>
      </c>
      <c r="I852" s="9">
        <v>12.3</v>
      </c>
      <c r="J852" s="9">
        <v>0.4</v>
      </c>
      <c r="K852" s="9">
        <v>51.7</v>
      </c>
      <c r="L852" s="7">
        <v>13.6</v>
      </c>
      <c r="M852" s="7">
        <v>75.599999999999994</v>
      </c>
      <c r="N852" s="7">
        <v>1.6</v>
      </c>
      <c r="O852" s="7">
        <v>294</v>
      </c>
      <c r="P852" s="7" t="s">
        <v>28</v>
      </c>
      <c r="Q852" s="7" t="str">
        <f t="shared" si="52"/>
        <v>Moderate</v>
      </c>
      <c r="R852" s="7" t="str">
        <f t="shared" si="53"/>
        <v>Cool</v>
      </c>
      <c r="S852" s="7" t="str">
        <f t="shared" si="54"/>
        <v>High Humidity</v>
      </c>
      <c r="T852" s="7" t="str">
        <f t="shared" si="55"/>
        <v>Low Wind</v>
      </c>
    </row>
    <row r="853" spans="1:20" x14ac:dyDescent="0.25">
      <c r="A853" s="7" t="s">
        <v>913</v>
      </c>
      <c r="B853" s="10">
        <v>45735</v>
      </c>
      <c r="C853" s="11" t="s">
        <v>93</v>
      </c>
      <c r="D853" s="11" t="s">
        <v>36</v>
      </c>
      <c r="E853" s="7" t="s">
        <v>97</v>
      </c>
      <c r="F853" s="9">
        <v>48.2</v>
      </c>
      <c r="G853" s="9">
        <v>90.9</v>
      </c>
      <c r="H853" s="9">
        <v>29.6</v>
      </c>
      <c r="I853" s="9">
        <v>3.6</v>
      </c>
      <c r="J853" s="9">
        <v>0.51</v>
      </c>
      <c r="K853" s="9">
        <v>25</v>
      </c>
      <c r="L853" s="7">
        <v>22.2</v>
      </c>
      <c r="M853" s="7">
        <v>71.5</v>
      </c>
      <c r="N853" s="7">
        <v>4.7</v>
      </c>
      <c r="O853" s="7">
        <v>186</v>
      </c>
      <c r="P853" s="7" t="s">
        <v>33</v>
      </c>
      <c r="Q853" s="7" t="str">
        <f t="shared" si="52"/>
        <v>Moderate</v>
      </c>
      <c r="R853" s="7" t="str">
        <f t="shared" si="53"/>
        <v>Normal</v>
      </c>
      <c r="S853" s="7" t="str">
        <f t="shared" si="54"/>
        <v>High Humidity</v>
      </c>
      <c r="T853" s="7" t="str">
        <f t="shared" si="55"/>
        <v>Moderate Wind</v>
      </c>
    </row>
    <row r="854" spans="1:20" x14ac:dyDescent="0.25">
      <c r="A854" s="7" t="s">
        <v>914</v>
      </c>
      <c r="B854" s="10">
        <v>45765</v>
      </c>
      <c r="C854" s="11" t="s">
        <v>77</v>
      </c>
      <c r="D854" s="11" t="s">
        <v>39</v>
      </c>
      <c r="E854" s="7" t="s">
        <v>61</v>
      </c>
      <c r="F854" s="9">
        <v>55.8</v>
      </c>
      <c r="G854" s="9">
        <v>60.7</v>
      </c>
      <c r="H854" s="9">
        <v>56.6</v>
      </c>
      <c r="I854" s="9">
        <v>7</v>
      </c>
      <c r="J854" s="9">
        <v>0.79</v>
      </c>
      <c r="K854" s="9">
        <v>31.7</v>
      </c>
      <c r="L854" s="7">
        <v>23.5</v>
      </c>
      <c r="M854" s="7">
        <v>47.8</v>
      </c>
      <c r="N854" s="7">
        <v>1.1000000000000001</v>
      </c>
      <c r="O854" s="7">
        <v>213</v>
      </c>
      <c r="P854" s="7" t="s">
        <v>28</v>
      </c>
      <c r="Q854" s="7" t="str">
        <f t="shared" si="52"/>
        <v>Moderate</v>
      </c>
      <c r="R854" s="7" t="str">
        <f t="shared" si="53"/>
        <v>Normal</v>
      </c>
      <c r="S854" s="7" t="str">
        <f t="shared" si="54"/>
        <v>Normal Humidity</v>
      </c>
      <c r="T854" s="7" t="str">
        <f t="shared" si="55"/>
        <v>Low Wind</v>
      </c>
    </row>
    <row r="855" spans="1:20" x14ac:dyDescent="0.25">
      <c r="A855" s="7" t="s">
        <v>915</v>
      </c>
      <c r="B855" s="10">
        <v>45944</v>
      </c>
      <c r="C855" s="11" t="s">
        <v>35</v>
      </c>
      <c r="D855" s="11" t="s">
        <v>36</v>
      </c>
      <c r="E855" s="7" t="s">
        <v>61</v>
      </c>
      <c r="F855" s="9">
        <v>86.9</v>
      </c>
      <c r="G855" s="9">
        <v>59.7</v>
      </c>
      <c r="H855" s="9">
        <v>43.6</v>
      </c>
      <c r="I855" s="9">
        <v>21.3</v>
      </c>
      <c r="J855" s="9">
        <v>0.35</v>
      </c>
      <c r="K855" s="9">
        <v>54.8</v>
      </c>
      <c r="L855" s="7">
        <v>24.9</v>
      </c>
      <c r="M855" s="7">
        <v>30.4</v>
      </c>
      <c r="N855" s="7">
        <v>0.1</v>
      </c>
      <c r="O855" s="7">
        <v>261</v>
      </c>
      <c r="P855" s="7" t="s">
        <v>28</v>
      </c>
      <c r="Q855" s="7" t="str">
        <f t="shared" si="52"/>
        <v>Moderate</v>
      </c>
      <c r="R855" s="7" t="str">
        <f t="shared" si="53"/>
        <v>Normal</v>
      </c>
      <c r="S855" s="7" t="str">
        <f t="shared" si="54"/>
        <v>Normal Humidity</v>
      </c>
      <c r="T855" s="7" t="str">
        <f t="shared" si="55"/>
        <v>Low Wind</v>
      </c>
    </row>
    <row r="856" spans="1:20" x14ac:dyDescent="0.25">
      <c r="A856" s="7" t="s">
        <v>916</v>
      </c>
      <c r="B856" s="10">
        <v>45713</v>
      </c>
      <c r="C856" s="11" t="s">
        <v>52</v>
      </c>
      <c r="D856" s="11" t="s">
        <v>31</v>
      </c>
      <c r="E856" s="7" t="s">
        <v>91</v>
      </c>
      <c r="F856" s="9">
        <v>54.7</v>
      </c>
      <c r="G856" s="9">
        <v>44.6</v>
      </c>
      <c r="H856" s="9">
        <v>32.1</v>
      </c>
      <c r="I856" s="9">
        <v>4.7</v>
      </c>
      <c r="J856" s="9">
        <v>1.62</v>
      </c>
      <c r="K856" s="9">
        <v>23.9</v>
      </c>
      <c r="L856" s="7">
        <v>25.6</v>
      </c>
      <c r="M856" s="7">
        <v>58.1</v>
      </c>
      <c r="N856" s="7">
        <v>2.5</v>
      </c>
      <c r="O856" s="7">
        <v>197</v>
      </c>
      <c r="P856" s="7" t="s">
        <v>33</v>
      </c>
      <c r="Q856" s="7" t="str">
        <f t="shared" si="52"/>
        <v>Good</v>
      </c>
      <c r="R856" s="7" t="str">
        <f t="shared" si="53"/>
        <v>Normal</v>
      </c>
      <c r="S856" s="7" t="str">
        <f t="shared" si="54"/>
        <v>Normal Humidity</v>
      </c>
      <c r="T856" s="7" t="str">
        <f t="shared" si="55"/>
        <v>Moderate Wind</v>
      </c>
    </row>
    <row r="857" spans="1:20" x14ac:dyDescent="0.25">
      <c r="A857" s="7" t="s">
        <v>917</v>
      </c>
      <c r="B857" s="10">
        <v>45853</v>
      </c>
      <c r="C857" s="11" t="s">
        <v>26</v>
      </c>
      <c r="D857" s="11" t="s">
        <v>23</v>
      </c>
      <c r="E857" s="7" t="s">
        <v>58</v>
      </c>
      <c r="F857" s="9">
        <v>86.7</v>
      </c>
      <c r="G857" s="9">
        <v>67.5</v>
      </c>
      <c r="H857" s="9">
        <v>36</v>
      </c>
      <c r="I857" s="9">
        <v>23.5</v>
      </c>
      <c r="J857" s="9">
        <v>0.22</v>
      </c>
      <c r="K857" s="9">
        <v>23.3</v>
      </c>
      <c r="L857" s="7">
        <v>27.1</v>
      </c>
      <c r="M857" s="7">
        <v>79.5</v>
      </c>
      <c r="N857" s="7">
        <v>0.1</v>
      </c>
      <c r="O857" s="7">
        <v>244</v>
      </c>
      <c r="P857" s="7" t="s">
        <v>28</v>
      </c>
      <c r="Q857" s="7" t="str">
        <f t="shared" si="52"/>
        <v>Moderate</v>
      </c>
      <c r="R857" s="7" t="str">
        <f t="shared" si="53"/>
        <v>Normal</v>
      </c>
      <c r="S857" s="7" t="str">
        <f t="shared" si="54"/>
        <v>High Humidity</v>
      </c>
      <c r="T857" s="7" t="str">
        <f t="shared" si="55"/>
        <v>Low Wind</v>
      </c>
    </row>
    <row r="858" spans="1:20" x14ac:dyDescent="0.25">
      <c r="A858" s="7" t="s">
        <v>918</v>
      </c>
      <c r="B858" s="10">
        <v>46008</v>
      </c>
      <c r="C858" s="11" t="s">
        <v>26</v>
      </c>
      <c r="D858" s="11" t="s">
        <v>23</v>
      </c>
      <c r="E858" s="7" t="s">
        <v>19</v>
      </c>
      <c r="F858" s="9">
        <v>49.6</v>
      </c>
      <c r="G858" s="9">
        <v>21.1</v>
      </c>
      <c r="H858" s="9">
        <v>42.3</v>
      </c>
      <c r="I858" s="9">
        <v>9.1999999999999993</v>
      </c>
      <c r="J858" s="9">
        <v>0.43</v>
      </c>
      <c r="K858" s="9">
        <v>67.2</v>
      </c>
      <c r="L858" s="7">
        <v>33.5</v>
      </c>
      <c r="M858" s="7">
        <v>59.1</v>
      </c>
      <c r="N858" s="7">
        <v>1.3</v>
      </c>
      <c r="O858" s="7">
        <v>174</v>
      </c>
      <c r="P858" s="7" t="s">
        <v>33</v>
      </c>
      <c r="Q858" s="7" t="str">
        <f t="shared" si="52"/>
        <v>Good</v>
      </c>
      <c r="R858" s="7" t="str">
        <f t="shared" si="53"/>
        <v>Hot</v>
      </c>
      <c r="S858" s="7" t="str">
        <f t="shared" si="54"/>
        <v>Normal Humidity</v>
      </c>
      <c r="T858" s="7" t="str">
        <f t="shared" si="55"/>
        <v>Low Wind</v>
      </c>
    </row>
    <row r="859" spans="1:20" x14ac:dyDescent="0.25">
      <c r="A859" s="7" t="s">
        <v>919</v>
      </c>
      <c r="B859" s="10">
        <v>45687</v>
      </c>
      <c r="C859" s="11" t="s">
        <v>54</v>
      </c>
      <c r="D859" s="11" t="s">
        <v>18</v>
      </c>
      <c r="E859" s="7" t="s">
        <v>32</v>
      </c>
      <c r="F859" s="9">
        <v>143.9</v>
      </c>
      <c r="G859" s="9">
        <v>121.4</v>
      </c>
      <c r="H859" s="9">
        <v>38.4</v>
      </c>
      <c r="I859" s="9">
        <v>11.6</v>
      </c>
      <c r="J859" s="9">
        <v>0.51</v>
      </c>
      <c r="K859" s="9">
        <v>20</v>
      </c>
      <c r="L859" s="7">
        <v>34.200000000000003</v>
      </c>
      <c r="M859" s="7">
        <v>81.3</v>
      </c>
      <c r="N859" s="7">
        <v>1.9</v>
      </c>
      <c r="O859" s="7">
        <v>370</v>
      </c>
      <c r="P859" s="7" t="s">
        <v>20</v>
      </c>
      <c r="Q859" s="7" t="str">
        <f t="shared" si="52"/>
        <v>Unhealthy</v>
      </c>
      <c r="R859" s="7" t="str">
        <f t="shared" si="53"/>
        <v>Hot</v>
      </c>
      <c r="S859" s="7" t="str">
        <f t="shared" si="54"/>
        <v>High Humidity</v>
      </c>
      <c r="T859" s="7" t="str">
        <f t="shared" si="55"/>
        <v>Low Wind</v>
      </c>
    </row>
    <row r="860" spans="1:20" x14ac:dyDescent="0.25">
      <c r="A860" s="7" t="s">
        <v>920</v>
      </c>
      <c r="B860" s="10">
        <v>45857</v>
      </c>
      <c r="C860" s="11" t="s">
        <v>22</v>
      </c>
      <c r="D860" s="11" t="s">
        <v>23</v>
      </c>
      <c r="E860" s="7" t="s">
        <v>74</v>
      </c>
      <c r="F860" s="9">
        <v>21.8</v>
      </c>
      <c r="G860" s="9">
        <v>117.1</v>
      </c>
      <c r="H860" s="9">
        <v>52.5</v>
      </c>
      <c r="I860" s="9">
        <v>27.3</v>
      </c>
      <c r="J860" s="9">
        <v>0.64</v>
      </c>
      <c r="K860" s="9">
        <v>10.1</v>
      </c>
      <c r="L860" s="7">
        <v>29.3</v>
      </c>
      <c r="M860" s="7">
        <v>56.4</v>
      </c>
      <c r="N860" s="7">
        <v>2.6</v>
      </c>
      <c r="O860" s="7">
        <v>193</v>
      </c>
      <c r="P860" s="7" t="s">
        <v>33</v>
      </c>
      <c r="Q860" s="7" t="str">
        <f t="shared" si="52"/>
        <v>Unhealthy</v>
      </c>
      <c r="R860" s="7" t="str">
        <f t="shared" si="53"/>
        <v>Normal</v>
      </c>
      <c r="S860" s="7" t="str">
        <f t="shared" si="54"/>
        <v>Normal Humidity</v>
      </c>
      <c r="T860" s="7" t="str">
        <f t="shared" si="55"/>
        <v>Moderate Wind</v>
      </c>
    </row>
    <row r="861" spans="1:20" x14ac:dyDescent="0.25">
      <c r="A861" s="7" t="s">
        <v>921</v>
      </c>
      <c r="B861" s="10">
        <v>45764</v>
      </c>
      <c r="C861" s="11" t="s">
        <v>54</v>
      </c>
      <c r="D861" s="11" t="s">
        <v>18</v>
      </c>
      <c r="E861" s="7" t="s">
        <v>74</v>
      </c>
      <c r="F861" s="9">
        <v>10.6</v>
      </c>
      <c r="G861" s="9">
        <v>91.1</v>
      </c>
      <c r="H861" s="9">
        <v>16.600000000000001</v>
      </c>
      <c r="I861" s="9">
        <v>8.4</v>
      </c>
      <c r="J861" s="9">
        <v>1.03</v>
      </c>
      <c r="K861" s="9">
        <v>22.4</v>
      </c>
      <c r="L861" s="7">
        <v>25.7</v>
      </c>
      <c r="M861" s="7">
        <v>60</v>
      </c>
      <c r="N861" s="7">
        <v>1.7</v>
      </c>
      <c r="O861" s="7">
        <v>131</v>
      </c>
      <c r="P861" s="7" t="s">
        <v>33</v>
      </c>
      <c r="Q861" s="7" t="str">
        <f t="shared" si="52"/>
        <v>Moderate</v>
      </c>
      <c r="R861" s="7" t="str">
        <f t="shared" si="53"/>
        <v>Normal</v>
      </c>
      <c r="S861" s="7" t="str">
        <f t="shared" si="54"/>
        <v>Normal Humidity</v>
      </c>
      <c r="T861" s="7" t="str">
        <f t="shared" si="55"/>
        <v>Low Wind</v>
      </c>
    </row>
    <row r="862" spans="1:20" x14ac:dyDescent="0.25">
      <c r="A862" s="7" t="s">
        <v>922</v>
      </c>
      <c r="B862" s="10">
        <v>45962</v>
      </c>
      <c r="C862" s="11" t="s">
        <v>30</v>
      </c>
      <c r="D862" s="11" t="s">
        <v>31</v>
      </c>
      <c r="E862" s="7" t="s">
        <v>27</v>
      </c>
      <c r="F862" s="9">
        <v>31.2</v>
      </c>
      <c r="G862" s="9">
        <v>23</v>
      </c>
      <c r="H862" s="9">
        <v>28.3</v>
      </c>
      <c r="I862" s="9">
        <v>40.799999999999997</v>
      </c>
      <c r="J862" s="9">
        <v>0.84</v>
      </c>
      <c r="K862" s="9">
        <v>36.700000000000003</v>
      </c>
      <c r="L862" s="7">
        <v>35</v>
      </c>
      <c r="M862" s="7">
        <v>52.8</v>
      </c>
      <c r="N862" s="7">
        <v>2.7</v>
      </c>
      <c r="O862" s="7">
        <v>154</v>
      </c>
      <c r="P862" s="7" t="s">
        <v>33</v>
      </c>
      <c r="Q862" s="7" t="str">
        <f t="shared" si="52"/>
        <v>Good</v>
      </c>
      <c r="R862" s="7" t="str">
        <f t="shared" si="53"/>
        <v>Hot</v>
      </c>
      <c r="S862" s="7" t="str">
        <f t="shared" si="54"/>
        <v>Normal Humidity</v>
      </c>
      <c r="T862" s="7" t="str">
        <f t="shared" si="55"/>
        <v>Moderate Wind</v>
      </c>
    </row>
    <row r="863" spans="1:20" x14ac:dyDescent="0.25">
      <c r="A863" s="7" t="s">
        <v>923</v>
      </c>
      <c r="B863" s="10">
        <v>45707</v>
      </c>
      <c r="C863" s="11" t="s">
        <v>77</v>
      </c>
      <c r="D863" s="11" t="s">
        <v>39</v>
      </c>
      <c r="E863" s="7" t="s">
        <v>19</v>
      </c>
      <c r="F863" s="9">
        <v>12.8</v>
      </c>
      <c r="G863" s="9">
        <v>81.5</v>
      </c>
      <c r="H863" s="9">
        <v>29.9</v>
      </c>
      <c r="I863" s="9">
        <v>16.399999999999999</v>
      </c>
      <c r="J863" s="9">
        <v>0.93</v>
      </c>
      <c r="K863" s="9">
        <v>20.100000000000001</v>
      </c>
      <c r="L863" s="7">
        <v>24.9</v>
      </c>
      <c r="M863" s="7">
        <v>61.7</v>
      </c>
      <c r="N863" s="7">
        <v>0.3</v>
      </c>
      <c r="O863" s="7">
        <v>141</v>
      </c>
      <c r="P863" s="7" t="s">
        <v>33</v>
      </c>
      <c r="Q863" s="7" t="str">
        <f t="shared" si="52"/>
        <v>Moderate</v>
      </c>
      <c r="R863" s="7" t="str">
        <f t="shared" si="53"/>
        <v>Normal</v>
      </c>
      <c r="S863" s="7" t="str">
        <f t="shared" si="54"/>
        <v>High Humidity</v>
      </c>
      <c r="T863" s="7" t="str">
        <f t="shared" si="55"/>
        <v>Low Wind</v>
      </c>
    </row>
    <row r="864" spans="1:20" x14ac:dyDescent="0.25">
      <c r="A864" s="7" t="s">
        <v>924</v>
      </c>
      <c r="B864" s="10">
        <v>45876</v>
      </c>
      <c r="C864" s="11" t="s">
        <v>52</v>
      </c>
      <c r="D864" s="11" t="s">
        <v>31</v>
      </c>
      <c r="E864" s="7" t="s">
        <v>97</v>
      </c>
      <c r="F864" s="9">
        <v>18.5</v>
      </c>
      <c r="G864" s="9">
        <v>92.5</v>
      </c>
      <c r="H864" s="9">
        <v>18.5</v>
      </c>
      <c r="I864" s="9">
        <v>15.5</v>
      </c>
      <c r="J864" s="9">
        <v>1.23</v>
      </c>
      <c r="K864" s="9">
        <v>44.4</v>
      </c>
      <c r="L864" s="7">
        <v>38.1</v>
      </c>
      <c r="M864" s="7">
        <v>46.6</v>
      </c>
      <c r="N864" s="7">
        <v>2.4</v>
      </c>
      <c r="O864" s="7">
        <v>166</v>
      </c>
      <c r="P864" s="7" t="s">
        <v>33</v>
      </c>
      <c r="Q864" s="7" t="str">
        <f t="shared" si="52"/>
        <v>Moderate</v>
      </c>
      <c r="R864" s="7" t="str">
        <f t="shared" si="53"/>
        <v>Hot</v>
      </c>
      <c r="S864" s="7" t="str">
        <f t="shared" si="54"/>
        <v>Normal Humidity</v>
      </c>
      <c r="T864" s="7" t="str">
        <f t="shared" si="55"/>
        <v>Moderate Wind</v>
      </c>
    </row>
    <row r="865" spans="1:20" x14ac:dyDescent="0.25">
      <c r="A865" s="7" t="s">
        <v>925</v>
      </c>
      <c r="B865" s="10">
        <v>45929</v>
      </c>
      <c r="C865" s="11" t="s">
        <v>42</v>
      </c>
      <c r="D865" s="11" t="s">
        <v>23</v>
      </c>
      <c r="E865" s="7" t="s">
        <v>43</v>
      </c>
      <c r="F865" s="9">
        <v>60.1</v>
      </c>
      <c r="G865" s="9">
        <v>113.1</v>
      </c>
      <c r="H865" s="9">
        <v>21.5</v>
      </c>
      <c r="I865" s="9">
        <v>20.9</v>
      </c>
      <c r="J865" s="9">
        <v>0.42</v>
      </c>
      <c r="K865" s="9">
        <v>23.6</v>
      </c>
      <c r="L865" s="7">
        <v>33.299999999999997</v>
      </c>
      <c r="M865" s="7">
        <v>76.599999999999994</v>
      </c>
      <c r="N865" s="7">
        <v>3.7</v>
      </c>
      <c r="O865" s="7">
        <v>223</v>
      </c>
      <c r="P865" s="7" t="s">
        <v>28</v>
      </c>
      <c r="Q865" s="7" t="str">
        <f t="shared" si="52"/>
        <v>Unhealthy</v>
      </c>
      <c r="R865" s="7" t="str">
        <f t="shared" si="53"/>
        <v>Hot</v>
      </c>
      <c r="S865" s="7" t="str">
        <f t="shared" si="54"/>
        <v>High Humidity</v>
      </c>
      <c r="T865" s="7" t="str">
        <f t="shared" si="55"/>
        <v>Moderate Wind</v>
      </c>
    </row>
    <row r="866" spans="1:20" x14ac:dyDescent="0.25">
      <c r="A866" s="7" t="s">
        <v>927</v>
      </c>
      <c r="B866" s="10">
        <v>45705</v>
      </c>
      <c r="C866" s="11" t="s">
        <v>26</v>
      </c>
      <c r="D866" s="11" t="s">
        <v>23</v>
      </c>
      <c r="E866" s="7" t="s">
        <v>45</v>
      </c>
      <c r="F866" s="9">
        <v>79.3</v>
      </c>
      <c r="G866" s="9">
        <v>53.7</v>
      </c>
      <c r="H866" s="9">
        <v>21.1</v>
      </c>
      <c r="I866" s="9">
        <v>9.8000000000000007</v>
      </c>
      <c r="J866" s="9">
        <v>1.89</v>
      </c>
      <c r="K866" s="9">
        <v>34.700000000000003</v>
      </c>
      <c r="L866" s="7">
        <v>30.6</v>
      </c>
      <c r="M866" s="7">
        <v>52.8</v>
      </c>
      <c r="N866" s="7">
        <v>1.7</v>
      </c>
      <c r="O866" s="7">
        <v>248</v>
      </c>
      <c r="P866" s="7" t="s">
        <v>28</v>
      </c>
      <c r="Q866" s="7" t="str">
        <f t="shared" si="52"/>
        <v>Moderate</v>
      </c>
      <c r="R866" s="7" t="str">
        <f t="shared" si="53"/>
        <v>Hot</v>
      </c>
      <c r="S866" s="7" t="str">
        <f t="shared" si="54"/>
        <v>Normal Humidity</v>
      </c>
      <c r="T866" s="7" t="str">
        <f t="shared" si="55"/>
        <v>Low Wind</v>
      </c>
    </row>
    <row r="867" spans="1:20" x14ac:dyDescent="0.25">
      <c r="A867" s="7" t="s">
        <v>928</v>
      </c>
      <c r="B867" s="10">
        <v>45805</v>
      </c>
      <c r="C867" s="11" t="s">
        <v>42</v>
      </c>
      <c r="D867" s="11" t="s">
        <v>23</v>
      </c>
      <c r="E867" s="7" t="s">
        <v>32</v>
      </c>
      <c r="F867" s="9">
        <v>9.1</v>
      </c>
      <c r="G867" s="9">
        <v>172.2</v>
      </c>
      <c r="H867" s="9">
        <v>14.2</v>
      </c>
      <c r="I867" s="9">
        <v>3.2</v>
      </c>
      <c r="J867" s="9">
        <v>0.22</v>
      </c>
      <c r="K867" s="9">
        <v>73.3</v>
      </c>
      <c r="L867" s="7">
        <v>16.3</v>
      </c>
      <c r="M867" s="7">
        <v>52.7</v>
      </c>
      <c r="N867" s="7">
        <v>4.5999999999999996</v>
      </c>
      <c r="O867" s="7">
        <v>179</v>
      </c>
      <c r="P867" s="7" t="s">
        <v>33</v>
      </c>
      <c r="Q867" s="7" t="str">
        <f t="shared" si="52"/>
        <v>VeryUnhealthy</v>
      </c>
      <c r="R867" s="7" t="str">
        <f t="shared" si="53"/>
        <v>Cool</v>
      </c>
      <c r="S867" s="7" t="str">
        <f t="shared" si="54"/>
        <v>Normal Humidity</v>
      </c>
      <c r="T867" s="7" t="str">
        <f t="shared" si="55"/>
        <v>Moderate Wind</v>
      </c>
    </row>
    <row r="868" spans="1:20" x14ac:dyDescent="0.25">
      <c r="A868" s="7" t="s">
        <v>929</v>
      </c>
      <c r="B868" s="10">
        <v>45710</v>
      </c>
      <c r="C868" s="11" t="s">
        <v>26</v>
      </c>
      <c r="D868" s="11" t="s">
        <v>23</v>
      </c>
      <c r="E868" s="7" t="s">
        <v>70</v>
      </c>
      <c r="F868" s="9">
        <v>25.4</v>
      </c>
      <c r="G868" s="9">
        <v>162.9</v>
      </c>
      <c r="H868" s="9">
        <v>35</v>
      </c>
      <c r="I868" s="9">
        <v>1.3</v>
      </c>
      <c r="J868" s="9">
        <v>0.35</v>
      </c>
      <c r="K868" s="9">
        <v>11.2</v>
      </c>
      <c r="L868" s="7">
        <v>23.1</v>
      </c>
      <c r="M868" s="7">
        <v>47.8</v>
      </c>
      <c r="N868" s="7">
        <v>2.7</v>
      </c>
      <c r="O868" s="7">
        <v>189</v>
      </c>
      <c r="P868" s="7" t="s">
        <v>33</v>
      </c>
      <c r="Q868" s="7" t="str">
        <f t="shared" si="52"/>
        <v>VeryUnhealthy</v>
      </c>
      <c r="R868" s="7" t="str">
        <f t="shared" si="53"/>
        <v>Normal</v>
      </c>
      <c r="S868" s="7" t="str">
        <f t="shared" si="54"/>
        <v>Normal Humidity</v>
      </c>
      <c r="T868" s="7" t="str">
        <f t="shared" si="55"/>
        <v>Moderate Wind</v>
      </c>
    </row>
    <row r="869" spans="1:20" x14ac:dyDescent="0.25">
      <c r="A869" s="7" t="s">
        <v>930</v>
      </c>
      <c r="B869" s="10">
        <v>45849</v>
      </c>
      <c r="C869" s="11" t="s">
        <v>54</v>
      </c>
      <c r="D869" s="11" t="s">
        <v>18</v>
      </c>
      <c r="E869" s="7" t="s">
        <v>32</v>
      </c>
      <c r="F869" s="9">
        <v>17.399999999999999</v>
      </c>
      <c r="G869" s="9">
        <v>38.4</v>
      </c>
      <c r="H869" s="9">
        <v>25.1</v>
      </c>
      <c r="I869" s="9">
        <v>1</v>
      </c>
      <c r="J869" s="9">
        <v>0.57999999999999996</v>
      </c>
      <c r="K869" s="9">
        <v>73.599999999999994</v>
      </c>
      <c r="L869" s="7">
        <v>21.5</v>
      </c>
      <c r="M869" s="7">
        <v>52.9</v>
      </c>
      <c r="N869" s="7">
        <v>1.2</v>
      </c>
      <c r="O869" s="7">
        <v>121</v>
      </c>
      <c r="P869" s="7" t="s">
        <v>33</v>
      </c>
      <c r="Q869" s="7" t="str">
        <f t="shared" si="52"/>
        <v>Good</v>
      </c>
      <c r="R869" s="7" t="str">
        <f t="shared" si="53"/>
        <v>Normal</v>
      </c>
      <c r="S869" s="7" t="str">
        <f t="shared" si="54"/>
        <v>Normal Humidity</v>
      </c>
      <c r="T869" s="7" t="str">
        <f t="shared" si="55"/>
        <v>Low Wind</v>
      </c>
    </row>
    <row r="870" spans="1:20" x14ac:dyDescent="0.25">
      <c r="A870" s="7" t="s">
        <v>931</v>
      </c>
      <c r="B870" s="10">
        <v>45658</v>
      </c>
      <c r="C870" s="11" t="s">
        <v>38</v>
      </c>
      <c r="D870" s="11" t="s">
        <v>39</v>
      </c>
      <c r="E870" s="7" t="s">
        <v>19</v>
      </c>
      <c r="F870" s="9">
        <v>18.8</v>
      </c>
      <c r="G870" s="9">
        <v>38.299999999999997</v>
      </c>
      <c r="H870" s="9">
        <v>40.5</v>
      </c>
      <c r="I870" s="9">
        <v>34.299999999999997</v>
      </c>
      <c r="J870" s="9">
        <v>0.95</v>
      </c>
      <c r="K870" s="9">
        <v>23</v>
      </c>
      <c r="L870" s="7">
        <v>18.5</v>
      </c>
      <c r="M870" s="7">
        <v>82.5</v>
      </c>
      <c r="N870" s="7">
        <v>1.8</v>
      </c>
      <c r="O870" s="7">
        <v>145</v>
      </c>
      <c r="P870" s="7" t="s">
        <v>33</v>
      </c>
      <c r="Q870" s="7" t="str">
        <f t="shared" si="52"/>
        <v>Good</v>
      </c>
      <c r="R870" s="7" t="str">
        <f t="shared" si="53"/>
        <v>Cool</v>
      </c>
      <c r="S870" s="7" t="str">
        <f t="shared" si="54"/>
        <v>High Humidity</v>
      </c>
      <c r="T870" s="7" t="str">
        <f t="shared" si="55"/>
        <v>Low Wind</v>
      </c>
    </row>
    <row r="871" spans="1:20" x14ac:dyDescent="0.25">
      <c r="A871" s="7" t="s">
        <v>932</v>
      </c>
      <c r="B871" s="10">
        <v>45880</v>
      </c>
      <c r="C871" s="11" t="s">
        <v>42</v>
      </c>
      <c r="D871" s="11" t="s">
        <v>23</v>
      </c>
      <c r="E871" s="7" t="s">
        <v>74</v>
      </c>
      <c r="F871" s="9">
        <v>93.5</v>
      </c>
      <c r="G871" s="9">
        <v>230.4</v>
      </c>
      <c r="H871" s="9">
        <v>52.3</v>
      </c>
      <c r="I871" s="9">
        <v>18.899999999999999</v>
      </c>
      <c r="J871" s="9">
        <v>0.7</v>
      </c>
      <c r="K871" s="9">
        <v>23.8</v>
      </c>
      <c r="L871" s="7">
        <v>23.6</v>
      </c>
      <c r="M871" s="7">
        <v>94.1</v>
      </c>
      <c r="N871" s="7">
        <v>0.8</v>
      </c>
      <c r="O871" s="7">
        <v>383</v>
      </c>
      <c r="P871" s="7" t="s">
        <v>20</v>
      </c>
      <c r="Q871" s="7" t="str">
        <f t="shared" si="52"/>
        <v>VeryUnhealthy</v>
      </c>
      <c r="R871" s="7" t="str">
        <f t="shared" si="53"/>
        <v>Normal</v>
      </c>
      <c r="S871" s="7" t="str">
        <f t="shared" si="54"/>
        <v>High Humidity</v>
      </c>
      <c r="T871" s="7" t="str">
        <f t="shared" si="55"/>
        <v>Low Wind</v>
      </c>
    </row>
    <row r="872" spans="1:20" x14ac:dyDescent="0.25">
      <c r="A872" s="7" t="s">
        <v>933</v>
      </c>
      <c r="B872" s="10">
        <v>45766</v>
      </c>
      <c r="C872" s="11" t="s">
        <v>35</v>
      </c>
      <c r="D872" s="11" t="s">
        <v>36</v>
      </c>
      <c r="E872" s="7" t="s">
        <v>97</v>
      </c>
      <c r="F872" s="9">
        <v>49.8</v>
      </c>
      <c r="G872" s="9">
        <v>84.6</v>
      </c>
      <c r="H872" s="9">
        <v>26.1</v>
      </c>
      <c r="I872" s="9">
        <v>40.6</v>
      </c>
      <c r="J872" s="9">
        <v>1.03</v>
      </c>
      <c r="K872" s="9">
        <v>14</v>
      </c>
      <c r="L872" s="7">
        <v>27</v>
      </c>
      <c r="M872" s="7">
        <v>76</v>
      </c>
      <c r="N872" s="7">
        <v>2.8</v>
      </c>
      <c r="O872" s="7">
        <v>216</v>
      </c>
      <c r="P872" s="7" t="s">
        <v>28</v>
      </c>
      <c r="Q872" s="7" t="str">
        <f t="shared" si="52"/>
        <v>Moderate</v>
      </c>
      <c r="R872" s="7" t="str">
        <f t="shared" si="53"/>
        <v>Normal</v>
      </c>
      <c r="S872" s="7" t="str">
        <f t="shared" si="54"/>
        <v>High Humidity</v>
      </c>
      <c r="T872" s="7" t="str">
        <f t="shared" si="55"/>
        <v>Moderate Wind</v>
      </c>
    </row>
    <row r="873" spans="1:20" x14ac:dyDescent="0.25">
      <c r="A873" s="7" t="s">
        <v>934</v>
      </c>
      <c r="B873" s="10">
        <v>45794</v>
      </c>
      <c r="C873" s="11" t="s">
        <v>22</v>
      </c>
      <c r="D873" s="11" t="s">
        <v>23</v>
      </c>
      <c r="E873" s="7" t="s">
        <v>40</v>
      </c>
      <c r="F873" s="9">
        <v>126.9</v>
      </c>
      <c r="G873" s="9">
        <v>66.5</v>
      </c>
      <c r="H873" s="9">
        <v>51.9</v>
      </c>
      <c r="I873" s="9">
        <v>23.9</v>
      </c>
      <c r="J873" s="9">
        <v>2.16</v>
      </c>
      <c r="K873" s="9">
        <v>10.7</v>
      </c>
      <c r="L873" s="7">
        <v>27.5</v>
      </c>
      <c r="M873" s="7">
        <v>68.7</v>
      </c>
      <c r="N873" s="7">
        <v>1.5</v>
      </c>
      <c r="O873" s="7">
        <v>363</v>
      </c>
      <c r="P873" s="7" t="s">
        <v>20</v>
      </c>
      <c r="Q873" s="7" t="str">
        <f t="shared" si="52"/>
        <v>Moderate</v>
      </c>
      <c r="R873" s="7" t="str">
        <f t="shared" si="53"/>
        <v>Normal</v>
      </c>
      <c r="S873" s="7" t="str">
        <f t="shared" si="54"/>
        <v>High Humidity</v>
      </c>
      <c r="T873" s="7" t="str">
        <f t="shared" si="55"/>
        <v>Low Wind</v>
      </c>
    </row>
    <row r="874" spans="1:20" x14ac:dyDescent="0.25">
      <c r="A874" s="7" t="s">
        <v>935</v>
      </c>
      <c r="B874" s="10">
        <v>45945</v>
      </c>
      <c r="C874" s="11" t="s">
        <v>54</v>
      </c>
      <c r="D874" s="11" t="s">
        <v>18</v>
      </c>
      <c r="E874" s="7" t="s">
        <v>19</v>
      </c>
      <c r="F874" s="9">
        <v>22.2</v>
      </c>
      <c r="G874" s="9">
        <v>86</v>
      </c>
      <c r="H874" s="9">
        <v>19.8</v>
      </c>
      <c r="I874" s="9">
        <v>3.5</v>
      </c>
      <c r="J874" s="9">
        <v>0.18</v>
      </c>
      <c r="K874" s="9">
        <v>23.9</v>
      </c>
      <c r="L874" s="7">
        <v>30.3</v>
      </c>
      <c r="M874" s="7">
        <v>58.5</v>
      </c>
      <c r="N874" s="7">
        <v>1.2</v>
      </c>
      <c r="O874" s="7">
        <v>125</v>
      </c>
      <c r="P874" s="7" t="s">
        <v>33</v>
      </c>
      <c r="Q874" s="7" t="str">
        <f t="shared" si="52"/>
        <v>Moderate</v>
      </c>
      <c r="R874" s="7" t="str">
        <f t="shared" si="53"/>
        <v>Hot</v>
      </c>
      <c r="S874" s="7" t="str">
        <f t="shared" si="54"/>
        <v>Normal Humidity</v>
      </c>
      <c r="T874" s="7" t="str">
        <f t="shared" si="55"/>
        <v>Low Wind</v>
      </c>
    </row>
    <row r="875" spans="1:20" x14ac:dyDescent="0.25">
      <c r="A875" s="7" t="s">
        <v>936</v>
      </c>
      <c r="B875" s="10">
        <v>46017</v>
      </c>
      <c r="C875" s="11" t="s">
        <v>50</v>
      </c>
      <c r="D875" s="11" t="s">
        <v>31</v>
      </c>
      <c r="E875" s="7" t="s">
        <v>74</v>
      </c>
      <c r="F875" s="9">
        <v>56</v>
      </c>
      <c r="G875" s="9">
        <v>44.7</v>
      </c>
      <c r="H875" s="9">
        <v>9.4</v>
      </c>
      <c r="I875" s="9">
        <v>45.4</v>
      </c>
      <c r="J875" s="9">
        <v>0.34</v>
      </c>
      <c r="K875" s="9">
        <v>57.1</v>
      </c>
      <c r="L875" s="7">
        <v>26.1</v>
      </c>
      <c r="M875" s="7">
        <v>56.8</v>
      </c>
      <c r="N875" s="7">
        <v>2.4</v>
      </c>
      <c r="O875" s="7">
        <v>192</v>
      </c>
      <c r="P875" s="7" t="s">
        <v>33</v>
      </c>
      <c r="Q875" s="7" t="str">
        <f t="shared" si="52"/>
        <v>Good</v>
      </c>
      <c r="R875" s="7" t="str">
        <f t="shared" si="53"/>
        <v>Normal</v>
      </c>
      <c r="S875" s="7" t="str">
        <f t="shared" si="54"/>
        <v>Normal Humidity</v>
      </c>
      <c r="T875" s="7" t="str">
        <f t="shared" si="55"/>
        <v>Moderate Wind</v>
      </c>
    </row>
    <row r="876" spans="1:20" x14ac:dyDescent="0.25">
      <c r="A876" s="7" t="s">
        <v>937</v>
      </c>
      <c r="B876" s="10">
        <v>45836</v>
      </c>
      <c r="C876" s="11" t="s">
        <v>26</v>
      </c>
      <c r="D876" s="11" t="s">
        <v>23</v>
      </c>
      <c r="E876" s="7" t="s">
        <v>24</v>
      </c>
      <c r="F876" s="9">
        <v>68</v>
      </c>
      <c r="G876" s="9">
        <v>43</v>
      </c>
      <c r="H876" s="9">
        <v>27.4</v>
      </c>
      <c r="I876" s="9">
        <v>13.4</v>
      </c>
      <c r="J876" s="9">
        <v>0.49</v>
      </c>
      <c r="K876" s="9">
        <v>57.7</v>
      </c>
      <c r="L876" s="7">
        <v>22.3</v>
      </c>
      <c r="M876" s="7">
        <v>98</v>
      </c>
      <c r="N876" s="7">
        <v>3.5</v>
      </c>
      <c r="O876" s="7">
        <v>206</v>
      </c>
      <c r="P876" s="7" t="s">
        <v>28</v>
      </c>
      <c r="Q876" s="7" t="str">
        <f t="shared" si="52"/>
        <v>Good</v>
      </c>
      <c r="R876" s="7" t="str">
        <f t="shared" si="53"/>
        <v>Normal</v>
      </c>
      <c r="S876" s="7" t="str">
        <f t="shared" si="54"/>
        <v>High Humidity</v>
      </c>
      <c r="T876" s="7" t="str">
        <f t="shared" si="55"/>
        <v>Moderate Wind</v>
      </c>
    </row>
    <row r="877" spans="1:20" x14ac:dyDescent="0.25">
      <c r="A877" s="7" t="s">
        <v>938</v>
      </c>
      <c r="B877" s="10">
        <v>45932</v>
      </c>
      <c r="C877" s="11" t="s">
        <v>64</v>
      </c>
      <c r="D877" s="11" t="s">
        <v>36</v>
      </c>
      <c r="E877" s="7" t="s">
        <v>97</v>
      </c>
      <c r="F877" s="9">
        <v>120.1</v>
      </c>
      <c r="G877" s="9">
        <v>88</v>
      </c>
      <c r="H877" s="9">
        <v>17.399999999999999</v>
      </c>
      <c r="I877" s="9">
        <v>18.2</v>
      </c>
      <c r="J877" s="9">
        <v>2.0099999999999998</v>
      </c>
      <c r="K877" s="9">
        <v>46.8</v>
      </c>
      <c r="L877" s="7">
        <v>29.2</v>
      </c>
      <c r="M877" s="7">
        <v>66.2</v>
      </c>
      <c r="N877" s="7">
        <v>3.8</v>
      </c>
      <c r="O877" s="7">
        <v>347</v>
      </c>
      <c r="P877" s="7" t="s">
        <v>20</v>
      </c>
      <c r="Q877" s="7" t="str">
        <f t="shared" si="52"/>
        <v>Moderate</v>
      </c>
      <c r="R877" s="7" t="str">
        <f t="shared" si="53"/>
        <v>Normal</v>
      </c>
      <c r="S877" s="7" t="str">
        <f t="shared" si="54"/>
        <v>High Humidity</v>
      </c>
      <c r="T877" s="7" t="str">
        <f t="shared" si="55"/>
        <v>Moderate Wind</v>
      </c>
    </row>
    <row r="878" spans="1:20" x14ac:dyDescent="0.25">
      <c r="A878" s="7" t="s">
        <v>939</v>
      </c>
      <c r="B878" s="10">
        <v>45799</v>
      </c>
      <c r="C878" s="11" t="s">
        <v>30</v>
      </c>
      <c r="D878" s="11" t="s">
        <v>31</v>
      </c>
      <c r="E878" s="7" t="s">
        <v>43</v>
      </c>
      <c r="F878" s="9">
        <v>14.5</v>
      </c>
      <c r="G878" s="9">
        <v>58</v>
      </c>
      <c r="H878" s="9">
        <v>41.9</v>
      </c>
      <c r="I878" s="9">
        <v>26.1</v>
      </c>
      <c r="J878" s="9">
        <v>0.63</v>
      </c>
      <c r="K878" s="9">
        <v>43.5</v>
      </c>
      <c r="L878" s="7">
        <v>23.1</v>
      </c>
      <c r="M878" s="7">
        <v>84.3</v>
      </c>
      <c r="N878" s="7">
        <v>0.7</v>
      </c>
      <c r="O878" s="7">
        <v>148</v>
      </c>
      <c r="P878" s="7" t="s">
        <v>33</v>
      </c>
      <c r="Q878" s="7" t="str">
        <f t="shared" si="52"/>
        <v>Moderate</v>
      </c>
      <c r="R878" s="7" t="str">
        <f t="shared" si="53"/>
        <v>Normal</v>
      </c>
      <c r="S878" s="7" t="str">
        <f t="shared" si="54"/>
        <v>High Humidity</v>
      </c>
      <c r="T878" s="7" t="str">
        <f t="shared" si="55"/>
        <v>Low Wind</v>
      </c>
    </row>
    <row r="879" spans="1:20" x14ac:dyDescent="0.25">
      <c r="A879" s="7" t="s">
        <v>940</v>
      </c>
      <c r="B879" s="10">
        <v>45894</v>
      </c>
      <c r="C879" s="11" t="s">
        <v>99</v>
      </c>
      <c r="D879" s="11" t="s">
        <v>36</v>
      </c>
      <c r="E879" s="7" t="s">
        <v>55</v>
      </c>
      <c r="F879" s="9">
        <v>70.400000000000006</v>
      </c>
      <c r="G879" s="9">
        <v>75.2</v>
      </c>
      <c r="H879" s="9">
        <v>15.3</v>
      </c>
      <c r="I879" s="9">
        <v>7.4</v>
      </c>
      <c r="J879" s="9">
        <v>0.43</v>
      </c>
      <c r="K879" s="9">
        <v>58.8</v>
      </c>
      <c r="L879" s="7">
        <v>27.7</v>
      </c>
      <c r="M879" s="7">
        <v>68.8</v>
      </c>
      <c r="N879" s="7">
        <v>2.9</v>
      </c>
      <c r="O879" s="7">
        <v>216</v>
      </c>
      <c r="P879" s="7" t="s">
        <v>28</v>
      </c>
      <c r="Q879" s="7" t="str">
        <f t="shared" si="52"/>
        <v>Moderate</v>
      </c>
      <c r="R879" s="7" t="str">
        <f t="shared" si="53"/>
        <v>Normal</v>
      </c>
      <c r="S879" s="7" t="str">
        <f t="shared" si="54"/>
        <v>High Humidity</v>
      </c>
      <c r="T879" s="7" t="str">
        <f t="shared" si="55"/>
        <v>Moderate Wind</v>
      </c>
    </row>
    <row r="880" spans="1:20" x14ac:dyDescent="0.25">
      <c r="A880" s="7" t="s">
        <v>941</v>
      </c>
      <c r="B880" s="10">
        <v>45800</v>
      </c>
      <c r="C880" s="11" t="s">
        <v>93</v>
      </c>
      <c r="D880" s="11" t="s">
        <v>36</v>
      </c>
      <c r="E880" s="7" t="s">
        <v>61</v>
      </c>
      <c r="F880" s="9">
        <v>106</v>
      </c>
      <c r="G880" s="9">
        <v>125.8</v>
      </c>
      <c r="H880" s="9">
        <v>24.2</v>
      </c>
      <c r="I880" s="9">
        <v>11.7</v>
      </c>
      <c r="J880" s="9">
        <v>0.6</v>
      </c>
      <c r="K880" s="9">
        <v>15.5</v>
      </c>
      <c r="L880" s="7">
        <v>18.7</v>
      </c>
      <c r="M880" s="7">
        <v>37.200000000000003</v>
      </c>
      <c r="N880" s="7">
        <v>3.3</v>
      </c>
      <c r="O880" s="7">
        <v>301</v>
      </c>
      <c r="P880" s="7" t="s">
        <v>20</v>
      </c>
      <c r="Q880" s="7" t="str">
        <f t="shared" si="52"/>
        <v>Unhealthy</v>
      </c>
      <c r="R880" s="7" t="str">
        <f t="shared" si="53"/>
        <v>Cool</v>
      </c>
      <c r="S880" s="7" t="str">
        <f t="shared" si="54"/>
        <v>Normal Humidity</v>
      </c>
      <c r="T880" s="7" t="str">
        <f t="shared" si="55"/>
        <v>Moderate Wind</v>
      </c>
    </row>
    <row r="881" spans="1:20" x14ac:dyDescent="0.25">
      <c r="A881" s="7" t="s">
        <v>942</v>
      </c>
      <c r="B881" s="10">
        <v>45713</v>
      </c>
      <c r="C881" s="11" t="s">
        <v>99</v>
      </c>
      <c r="D881" s="11" t="s">
        <v>36</v>
      </c>
      <c r="E881" s="7" t="s">
        <v>61</v>
      </c>
      <c r="F881" s="9">
        <v>15.2</v>
      </c>
      <c r="G881" s="9">
        <v>43.2</v>
      </c>
      <c r="H881" s="9">
        <v>17.7</v>
      </c>
      <c r="I881" s="9">
        <v>9.5</v>
      </c>
      <c r="J881" s="9">
        <v>0.18</v>
      </c>
      <c r="K881" s="9">
        <v>48.6</v>
      </c>
      <c r="L881" s="7">
        <v>34.200000000000003</v>
      </c>
      <c r="M881" s="7">
        <v>52.4</v>
      </c>
      <c r="N881" s="7">
        <v>4.3</v>
      </c>
      <c r="O881" s="7">
        <v>100</v>
      </c>
      <c r="P881" s="7" t="s">
        <v>71</v>
      </c>
      <c r="Q881" s="7" t="str">
        <f t="shared" si="52"/>
        <v>Good</v>
      </c>
      <c r="R881" s="7" t="str">
        <f t="shared" si="53"/>
        <v>Hot</v>
      </c>
      <c r="S881" s="7" t="str">
        <f t="shared" si="54"/>
        <v>Normal Humidity</v>
      </c>
      <c r="T881" s="7" t="str">
        <f t="shared" si="55"/>
        <v>Moderate Wind</v>
      </c>
    </row>
    <row r="882" spans="1:20" x14ac:dyDescent="0.25">
      <c r="A882" s="7" t="s">
        <v>943</v>
      </c>
      <c r="B882" s="10">
        <v>45974</v>
      </c>
      <c r="C882" s="11" t="s">
        <v>99</v>
      </c>
      <c r="D882" s="11" t="s">
        <v>36</v>
      </c>
      <c r="E882" s="7" t="s">
        <v>27</v>
      </c>
      <c r="F882" s="9">
        <v>35.700000000000003</v>
      </c>
      <c r="G882" s="9">
        <v>34.5</v>
      </c>
      <c r="H882" s="9">
        <v>17.100000000000001</v>
      </c>
      <c r="I882" s="9">
        <v>19</v>
      </c>
      <c r="J882" s="9">
        <v>0.2</v>
      </c>
      <c r="K882" s="9">
        <v>38.5</v>
      </c>
      <c r="L882" s="7">
        <v>32.6</v>
      </c>
      <c r="M882" s="7">
        <v>70.3</v>
      </c>
      <c r="N882" s="7">
        <v>3.7</v>
      </c>
      <c r="O882" s="7">
        <v>129</v>
      </c>
      <c r="P882" s="7" t="s">
        <v>33</v>
      </c>
      <c r="Q882" s="7" t="str">
        <f t="shared" si="52"/>
        <v>Good</v>
      </c>
      <c r="R882" s="7" t="str">
        <f t="shared" si="53"/>
        <v>Hot</v>
      </c>
      <c r="S882" s="7" t="str">
        <f t="shared" si="54"/>
        <v>High Humidity</v>
      </c>
      <c r="T882" s="7" t="str">
        <f t="shared" si="55"/>
        <v>Moderate Wind</v>
      </c>
    </row>
    <row r="883" spans="1:20" x14ac:dyDescent="0.25">
      <c r="A883" s="7" t="s">
        <v>944</v>
      </c>
      <c r="B883" s="10">
        <v>45793</v>
      </c>
      <c r="C883" s="11" t="s">
        <v>52</v>
      </c>
      <c r="D883" s="11" t="s">
        <v>31</v>
      </c>
      <c r="E883" s="7" t="s">
        <v>40</v>
      </c>
      <c r="F883" s="9">
        <v>74.900000000000006</v>
      </c>
      <c r="G883" s="9">
        <v>41.9</v>
      </c>
      <c r="H883" s="9">
        <v>21.2</v>
      </c>
      <c r="I883" s="9">
        <v>10.1</v>
      </c>
      <c r="J883" s="9">
        <v>0.64</v>
      </c>
      <c r="K883" s="9">
        <v>38.9</v>
      </c>
      <c r="L883" s="7">
        <v>23.1</v>
      </c>
      <c r="M883" s="7">
        <v>55.2</v>
      </c>
      <c r="N883" s="7">
        <v>3</v>
      </c>
      <c r="O883" s="7">
        <v>205</v>
      </c>
      <c r="P883" s="7" t="s">
        <v>28</v>
      </c>
      <c r="Q883" s="7" t="str">
        <f t="shared" si="52"/>
        <v>Good</v>
      </c>
      <c r="R883" s="7" t="str">
        <f t="shared" si="53"/>
        <v>Normal</v>
      </c>
      <c r="S883" s="7" t="str">
        <f t="shared" si="54"/>
        <v>Normal Humidity</v>
      </c>
      <c r="T883" s="7" t="str">
        <f t="shared" si="55"/>
        <v>Moderate Wind</v>
      </c>
    </row>
    <row r="884" spans="1:20" x14ac:dyDescent="0.25">
      <c r="A884" s="7" t="s">
        <v>945</v>
      </c>
      <c r="B884" s="10">
        <v>45788</v>
      </c>
      <c r="C884" s="11" t="s">
        <v>81</v>
      </c>
      <c r="D884" s="11" t="s">
        <v>39</v>
      </c>
      <c r="E884" s="7" t="s">
        <v>43</v>
      </c>
      <c r="F884" s="9">
        <v>18.100000000000001</v>
      </c>
      <c r="G884" s="9">
        <v>118.6</v>
      </c>
      <c r="H884" s="9">
        <v>46.9</v>
      </c>
      <c r="I884" s="9">
        <v>3.1</v>
      </c>
      <c r="J884" s="9">
        <v>1.28</v>
      </c>
      <c r="K884" s="9">
        <v>46.5</v>
      </c>
      <c r="L884" s="7">
        <v>24.3</v>
      </c>
      <c r="M884" s="7">
        <v>55.5</v>
      </c>
      <c r="N884" s="7">
        <v>2</v>
      </c>
      <c r="O884" s="7">
        <v>199</v>
      </c>
      <c r="P884" s="7" t="s">
        <v>33</v>
      </c>
      <c r="Q884" s="7" t="str">
        <f t="shared" si="52"/>
        <v>Unhealthy</v>
      </c>
      <c r="R884" s="7" t="str">
        <f t="shared" si="53"/>
        <v>Normal</v>
      </c>
      <c r="S884" s="7" t="str">
        <f t="shared" si="54"/>
        <v>Normal Humidity</v>
      </c>
      <c r="T884" s="7" t="str">
        <f t="shared" si="55"/>
        <v>Moderate Wind</v>
      </c>
    </row>
    <row r="885" spans="1:20" x14ac:dyDescent="0.25">
      <c r="A885" s="7" t="s">
        <v>946</v>
      </c>
      <c r="B885" s="10">
        <v>45796</v>
      </c>
      <c r="C885" s="11" t="s">
        <v>38</v>
      </c>
      <c r="D885" s="11" t="s">
        <v>39</v>
      </c>
      <c r="E885" s="7" t="s">
        <v>58</v>
      </c>
      <c r="F885" s="9">
        <v>69.3</v>
      </c>
      <c r="G885" s="9">
        <v>80.599999999999994</v>
      </c>
      <c r="H885" s="9">
        <v>29</v>
      </c>
      <c r="I885" s="9">
        <v>7.5</v>
      </c>
      <c r="J885" s="9">
        <v>1.88</v>
      </c>
      <c r="K885" s="9">
        <v>25.6</v>
      </c>
      <c r="L885" s="7">
        <v>31.3</v>
      </c>
      <c r="M885" s="7">
        <v>46.2</v>
      </c>
      <c r="N885" s="7">
        <v>2.2999999999999998</v>
      </c>
      <c r="O885" s="7">
        <v>250</v>
      </c>
      <c r="P885" s="7" t="s">
        <v>28</v>
      </c>
      <c r="Q885" s="7" t="str">
        <f t="shared" si="52"/>
        <v>Moderate</v>
      </c>
      <c r="R885" s="7" t="str">
        <f t="shared" si="53"/>
        <v>Hot</v>
      </c>
      <c r="S885" s="7" t="str">
        <f t="shared" si="54"/>
        <v>Normal Humidity</v>
      </c>
      <c r="T885" s="7" t="str">
        <f t="shared" si="55"/>
        <v>Moderate Wind</v>
      </c>
    </row>
    <row r="886" spans="1:20" x14ac:dyDescent="0.25">
      <c r="A886" s="7" t="s">
        <v>947</v>
      </c>
      <c r="B886" s="10">
        <v>45953</v>
      </c>
      <c r="C886" s="11" t="s">
        <v>77</v>
      </c>
      <c r="D886" s="11" t="s">
        <v>39</v>
      </c>
      <c r="E886" s="7" t="s">
        <v>43</v>
      </c>
      <c r="F886" s="9">
        <v>28.5</v>
      </c>
      <c r="G886" s="9">
        <v>44</v>
      </c>
      <c r="H886" s="9">
        <v>14.9</v>
      </c>
      <c r="I886" s="9">
        <v>9.4</v>
      </c>
      <c r="J886" s="9">
        <v>1.1599999999999999</v>
      </c>
      <c r="K886" s="9">
        <v>3.7</v>
      </c>
      <c r="L886" s="7">
        <v>31.9</v>
      </c>
      <c r="M886" s="7">
        <v>73.7</v>
      </c>
      <c r="N886" s="7">
        <v>2.2000000000000002</v>
      </c>
      <c r="O886" s="7">
        <v>123</v>
      </c>
      <c r="P886" s="7" t="s">
        <v>33</v>
      </c>
      <c r="Q886" s="7" t="str">
        <f t="shared" si="52"/>
        <v>Good</v>
      </c>
      <c r="R886" s="7" t="str">
        <f t="shared" si="53"/>
        <v>Hot</v>
      </c>
      <c r="S886" s="7" t="str">
        <f t="shared" si="54"/>
        <v>High Humidity</v>
      </c>
      <c r="T886" s="7" t="str">
        <f t="shared" si="55"/>
        <v>Moderate Wind</v>
      </c>
    </row>
    <row r="887" spans="1:20" x14ac:dyDescent="0.25">
      <c r="A887" s="7" t="s">
        <v>948</v>
      </c>
      <c r="B887" s="10">
        <v>45914</v>
      </c>
      <c r="C887" s="11" t="s">
        <v>50</v>
      </c>
      <c r="D887" s="11" t="s">
        <v>31</v>
      </c>
      <c r="E887" s="7" t="s">
        <v>24</v>
      </c>
      <c r="F887" s="9">
        <v>68.2</v>
      </c>
      <c r="G887" s="9">
        <v>105.3</v>
      </c>
      <c r="H887" s="9">
        <v>56.1</v>
      </c>
      <c r="I887" s="9">
        <v>4.8</v>
      </c>
      <c r="J887" s="9">
        <v>2.38</v>
      </c>
      <c r="K887" s="9">
        <v>62.2</v>
      </c>
      <c r="L887" s="7">
        <v>21.6</v>
      </c>
      <c r="M887" s="7">
        <v>67.099999999999994</v>
      </c>
      <c r="N887" s="7">
        <v>1.2</v>
      </c>
      <c r="O887" s="7">
        <v>313</v>
      </c>
      <c r="P887" s="7" t="s">
        <v>20</v>
      </c>
      <c r="Q887" s="7" t="str">
        <f t="shared" si="52"/>
        <v>Unhealthy</v>
      </c>
      <c r="R887" s="7" t="str">
        <f t="shared" si="53"/>
        <v>Normal</v>
      </c>
      <c r="S887" s="7" t="str">
        <f t="shared" si="54"/>
        <v>High Humidity</v>
      </c>
      <c r="T887" s="7" t="str">
        <f t="shared" si="55"/>
        <v>Low Wind</v>
      </c>
    </row>
    <row r="888" spans="1:20" x14ac:dyDescent="0.25">
      <c r="A888" s="7" t="s">
        <v>949</v>
      </c>
      <c r="B888" s="10">
        <v>45722</v>
      </c>
      <c r="C888" s="11" t="s">
        <v>42</v>
      </c>
      <c r="D888" s="11" t="s">
        <v>23</v>
      </c>
      <c r="E888" s="7" t="s">
        <v>40</v>
      </c>
      <c r="F888" s="9">
        <v>66.900000000000006</v>
      </c>
      <c r="G888" s="9">
        <v>143.30000000000001</v>
      </c>
      <c r="H888" s="9">
        <v>17.899999999999999</v>
      </c>
      <c r="I888" s="9">
        <v>10.5</v>
      </c>
      <c r="J888" s="9">
        <v>0.43</v>
      </c>
      <c r="K888" s="9">
        <v>18.5</v>
      </c>
      <c r="L888" s="7">
        <v>26.7</v>
      </c>
      <c r="M888" s="7">
        <v>50</v>
      </c>
      <c r="N888" s="7">
        <v>1.9</v>
      </c>
      <c r="O888" s="7">
        <v>241</v>
      </c>
      <c r="P888" s="7" t="s">
        <v>28</v>
      </c>
      <c r="Q888" s="7" t="str">
        <f t="shared" si="52"/>
        <v>Unhealthy</v>
      </c>
      <c r="R888" s="7" t="str">
        <f t="shared" si="53"/>
        <v>Normal</v>
      </c>
      <c r="S888" s="7" t="str">
        <f t="shared" si="54"/>
        <v>Normal Humidity</v>
      </c>
      <c r="T888" s="7" t="str">
        <f t="shared" si="55"/>
        <v>Low Wind</v>
      </c>
    </row>
    <row r="889" spans="1:20" x14ac:dyDescent="0.25">
      <c r="A889" s="7" t="s">
        <v>950</v>
      </c>
      <c r="B889" s="10">
        <v>45687</v>
      </c>
      <c r="C889" s="11" t="s">
        <v>38</v>
      </c>
      <c r="D889" s="11" t="s">
        <v>39</v>
      </c>
      <c r="E889" s="7" t="s">
        <v>55</v>
      </c>
      <c r="F889" s="9">
        <v>54.7</v>
      </c>
      <c r="G889" s="9">
        <v>112.6</v>
      </c>
      <c r="H889" s="9">
        <v>27.4</v>
      </c>
      <c r="I889" s="9">
        <v>12.7</v>
      </c>
      <c r="J889" s="9">
        <v>0.73</v>
      </c>
      <c r="K889" s="9">
        <v>38.4</v>
      </c>
      <c r="L889" s="7">
        <v>37</v>
      </c>
      <c r="M889" s="7">
        <v>55.3</v>
      </c>
      <c r="N889" s="7">
        <v>1.5</v>
      </c>
      <c r="O889" s="7">
        <v>227</v>
      </c>
      <c r="P889" s="7" t="s">
        <v>28</v>
      </c>
      <c r="Q889" s="7" t="str">
        <f t="shared" si="52"/>
        <v>Unhealthy</v>
      </c>
      <c r="R889" s="7" t="str">
        <f t="shared" si="53"/>
        <v>Hot</v>
      </c>
      <c r="S889" s="7" t="str">
        <f t="shared" si="54"/>
        <v>Normal Humidity</v>
      </c>
      <c r="T889" s="7" t="str">
        <f t="shared" si="55"/>
        <v>Low Wind</v>
      </c>
    </row>
    <row r="890" spans="1:20" x14ac:dyDescent="0.25">
      <c r="A890" s="7" t="s">
        <v>951</v>
      </c>
      <c r="B890" s="10">
        <v>45884</v>
      </c>
      <c r="C890" s="11" t="s">
        <v>50</v>
      </c>
      <c r="D890" s="11" t="s">
        <v>31</v>
      </c>
      <c r="E890" s="7" t="s">
        <v>91</v>
      </c>
      <c r="F890" s="9">
        <v>56.1</v>
      </c>
      <c r="G890" s="9">
        <v>49.3</v>
      </c>
      <c r="H890" s="9">
        <v>27.9</v>
      </c>
      <c r="I890" s="9">
        <v>8.8000000000000007</v>
      </c>
      <c r="J890" s="9">
        <v>0.08</v>
      </c>
      <c r="K890" s="9">
        <v>37.200000000000003</v>
      </c>
      <c r="L890" s="7">
        <v>26.3</v>
      </c>
      <c r="M890" s="7">
        <v>61.8</v>
      </c>
      <c r="N890" s="7">
        <v>2.1</v>
      </c>
      <c r="O890" s="7">
        <v>169</v>
      </c>
      <c r="P890" s="7" t="s">
        <v>33</v>
      </c>
      <c r="Q890" s="7" t="str">
        <f t="shared" si="52"/>
        <v>Good</v>
      </c>
      <c r="R890" s="7" t="str">
        <f t="shared" si="53"/>
        <v>Normal</v>
      </c>
      <c r="S890" s="7" t="str">
        <f t="shared" si="54"/>
        <v>High Humidity</v>
      </c>
      <c r="T890" s="7" t="str">
        <f t="shared" si="55"/>
        <v>Moderate Wind</v>
      </c>
    </row>
    <row r="891" spans="1:20" x14ac:dyDescent="0.25">
      <c r="A891" s="7" t="s">
        <v>952</v>
      </c>
      <c r="B891" s="10">
        <v>45709</v>
      </c>
      <c r="C891" s="11" t="s">
        <v>64</v>
      </c>
      <c r="D891" s="11" t="s">
        <v>36</v>
      </c>
      <c r="E891" s="7" t="s">
        <v>74</v>
      </c>
      <c r="F891" s="9">
        <v>27.6</v>
      </c>
      <c r="G891" s="9">
        <v>203.1</v>
      </c>
      <c r="H891" s="9">
        <v>16.600000000000001</v>
      </c>
      <c r="I891" s="9">
        <v>2.6</v>
      </c>
      <c r="J891" s="9">
        <v>1.23</v>
      </c>
      <c r="K891" s="9">
        <v>34.4</v>
      </c>
      <c r="L891" s="7">
        <v>23</v>
      </c>
      <c r="M891" s="7">
        <v>59.5</v>
      </c>
      <c r="N891" s="7">
        <v>2.2000000000000002</v>
      </c>
      <c r="O891" s="7">
        <v>238</v>
      </c>
      <c r="P891" s="7" t="s">
        <v>28</v>
      </c>
      <c r="Q891" s="7" t="str">
        <f t="shared" si="52"/>
        <v>VeryUnhealthy</v>
      </c>
      <c r="R891" s="7" t="str">
        <f t="shared" si="53"/>
        <v>Normal</v>
      </c>
      <c r="S891" s="7" t="str">
        <f t="shared" si="54"/>
        <v>Normal Humidity</v>
      </c>
      <c r="T891" s="7" t="str">
        <f t="shared" si="55"/>
        <v>Moderate Wind</v>
      </c>
    </row>
    <row r="892" spans="1:20" x14ac:dyDescent="0.25">
      <c r="A892" s="7" t="s">
        <v>953</v>
      </c>
      <c r="B892" s="10">
        <v>45717</v>
      </c>
      <c r="C892" s="11" t="s">
        <v>17</v>
      </c>
      <c r="D892" s="11" t="s">
        <v>18</v>
      </c>
      <c r="E892" s="7" t="s">
        <v>43</v>
      </c>
      <c r="F892" s="9">
        <v>101.3</v>
      </c>
      <c r="G892" s="9">
        <v>54.3</v>
      </c>
      <c r="H892" s="9">
        <v>4.0999999999999996</v>
      </c>
      <c r="I892" s="9">
        <v>14</v>
      </c>
      <c r="J892" s="9">
        <v>0.5</v>
      </c>
      <c r="K892" s="9">
        <v>58.5</v>
      </c>
      <c r="L892" s="7">
        <v>24</v>
      </c>
      <c r="M892" s="7">
        <v>45.5</v>
      </c>
      <c r="N892" s="7">
        <v>2.7</v>
      </c>
      <c r="O892" s="7">
        <v>249</v>
      </c>
      <c r="P892" s="7" t="s">
        <v>28</v>
      </c>
      <c r="Q892" s="7" t="str">
        <f t="shared" si="52"/>
        <v>Moderate</v>
      </c>
      <c r="R892" s="7" t="str">
        <f t="shared" si="53"/>
        <v>Normal</v>
      </c>
      <c r="S892" s="7" t="str">
        <f t="shared" si="54"/>
        <v>Normal Humidity</v>
      </c>
      <c r="T892" s="7" t="str">
        <f t="shared" si="55"/>
        <v>Moderate Wind</v>
      </c>
    </row>
    <row r="893" spans="1:20" x14ac:dyDescent="0.25">
      <c r="A893" s="7" t="s">
        <v>954</v>
      </c>
      <c r="B893" s="10">
        <v>45947</v>
      </c>
      <c r="C893" s="11" t="s">
        <v>93</v>
      </c>
      <c r="D893" s="11" t="s">
        <v>36</v>
      </c>
      <c r="E893" s="7" t="s">
        <v>27</v>
      </c>
      <c r="F893" s="9">
        <v>29.3</v>
      </c>
      <c r="G893" s="9">
        <v>65.7</v>
      </c>
      <c r="H893" s="9">
        <v>37.1</v>
      </c>
      <c r="I893" s="9">
        <v>15.6</v>
      </c>
      <c r="J893" s="9">
        <v>0.28999999999999998</v>
      </c>
      <c r="K893" s="9">
        <v>22.4</v>
      </c>
      <c r="L893" s="7">
        <v>30.8</v>
      </c>
      <c r="M893" s="7">
        <v>47.5</v>
      </c>
      <c r="N893" s="7">
        <v>2.9</v>
      </c>
      <c r="O893" s="7">
        <v>148</v>
      </c>
      <c r="P893" s="7" t="s">
        <v>33</v>
      </c>
      <c r="Q893" s="7" t="str">
        <f t="shared" si="52"/>
        <v>Moderate</v>
      </c>
      <c r="R893" s="7" t="str">
        <f t="shared" si="53"/>
        <v>Hot</v>
      </c>
      <c r="S893" s="7" t="str">
        <f t="shared" si="54"/>
        <v>Normal Humidity</v>
      </c>
      <c r="T893" s="7" t="str">
        <f t="shared" si="55"/>
        <v>Moderate Wind</v>
      </c>
    </row>
    <row r="894" spans="1:20" x14ac:dyDescent="0.25">
      <c r="A894" s="7" t="s">
        <v>955</v>
      </c>
      <c r="B894" s="10">
        <v>45922</v>
      </c>
      <c r="C894" s="11" t="s">
        <v>26</v>
      </c>
      <c r="D894" s="11" t="s">
        <v>23</v>
      </c>
      <c r="E894" s="7" t="s">
        <v>91</v>
      </c>
      <c r="F894" s="9">
        <v>48.7</v>
      </c>
      <c r="G894" s="9">
        <v>40</v>
      </c>
      <c r="H894" s="9">
        <v>9.6</v>
      </c>
      <c r="I894" s="9">
        <v>0.9</v>
      </c>
      <c r="J894" s="9">
        <v>0.63</v>
      </c>
      <c r="K894" s="9">
        <v>52.2</v>
      </c>
      <c r="L894" s="7">
        <v>26.9</v>
      </c>
      <c r="M894" s="7">
        <v>62.3</v>
      </c>
      <c r="N894" s="7">
        <v>0.9</v>
      </c>
      <c r="O894" s="7">
        <v>151</v>
      </c>
      <c r="P894" s="7" t="s">
        <v>33</v>
      </c>
      <c r="Q894" s="7" t="str">
        <f t="shared" si="52"/>
        <v>Good</v>
      </c>
      <c r="R894" s="7" t="str">
        <f t="shared" si="53"/>
        <v>Normal</v>
      </c>
      <c r="S894" s="7" t="str">
        <f t="shared" si="54"/>
        <v>High Humidity</v>
      </c>
      <c r="T894" s="7" t="str">
        <f t="shared" si="55"/>
        <v>Low Wind</v>
      </c>
    </row>
    <row r="895" spans="1:20" x14ac:dyDescent="0.25">
      <c r="A895" s="7" t="s">
        <v>956</v>
      </c>
      <c r="B895" s="10">
        <v>45797</v>
      </c>
      <c r="C895" s="11" t="s">
        <v>50</v>
      </c>
      <c r="D895" s="11" t="s">
        <v>31</v>
      </c>
      <c r="E895" s="7" t="s">
        <v>58</v>
      </c>
      <c r="F895" s="9">
        <v>81.3</v>
      </c>
      <c r="G895" s="9">
        <v>147.1</v>
      </c>
      <c r="H895" s="9">
        <v>87.1</v>
      </c>
      <c r="I895" s="9">
        <v>19.600000000000001</v>
      </c>
      <c r="J895" s="9">
        <v>0.82</v>
      </c>
      <c r="K895" s="9">
        <v>32.1</v>
      </c>
      <c r="L895" s="7">
        <v>20</v>
      </c>
      <c r="M895" s="7">
        <v>57.8</v>
      </c>
      <c r="N895" s="7">
        <v>2.8</v>
      </c>
      <c r="O895" s="7">
        <v>344</v>
      </c>
      <c r="P895" s="7" t="s">
        <v>20</v>
      </c>
      <c r="Q895" s="7" t="str">
        <f t="shared" si="52"/>
        <v>Unhealthy</v>
      </c>
      <c r="R895" s="7" t="str">
        <f t="shared" si="53"/>
        <v>Normal</v>
      </c>
      <c r="S895" s="7" t="str">
        <f t="shared" si="54"/>
        <v>Normal Humidity</v>
      </c>
      <c r="T895" s="7" t="str">
        <f t="shared" si="55"/>
        <v>Moderate Wind</v>
      </c>
    </row>
    <row r="896" spans="1:20" x14ac:dyDescent="0.25">
      <c r="A896" s="7" t="s">
        <v>957</v>
      </c>
      <c r="B896" s="10">
        <v>45924</v>
      </c>
      <c r="C896" s="11" t="s">
        <v>50</v>
      </c>
      <c r="D896" s="11" t="s">
        <v>31</v>
      </c>
      <c r="E896" s="7" t="s">
        <v>97</v>
      </c>
      <c r="F896" s="9">
        <v>33.200000000000003</v>
      </c>
      <c r="G896" s="9">
        <v>88.2</v>
      </c>
      <c r="H896" s="9">
        <v>53.6</v>
      </c>
      <c r="I896" s="9">
        <v>2.2000000000000002</v>
      </c>
      <c r="J896" s="9">
        <v>0.51</v>
      </c>
      <c r="K896" s="9">
        <v>30.3</v>
      </c>
      <c r="L896" s="7">
        <v>34.299999999999997</v>
      </c>
      <c r="M896" s="7">
        <v>57.2</v>
      </c>
      <c r="N896" s="7">
        <v>2</v>
      </c>
      <c r="O896" s="7">
        <v>181</v>
      </c>
      <c r="P896" s="7" t="s">
        <v>33</v>
      </c>
      <c r="Q896" s="7" t="str">
        <f t="shared" si="52"/>
        <v>Moderate</v>
      </c>
      <c r="R896" s="7" t="str">
        <f t="shared" si="53"/>
        <v>Hot</v>
      </c>
      <c r="S896" s="7" t="str">
        <f t="shared" si="54"/>
        <v>Normal Humidity</v>
      </c>
      <c r="T896" s="7" t="str">
        <f t="shared" si="55"/>
        <v>Moderate Wind</v>
      </c>
    </row>
    <row r="897" spans="1:20" x14ac:dyDescent="0.25">
      <c r="A897" s="7" t="s">
        <v>958</v>
      </c>
      <c r="B897" s="10">
        <v>45767</v>
      </c>
      <c r="C897" s="11" t="s">
        <v>93</v>
      </c>
      <c r="D897" s="11" t="s">
        <v>36</v>
      </c>
      <c r="E897" s="7" t="s">
        <v>58</v>
      </c>
      <c r="F897" s="9">
        <v>27.4</v>
      </c>
      <c r="G897" s="9">
        <v>124.9</v>
      </c>
      <c r="H897" s="9">
        <v>80.5</v>
      </c>
      <c r="I897" s="9">
        <v>9.6999999999999993</v>
      </c>
      <c r="J897" s="9">
        <v>0.13</v>
      </c>
      <c r="K897" s="9">
        <v>69.5</v>
      </c>
      <c r="L897" s="7">
        <v>28.4</v>
      </c>
      <c r="M897" s="7">
        <v>40.799999999999997</v>
      </c>
      <c r="N897" s="7">
        <v>2</v>
      </c>
      <c r="O897" s="7">
        <v>231</v>
      </c>
      <c r="P897" s="7" t="s">
        <v>28</v>
      </c>
      <c r="Q897" s="7" t="str">
        <f t="shared" si="52"/>
        <v>Unhealthy</v>
      </c>
      <c r="R897" s="7" t="str">
        <f t="shared" si="53"/>
        <v>Normal</v>
      </c>
      <c r="S897" s="7" t="str">
        <f t="shared" si="54"/>
        <v>Normal Humidity</v>
      </c>
      <c r="T897" s="7" t="str">
        <f t="shared" si="55"/>
        <v>Moderate Wind</v>
      </c>
    </row>
    <row r="898" spans="1:20" x14ac:dyDescent="0.25">
      <c r="A898" s="7" t="s">
        <v>959</v>
      </c>
      <c r="B898" s="10">
        <v>45828</v>
      </c>
      <c r="C898" s="11" t="s">
        <v>67</v>
      </c>
      <c r="D898" s="11" t="s">
        <v>18</v>
      </c>
      <c r="E898" s="7" t="s">
        <v>74</v>
      </c>
      <c r="F898" s="9">
        <v>32</v>
      </c>
      <c r="G898" s="9">
        <v>43.1</v>
      </c>
      <c r="H898" s="9">
        <v>12.9</v>
      </c>
      <c r="I898" s="9">
        <v>13.3</v>
      </c>
      <c r="J898" s="9">
        <v>1.18</v>
      </c>
      <c r="K898" s="9">
        <v>38.799999999999997</v>
      </c>
      <c r="L898" s="7">
        <v>21.6</v>
      </c>
      <c r="M898" s="7">
        <v>76.7</v>
      </c>
      <c r="N898" s="7">
        <v>1.8</v>
      </c>
      <c r="O898" s="7">
        <v>146</v>
      </c>
      <c r="P898" s="7" t="s">
        <v>33</v>
      </c>
      <c r="Q898" s="7" t="str">
        <f t="shared" si="52"/>
        <v>Good</v>
      </c>
      <c r="R898" s="7" t="str">
        <f t="shared" si="53"/>
        <v>Normal</v>
      </c>
      <c r="S898" s="7" t="str">
        <f t="shared" si="54"/>
        <v>High Humidity</v>
      </c>
      <c r="T898" s="7" t="str">
        <f t="shared" si="55"/>
        <v>Low Wind</v>
      </c>
    </row>
    <row r="899" spans="1:20" x14ac:dyDescent="0.25">
      <c r="A899" s="7" t="s">
        <v>960</v>
      </c>
      <c r="B899" s="10">
        <v>45696</v>
      </c>
      <c r="C899" s="11" t="s">
        <v>77</v>
      </c>
      <c r="D899" s="11" t="s">
        <v>39</v>
      </c>
      <c r="E899" s="7" t="s">
        <v>45</v>
      </c>
      <c r="F899" s="9">
        <v>80.2</v>
      </c>
      <c r="G899" s="9">
        <v>18.5</v>
      </c>
      <c r="H899" s="9">
        <v>62.2</v>
      </c>
      <c r="I899" s="9">
        <v>16.7</v>
      </c>
      <c r="J899" s="9">
        <v>0.45</v>
      </c>
      <c r="K899" s="9">
        <v>34.4</v>
      </c>
      <c r="L899" s="7">
        <v>20.2</v>
      </c>
      <c r="M899" s="7">
        <v>67.2</v>
      </c>
      <c r="N899" s="7">
        <v>1.6</v>
      </c>
      <c r="O899" s="7">
        <v>229</v>
      </c>
      <c r="P899" s="7" t="s">
        <v>28</v>
      </c>
      <c r="Q899" s="7" t="str">
        <f t="shared" ref="Q899:Q962" si="56">IF(G899&lt;50,"Good",IF(G899&lt;=100,"Moderate",IF(G899&lt;=150,"Unhealthy","VeryUnhealthy")))</f>
        <v>Good</v>
      </c>
      <c r="R899" s="7" t="str">
        <f t="shared" ref="R899:R962" si="57">IF(L899&lt;20,"Cool",IF(L899&lt;=30,"Normal","Hot"))</f>
        <v>Normal</v>
      </c>
      <c r="S899" s="7" t="str">
        <f t="shared" ref="S899:S962" si="58">IF(M899&lt;30,"Low Humidity",IF(M899&lt;=60,"Normal Humidity","High Humidity"))</f>
        <v>High Humidity</v>
      </c>
      <c r="T899" s="7" t="str">
        <f t="shared" ref="T899:T962" si="59">IF(N899&lt;2,"Low Wind",IF(N899&lt;=5,"Moderate Wind","High Wind"))</f>
        <v>Low Wind</v>
      </c>
    </row>
    <row r="900" spans="1:20" x14ac:dyDescent="0.25">
      <c r="A900" s="7" t="s">
        <v>961</v>
      </c>
      <c r="B900" s="10">
        <v>45957</v>
      </c>
      <c r="C900" s="11" t="s">
        <v>26</v>
      </c>
      <c r="D900" s="11" t="s">
        <v>23</v>
      </c>
      <c r="E900" s="7" t="s">
        <v>40</v>
      </c>
      <c r="F900" s="9">
        <v>87.9</v>
      </c>
      <c r="G900" s="9">
        <v>107.7</v>
      </c>
      <c r="H900" s="9">
        <v>33</v>
      </c>
      <c r="I900" s="9">
        <v>29.7</v>
      </c>
      <c r="J900" s="9">
        <v>0.52</v>
      </c>
      <c r="K900" s="9">
        <v>63.3</v>
      </c>
      <c r="L900" s="7">
        <v>19.600000000000001</v>
      </c>
      <c r="M900" s="7">
        <v>68.599999999999994</v>
      </c>
      <c r="N900" s="7">
        <v>1.3</v>
      </c>
      <c r="O900" s="7">
        <v>299</v>
      </c>
      <c r="P900" s="7" t="s">
        <v>28</v>
      </c>
      <c r="Q900" s="7" t="str">
        <f t="shared" si="56"/>
        <v>Unhealthy</v>
      </c>
      <c r="R900" s="7" t="str">
        <f t="shared" si="57"/>
        <v>Cool</v>
      </c>
      <c r="S900" s="7" t="str">
        <f t="shared" si="58"/>
        <v>High Humidity</v>
      </c>
      <c r="T900" s="7" t="str">
        <f t="shared" si="59"/>
        <v>Low Wind</v>
      </c>
    </row>
    <row r="901" spans="1:20" x14ac:dyDescent="0.25">
      <c r="A901" s="7" t="s">
        <v>962</v>
      </c>
      <c r="B901" s="10">
        <v>45688</v>
      </c>
      <c r="C901" s="11" t="s">
        <v>77</v>
      </c>
      <c r="D901" s="11" t="s">
        <v>39</v>
      </c>
      <c r="E901" s="7" t="s">
        <v>61</v>
      </c>
      <c r="F901" s="9">
        <v>13.4</v>
      </c>
      <c r="G901" s="9">
        <v>122.7</v>
      </c>
      <c r="H901" s="9">
        <v>16</v>
      </c>
      <c r="I901" s="9">
        <v>9.1</v>
      </c>
      <c r="J901" s="9">
        <v>0.21</v>
      </c>
      <c r="K901" s="9">
        <v>15.9</v>
      </c>
      <c r="L901" s="7">
        <v>35.5</v>
      </c>
      <c r="M901" s="7">
        <v>79.3</v>
      </c>
      <c r="N901" s="7">
        <v>2.2000000000000002</v>
      </c>
      <c r="O901" s="7">
        <v>133</v>
      </c>
      <c r="P901" s="7" t="s">
        <v>33</v>
      </c>
      <c r="Q901" s="7" t="str">
        <f t="shared" si="56"/>
        <v>Unhealthy</v>
      </c>
      <c r="R901" s="7" t="str">
        <f t="shared" si="57"/>
        <v>Hot</v>
      </c>
      <c r="S901" s="7" t="str">
        <f t="shared" si="58"/>
        <v>High Humidity</v>
      </c>
      <c r="T901" s="7" t="str">
        <f t="shared" si="59"/>
        <v>Moderate Wind</v>
      </c>
    </row>
    <row r="902" spans="1:20" x14ac:dyDescent="0.25">
      <c r="A902" s="7" t="s">
        <v>963</v>
      </c>
      <c r="B902" s="10">
        <v>46001</v>
      </c>
      <c r="C902" s="11" t="s">
        <v>35</v>
      </c>
      <c r="D902" s="11" t="s">
        <v>36</v>
      </c>
      <c r="E902" s="7" t="s">
        <v>97</v>
      </c>
      <c r="F902" s="9">
        <v>49.6</v>
      </c>
      <c r="G902" s="9">
        <v>110.9</v>
      </c>
      <c r="H902" s="9">
        <v>23.3</v>
      </c>
      <c r="I902" s="9">
        <v>40.6</v>
      </c>
      <c r="J902" s="9">
        <v>1.32</v>
      </c>
      <c r="K902" s="9">
        <v>41.1</v>
      </c>
      <c r="L902" s="7">
        <v>21.7</v>
      </c>
      <c r="M902" s="7">
        <v>54.1</v>
      </c>
      <c r="N902" s="7">
        <v>1.2</v>
      </c>
      <c r="O902" s="7">
        <v>250</v>
      </c>
      <c r="P902" s="7" t="s">
        <v>28</v>
      </c>
      <c r="Q902" s="7" t="str">
        <f t="shared" si="56"/>
        <v>Unhealthy</v>
      </c>
      <c r="R902" s="7" t="str">
        <f t="shared" si="57"/>
        <v>Normal</v>
      </c>
      <c r="S902" s="7" t="str">
        <f t="shared" si="58"/>
        <v>Normal Humidity</v>
      </c>
      <c r="T902" s="7" t="str">
        <f t="shared" si="59"/>
        <v>Low Wind</v>
      </c>
    </row>
    <row r="903" spans="1:20" x14ac:dyDescent="0.25">
      <c r="A903" s="7" t="s">
        <v>964</v>
      </c>
      <c r="B903" s="10">
        <v>45810</v>
      </c>
      <c r="C903" s="11" t="s">
        <v>67</v>
      </c>
      <c r="D903" s="11" t="s">
        <v>18</v>
      </c>
      <c r="E903" s="7" t="s">
        <v>58</v>
      </c>
      <c r="F903" s="9">
        <v>14.9</v>
      </c>
      <c r="G903" s="9">
        <v>39</v>
      </c>
      <c r="H903" s="9">
        <v>10</v>
      </c>
      <c r="I903" s="9">
        <v>21.8</v>
      </c>
      <c r="J903" s="9">
        <v>0.75</v>
      </c>
      <c r="K903" s="9">
        <v>15.1</v>
      </c>
      <c r="L903" s="7">
        <v>33.5</v>
      </c>
      <c r="M903" s="7">
        <v>79.3</v>
      </c>
      <c r="N903" s="7">
        <v>2.9</v>
      </c>
      <c r="O903" s="7">
        <v>98</v>
      </c>
      <c r="P903" s="7" t="s">
        <v>71</v>
      </c>
      <c r="Q903" s="7" t="str">
        <f t="shared" si="56"/>
        <v>Good</v>
      </c>
      <c r="R903" s="7" t="str">
        <f t="shared" si="57"/>
        <v>Hot</v>
      </c>
      <c r="S903" s="7" t="str">
        <f t="shared" si="58"/>
        <v>High Humidity</v>
      </c>
      <c r="T903" s="7" t="str">
        <f t="shared" si="59"/>
        <v>Moderate Wind</v>
      </c>
    </row>
    <row r="904" spans="1:20" x14ac:dyDescent="0.25">
      <c r="A904" s="7" t="s">
        <v>965</v>
      </c>
      <c r="B904" s="10">
        <v>45766</v>
      </c>
      <c r="C904" s="11" t="s">
        <v>64</v>
      </c>
      <c r="D904" s="11" t="s">
        <v>36</v>
      </c>
      <c r="E904" s="7" t="s">
        <v>97</v>
      </c>
      <c r="F904" s="9">
        <v>29.3</v>
      </c>
      <c r="G904" s="9">
        <v>148.30000000000001</v>
      </c>
      <c r="H904" s="9">
        <v>13.4</v>
      </c>
      <c r="I904" s="9">
        <v>18</v>
      </c>
      <c r="J904" s="9">
        <v>0.94</v>
      </c>
      <c r="K904" s="9">
        <v>41.4</v>
      </c>
      <c r="L904" s="7">
        <v>30.2</v>
      </c>
      <c r="M904" s="7">
        <v>55.3</v>
      </c>
      <c r="N904" s="7">
        <v>1.2</v>
      </c>
      <c r="O904" s="7">
        <v>209</v>
      </c>
      <c r="P904" s="7" t="s">
        <v>28</v>
      </c>
      <c r="Q904" s="7" t="str">
        <f t="shared" si="56"/>
        <v>Unhealthy</v>
      </c>
      <c r="R904" s="7" t="str">
        <f t="shared" si="57"/>
        <v>Hot</v>
      </c>
      <c r="S904" s="7" t="str">
        <f t="shared" si="58"/>
        <v>Normal Humidity</v>
      </c>
      <c r="T904" s="7" t="str">
        <f t="shared" si="59"/>
        <v>Low Wind</v>
      </c>
    </row>
    <row r="905" spans="1:20" x14ac:dyDescent="0.25">
      <c r="A905" s="7" t="s">
        <v>966</v>
      </c>
      <c r="B905" s="10">
        <v>45825</v>
      </c>
      <c r="C905" s="11" t="s">
        <v>42</v>
      </c>
      <c r="D905" s="11" t="s">
        <v>23</v>
      </c>
      <c r="E905" s="7" t="s">
        <v>91</v>
      </c>
      <c r="F905" s="9">
        <v>40.6</v>
      </c>
      <c r="G905" s="9">
        <v>105.4</v>
      </c>
      <c r="H905" s="9">
        <v>26.5</v>
      </c>
      <c r="I905" s="9">
        <v>9.1999999999999993</v>
      </c>
      <c r="J905" s="9">
        <v>2.2400000000000002</v>
      </c>
      <c r="K905" s="9">
        <v>37.6</v>
      </c>
      <c r="L905" s="7">
        <v>26.2</v>
      </c>
      <c r="M905" s="7">
        <v>48.6</v>
      </c>
      <c r="N905" s="7">
        <v>3.1</v>
      </c>
      <c r="O905" s="7">
        <v>234</v>
      </c>
      <c r="P905" s="7" t="s">
        <v>28</v>
      </c>
      <c r="Q905" s="7" t="str">
        <f t="shared" si="56"/>
        <v>Unhealthy</v>
      </c>
      <c r="R905" s="7" t="str">
        <f t="shared" si="57"/>
        <v>Normal</v>
      </c>
      <c r="S905" s="7" t="str">
        <f t="shared" si="58"/>
        <v>Normal Humidity</v>
      </c>
      <c r="T905" s="7" t="str">
        <f t="shared" si="59"/>
        <v>Moderate Wind</v>
      </c>
    </row>
    <row r="906" spans="1:20" x14ac:dyDescent="0.25">
      <c r="A906" s="7" t="s">
        <v>967</v>
      </c>
      <c r="B906" s="10">
        <v>45885</v>
      </c>
      <c r="C906" s="11" t="s">
        <v>54</v>
      </c>
      <c r="D906" s="11" t="s">
        <v>18</v>
      </c>
      <c r="E906" s="7" t="s">
        <v>45</v>
      </c>
      <c r="F906" s="9">
        <v>65.900000000000006</v>
      </c>
      <c r="G906" s="9">
        <v>85.9</v>
      </c>
      <c r="H906" s="9">
        <v>60.4</v>
      </c>
      <c r="I906" s="9">
        <v>13.6</v>
      </c>
      <c r="J906" s="9">
        <v>0.41</v>
      </c>
      <c r="K906" s="9">
        <v>91.6</v>
      </c>
      <c r="L906" s="7">
        <v>25</v>
      </c>
      <c r="M906" s="7">
        <v>65.5</v>
      </c>
      <c r="N906" s="7">
        <v>1.3</v>
      </c>
      <c r="O906" s="7">
        <v>271</v>
      </c>
      <c r="P906" s="7" t="s">
        <v>28</v>
      </c>
      <c r="Q906" s="7" t="str">
        <f t="shared" si="56"/>
        <v>Moderate</v>
      </c>
      <c r="R906" s="7" t="str">
        <f t="shared" si="57"/>
        <v>Normal</v>
      </c>
      <c r="S906" s="7" t="str">
        <f t="shared" si="58"/>
        <v>High Humidity</v>
      </c>
      <c r="T906" s="7" t="str">
        <f t="shared" si="59"/>
        <v>Low Wind</v>
      </c>
    </row>
    <row r="907" spans="1:20" x14ac:dyDescent="0.25">
      <c r="A907" s="7" t="s">
        <v>968</v>
      </c>
      <c r="B907" s="10">
        <v>46012</v>
      </c>
      <c r="C907" s="11" t="s">
        <v>93</v>
      </c>
      <c r="D907" s="11" t="s">
        <v>36</v>
      </c>
      <c r="E907" s="7" t="s">
        <v>45</v>
      </c>
      <c r="F907" s="9">
        <v>33.5</v>
      </c>
      <c r="G907" s="9">
        <v>54.6</v>
      </c>
      <c r="H907" s="9">
        <v>50.2</v>
      </c>
      <c r="I907" s="9">
        <v>9.6999999999999993</v>
      </c>
      <c r="J907" s="9">
        <v>1.51</v>
      </c>
      <c r="K907" s="9">
        <v>44</v>
      </c>
      <c r="L907" s="7">
        <v>29.1</v>
      </c>
      <c r="M907" s="7">
        <v>72.599999999999994</v>
      </c>
      <c r="N907" s="7">
        <v>2</v>
      </c>
      <c r="O907" s="7">
        <v>194</v>
      </c>
      <c r="P907" s="7" t="s">
        <v>33</v>
      </c>
      <c r="Q907" s="7" t="str">
        <f t="shared" si="56"/>
        <v>Moderate</v>
      </c>
      <c r="R907" s="7" t="str">
        <f t="shared" si="57"/>
        <v>Normal</v>
      </c>
      <c r="S907" s="7" t="str">
        <f t="shared" si="58"/>
        <v>High Humidity</v>
      </c>
      <c r="T907" s="7" t="str">
        <f t="shared" si="59"/>
        <v>Moderate Wind</v>
      </c>
    </row>
    <row r="908" spans="1:20" x14ac:dyDescent="0.25">
      <c r="A908" s="7" t="s">
        <v>969</v>
      </c>
      <c r="B908" s="10">
        <v>46005</v>
      </c>
      <c r="C908" s="11" t="s">
        <v>35</v>
      </c>
      <c r="D908" s="11" t="s">
        <v>36</v>
      </c>
      <c r="E908" s="7" t="s">
        <v>58</v>
      </c>
      <c r="F908" s="9">
        <v>62.3</v>
      </c>
      <c r="G908" s="9">
        <v>50.2</v>
      </c>
      <c r="H908" s="9">
        <v>34.1</v>
      </c>
      <c r="I908" s="9">
        <v>18.3</v>
      </c>
      <c r="J908" s="9">
        <v>0.16</v>
      </c>
      <c r="K908" s="9">
        <v>21.6</v>
      </c>
      <c r="L908" s="7">
        <v>27</v>
      </c>
      <c r="M908" s="7">
        <v>57.7</v>
      </c>
      <c r="N908" s="7">
        <v>0.6</v>
      </c>
      <c r="O908" s="7">
        <v>186</v>
      </c>
      <c r="P908" s="7" t="s">
        <v>33</v>
      </c>
      <c r="Q908" s="7" t="str">
        <f t="shared" si="56"/>
        <v>Moderate</v>
      </c>
      <c r="R908" s="7" t="str">
        <f t="shared" si="57"/>
        <v>Normal</v>
      </c>
      <c r="S908" s="7" t="str">
        <f t="shared" si="58"/>
        <v>Normal Humidity</v>
      </c>
      <c r="T908" s="7" t="str">
        <f t="shared" si="59"/>
        <v>Low Wind</v>
      </c>
    </row>
    <row r="909" spans="1:20" x14ac:dyDescent="0.25">
      <c r="A909" s="7" t="s">
        <v>970</v>
      </c>
      <c r="B909" s="10">
        <v>45900</v>
      </c>
      <c r="C909" s="11" t="s">
        <v>30</v>
      </c>
      <c r="D909" s="11" t="s">
        <v>31</v>
      </c>
      <c r="E909" s="7" t="s">
        <v>32</v>
      </c>
      <c r="F909" s="9">
        <v>25.2</v>
      </c>
      <c r="G909" s="9">
        <v>122.5</v>
      </c>
      <c r="H909" s="9">
        <v>72.8</v>
      </c>
      <c r="I909" s="9">
        <v>18.600000000000001</v>
      </c>
      <c r="J909" s="9">
        <v>0.19</v>
      </c>
      <c r="K909" s="9">
        <v>23.6</v>
      </c>
      <c r="L909" s="7">
        <v>21.3</v>
      </c>
      <c r="M909" s="7">
        <v>61.3</v>
      </c>
      <c r="N909" s="7">
        <v>1.7</v>
      </c>
      <c r="O909" s="7">
        <v>207</v>
      </c>
      <c r="P909" s="7" t="s">
        <v>28</v>
      </c>
      <c r="Q909" s="7" t="str">
        <f t="shared" si="56"/>
        <v>Unhealthy</v>
      </c>
      <c r="R909" s="7" t="str">
        <f t="shared" si="57"/>
        <v>Normal</v>
      </c>
      <c r="S909" s="7" t="str">
        <f t="shared" si="58"/>
        <v>High Humidity</v>
      </c>
      <c r="T909" s="7" t="str">
        <f t="shared" si="59"/>
        <v>Low Wind</v>
      </c>
    </row>
    <row r="910" spans="1:20" x14ac:dyDescent="0.25">
      <c r="A910" s="7" t="s">
        <v>971</v>
      </c>
      <c r="B910" s="10">
        <v>46014</v>
      </c>
      <c r="C910" s="11" t="s">
        <v>35</v>
      </c>
      <c r="D910" s="11" t="s">
        <v>36</v>
      </c>
      <c r="E910" s="7" t="s">
        <v>19</v>
      </c>
      <c r="F910" s="9">
        <v>23.9</v>
      </c>
      <c r="G910" s="9">
        <v>119.5</v>
      </c>
      <c r="H910" s="9">
        <v>23.4</v>
      </c>
      <c r="I910" s="9">
        <v>5.8</v>
      </c>
      <c r="J910" s="9">
        <v>0.25</v>
      </c>
      <c r="K910" s="9">
        <v>29.7</v>
      </c>
      <c r="L910" s="7">
        <v>21.5</v>
      </c>
      <c r="M910" s="7">
        <v>56</v>
      </c>
      <c r="N910" s="7">
        <v>2.9</v>
      </c>
      <c r="O910" s="7">
        <v>158</v>
      </c>
      <c r="P910" s="7" t="s">
        <v>33</v>
      </c>
      <c r="Q910" s="7" t="str">
        <f t="shared" si="56"/>
        <v>Unhealthy</v>
      </c>
      <c r="R910" s="7" t="str">
        <f t="shared" si="57"/>
        <v>Normal</v>
      </c>
      <c r="S910" s="7" t="str">
        <f t="shared" si="58"/>
        <v>Normal Humidity</v>
      </c>
      <c r="T910" s="7" t="str">
        <f t="shared" si="59"/>
        <v>Moderate Wind</v>
      </c>
    </row>
    <row r="911" spans="1:20" x14ac:dyDescent="0.25">
      <c r="A911" s="7" t="s">
        <v>972</v>
      </c>
      <c r="B911" s="10">
        <v>45739</v>
      </c>
      <c r="C911" s="11" t="s">
        <v>35</v>
      </c>
      <c r="D911" s="11" t="s">
        <v>36</v>
      </c>
      <c r="E911" s="7" t="s">
        <v>43</v>
      </c>
      <c r="F911" s="9">
        <v>15</v>
      </c>
      <c r="G911" s="9">
        <v>90.2</v>
      </c>
      <c r="H911" s="9">
        <v>23.5</v>
      </c>
      <c r="I911" s="9">
        <v>4.8</v>
      </c>
      <c r="J911" s="9">
        <v>0.83</v>
      </c>
      <c r="K911" s="9">
        <v>70.8</v>
      </c>
      <c r="L911" s="7">
        <v>31.3</v>
      </c>
      <c r="M911" s="7">
        <v>81.7</v>
      </c>
      <c r="N911" s="7">
        <v>2.1</v>
      </c>
      <c r="O911" s="7">
        <v>157</v>
      </c>
      <c r="P911" s="7" t="s">
        <v>33</v>
      </c>
      <c r="Q911" s="7" t="str">
        <f t="shared" si="56"/>
        <v>Moderate</v>
      </c>
      <c r="R911" s="7" t="str">
        <f t="shared" si="57"/>
        <v>Hot</v>
      </c>
      <c r="S911" s="7" t="str">
        <f t="shared" si="58"/>
        <v>High Humidity</v>
      </c>
      <c r="T911" s="7" t="str">
        <f t="shared" si="59"/>
        <v>Moderate Wind</v>
      </c>
    </row>
    <row r="912" spans="1:20" x14ac:dyDescent="0.25">
      <c r="A912" s="7" t="s">
        <v>973</v>
      </c>
      <c r="B912" s="10">
        <v>45665</v>
      </c>
      <c r="C912" s="11" t="s">
        <v>38</v>
      </c>
      <c r="D912" s="11" t="s">
        <v>39</v>
      </c>
      <c r="E912" s="7" t="s">
        <v>32</v>
      </c>
      <c r="F912" s="9">
        <v>46.7</v>
      </c>
      <c r="G912" s="9">
        <v>55.5</v>
      </c>
      <c r="H912" s="9">
        <v>16.399999999999999</v>
      </c>
      <c r="I912" s="9">
        <v>3.9</v>
      </c>
      <c r="J912" s="9">
        <v>0.33</v>
      </c>
      <c r="K912" s="9">
        <v>19.600000000000001</v>
      </c>
      <c r="L912" s="7">
        <v>20.5</v>
      </c>
      <c r="M912" s="7">
        <v>90.6</v>
      </c>
      <c r="N912" s="7">
        <v>2.2000000000000002</v>
      </c>
      <c r="O912" s="7">
        <v>144</v>
      </c>
      <c r="P912" s="7" t="s">
        <v>33</v>
      </c>
      <c r="Q912" s="7" t="str">
        <f t="shared" si="56"/>
        <v>Moderate</v>
      </c>
      <c r="R912" s="7" t="str">
        <f t="shared" si="57"/>
        <v>Normal</v>
      </c>
      <c r="S912" s="7" t="str">
        <f t="shared" si="58"/>
        <v>High Humidity</v>
      </c>
      <c r="T912" s="7" t="str">
        <f t="shared" si="59"/>
        <v>Moderate Wind</v>
      </c>
    </row>
    <row r="913" spans="1:20" x14ac:dyDescent="0.25">
      <c r="A913" s="7" t="s">
        <v>974</v>
      </c>
      <c r="B913" s="10">
        <v>45907</v>
      </c>
      <c r="C913" s="11" t="s">
        <v>22</v>
      </c>
      <c r="D913" s="11" t="s">
        <v>23</v>
      </c>
      <c r="E913" s="7" t="s">
        <v>24</v>
      </c>
      <c r="F913" s="9">
        <v>55.2</v>
      </c>
      <c r="G913" s="9">
        <v>122.1</v>
      </c>
      <c r="H913" s="9">
        <v>35.6</v>
      </c>
      <c r="I913" s="9">
        <v>9</v>
      </c>
      <c r="J913" s="9">
        <v>1.08</v>
      </c>
      <c r="K913" s="9">
        <v>28.4</v>
      </c>
      <c r="L913" s="7">
        <v>33.299999999999997</v>
      </c>
      <c r="M913" s="7">
        <v>71.8</v>
      </c>
      <c r="N913" s="7">
        <v>2</v>
      </c>
      <c r="O913" s="7">
        <v>242</v>
      </c>
      <c r="P913" s="7" t="s">
        <v>28</v>
      </c>
      <c r="Q913" s="7" t="str">
        <f t="shared" si="56"/>
        <v>Unhealthy</v>
      </c>
      <c r="R913" s="7" t="str">
        <f t="shared" si="57"/>
        <v>Hot</v>
      </c>
      <c r="S913" s="7" t="str">
        <f t="shared" si="58"/>
        <v>High Humidity</v>
      </c>
      <c r="T913" s="7" t="str">
        <f t="shared" si="59"/>
        <v>Moderate Wind</v>
      </c>
    </row>
    <row r="914" spans="1:20" x14ac:dyDescent="0.25">
      <c r="A914" s="7" t="s">
        <v>975</v>
      </c>
      <c r="B914" s="10">
        <v>46003</v>
      </c>
      <c r="C914" s="11" t="s">
        <v>81</v>
      </c>
      <c r="D914" s="11" t="s">
        <v>39</v>
      </c>
      <c r="E914" s="7" t="s">
        <v>70</v>
      </c>
      <c r="F914" s="9">
        <v>7.1</v>
      </c>
      <c r="G914" s="9">
        <v>230.4</v>
      </c>
      <c r="H914" s="9">
        <v>48.1</v>
      </c>
      <c r="I914" s="9">
        <v>3.1</v>
      </c>
      <c r="J914" s="9">
        <v>0.73</v>
      </c>
      <c r="K914" s="9">
        <v>48.4</v>
      </c>
      <c r="L914" s="7">
        <v>23.3</v>
      </c>
      <c r="M914" s="7">
        <v>69.599999999999994</v>
      </c>
      <c r="N914" s="7">
        <v>0.6</v>
      </c>
      <c r="O914" s="7">
        <v>242</v>
      </c>
      <c r="P914" s="7" t="s">
        <v>28</v>
      </c>
      <c r="Q914" s="7" t="str">
        <f t="shared" si="56"/>
        <v>VeryUnhealthy</v>
      </c>
      <c r="R914" s="7" t="str">
        <f t="shared" si="57"/>
        <v>Normal</v>
      </c>
      <c r="S914" s="7" t="str">
        <f t="shared" si="58"/>
        <v>High Humidity</v>
      </c>
      <c r="T914" s="7" t="str">
        <f t="shared" si="59"/>
        <v>Low Wind</v>
      </c>
    </row>
    <row r="915" spans="1:20" x14ac:dyDescent="0.25">
      <c r="A915" s="7" t="s">
        <v>976</v>
      </c>
      <c r="B915" s="10">
        <v>45662</v>
      </c>
      <c r="C915" s="11" t="s">
        <v>54</v>
      </c>
      <c r="D915" s="11" t="s">
        <v>18</v>
      </c>
      <c r="E915" s="7" t="s">
        <v>43</v>
      </c>
      <c r="F915" s="9">
        <v>82.4</v>
      </c>
      <c r="G915" s="9">
        <v>82.1</v>
      </c>
      <c r="H915" s="9">
        <v>5</v>
      </c>
      <c r="I915" s="9">
        <v>8.3000000000000007</v>
      </c>
      <c r="J915" s="9">
        <v>1.02</v>
      </c>
      <c r="K915" s="9">
        <v>13.9</v>
      </c>
      <c r="L915" s="7">
        <v>26.3</v>
      </c>
      <c r="M915" s="7">
        <v>30.1</v>
      </c>
      <c r="N915" s="7">
        <v>3.3</v>
      </c>
      <c r="O915" s="7">
        <v>227</v>
      </c>
      <c r="P915" s="7" t="s">
        <v>28</v>
      </c>
      <c r="Q915" s="7" t="str">
        <f t="shared" si="56"/>
        <v>Moderate</v>
      </c>
      <c r="R915" s="7" t="str">
        <f t="shared" si="57"/>
        <v>Normal</v>
      </c>
      <c r="S915" s="7" t="str">
        <f t="shared" si="58"/>
        <v>Normal Humidity</v>
      </c>
      <c r="T915" s="7" t="str">
        <f t="shared" si="59"/>
        <v>Moderate Wind</v>
      </c>
    </row>
    <row r="916" spans="1:20" x14ac:dyDescent="0.25">
      <c r="A916" s="7" t="s">
        <v>977</v>
      </c>
      <c r="B916" s="10">
        <v>45981</v>
      </c>
      <c r="C916" s="11" t="s">
        <v>67</v>
      </c>
      <c r="D916" s="11" t="s">
        <v>18</v>
      </c>
      <c r="E916" s="7" t="s">
        <v>61</v>
      </c>
      <c r="F916" s="9">
        <v>63</v>
      </c>
      <c r="G916" s="9">
        <v>92.6</v>
      </c>
      <c r="H916" s="9">
        <v>7.3</v>
      </c>
      <c r="I916" s="9">
        <v>23.5</v>
      </c>
      <c r="J916" s="9">
        <v>0.66</v>
      </c>
      <c r="K916" s="9">
        <v>84.6</v>
      </c>
      <c r="L916" s="7">
        <v>30.1</v>
      </c>
      <c r="M916" s="7">
        <v>75.400000000000006</v>
      </c>
      <c r="N916" s="7">
        <v>1.7</v>
      </c>
      <c r="O916" s="7">
        <v>238</v>
      </c>
      <c r="P916" s="7" t="s">
        <v>28</v>
      </c>
      <c r="Q916" s="7" t="str">
        <f t="shared" si="56"/>
        <v>Moderate</v>
      </c>
      <c r="R916" s="7" t="str">
        <f t="shared" si="57"/>
        <v>Hot</v>
      </c>
      <c r="S916" s="7" t="str">
        <f t="shared" si="58"/>
        <v>High Humidity</v>
      </c>
      <c r="T916" s="7" t="str">
        <f t="shared" si="59"/>
        <v>Low Wind</v>
      </c>
    </row>
    <row r="917" spans="1:20" x14ac:dyDescent="0.25">
      <c r="A917" s="7" t="s">
        <v>978</v>
      </c>
      <c r="B917" s="10">
        <v>45929</v>
      </c>
      <c r="C917" s="11" t="s">
        <v>52</v>
      </c>
      <c r="D917" s="11" t="s">
        <v>31</v>
      </c>
      <c r="E917" s="7" t="s">
        <v>27</v>
      </c>
      <c r="F917" s="9">
        <v>32.9</v>
      </c>
      <c r="G917" s="9">
        <v>97.7</v>
      </c>
      <c r="H917" s="9">
        <v>41.6</v>
      </c>
      <c r="I917" s="9">
        <v>2.6</v>
      </c>
      <c r="J917" s="9">
        <v>0.46</v>
      </c>
      <c r="K917" s="9">
        <v>60.8</v>
      </c>
      <c r="L917" s="7">
        <v>34.700000000000003</v>
      </c>
      <c r="M917" s="7">
        <v>28.8</v>
      </c>
      <c r="N917" s="7">
        <v>1.9</v>
      </c>
      <c r="O917" s="7">
        <v>190</v>
      </c>
      <c r="P917" s="7" t="s">
        <v>33</v>
      </c>
      <c r="Q917" s="7" t="str">
        <f t="shared" si="56"/>
        <v>Moderate</v>
      </c>
      <c r="R917" s="7" t="str">
        <f t="shared" si="57"/>
        <v>Hot</v>
      </c>
      <c r="S917" s="7" t="str">
        <f t="shared" si="58"/>
        <v>Low Humidity</v>
      </c>
      <c r="T917" s="7" t="str">
        <f t="shared" si="59"/>
        <v>Low Wind</v>
      </c>
    </row>
    <row r="918" spans="1:20" x14ac:dyDescent="0.25">
      <c r="A918" s="7" t="s">
        <v>979</v>
      </c>
      <c r="B918" s="10">
        <v>45930</v>
      </c>
      <c r="C918" s="11" t="s">
        <v>77</v>
      </c>
      <c r="D918" s="11" t="s">
        <v>39</v>
      </c>
      <c r="E918" s="7" t="s">
        <v>74</v>
      </c>
      <c r="F918" s="9">
        <v>39</v>
      </c>
      <c r="G918" s="9">
        <v>69</v>
      </c>
      <c r="H918" s="9">
        <v>23.6</v>
      </c>
      <c r="I918" s="9">
        <v>3.6</v>
      </c>
      <c r="J918" s="9">
        <v>0.88</v>
      </c>
      <c r="K918" s="9">
        <v>44.5</v>
      </c>
      <c r="L918" s="7">
        <v>32.299999999999997</v>
      </c>
      <c r="M918" s="7">
        <v>46.2</v>
      </c>
      <c r="N918" s="7">
        <v>2.7</v>
      </c>
      <c r="O918" s="7">
        <v>171</v>
      </c>
      <c r="P918" s="7" t="s">
        <v>33</v>
      </c>
      <c r="Q918" s="7" t="str">
        <f t="shared" si="56"/>
        <v>Moderate</v>
      </c>
      <c r="R918" s="7" t="str">
        <f t="shared" si="57"/>
        <v>Hot</v>
      </c>
      <c r="S918" s="7" t="str">
        <f t="shared" si="58"/>
        <v>Normal Humidity</v>
      </c>
      <c r="T918" s="7" t="str">
        <f t="shared" si="59"/>
        <v>Moderate Wind</v>
      </c>
    </row>
    <row r="919" spans="1:20" x14ac:dyDescent="0.25">
      <c r="A919" s="7" t="s">
        <v>980</v>
      </c>
      <c r="B919" s="10">
        <v>45772</v>
      </c>
      <c r="C919" s="11" t="s">
        <v>93</v>
      </c>
      <c r="D919" s="11" t="s">
        <v>36</v>
      </c>
      <c r="E919" s="7" t="s">
        <v>24</v>
      </c>
      <c r="F919" s="9">
        <v>60.9</v>
      </c>
      <c r="G919" s="9">
        <v>92.4</v>
      </c>
      <c r="H919" s="9">
        <v>6.8</v>
      </c>
      <c r="I919" s="9">
        <v>15.7</v>
      </c>
      <c r="J919" s="9">
        <v>0.23</v>
      </c>
      <c r="K919" s="9">
        <v>10.199999999999999</v>
      </c>
      <c r="L919" s="7">
        <v>22.8</v>
      </c>
      <c r="M919" s="7">
        <v>48.5</v>
      </c>
      <c r="N919" s="7">
        <v>3.4</v>
      </c>
      <c r="O919" s="7">
        <v>184</v>
      </c>
      <c r="P919" s="7" t="s">
        <v>33</v>
      </c>
      <c r="Q919" s="7" t="str">
        <f t="shared" si="56"/>
        <v>Moderate</v>
      </c>
      <c r="R919" s="7" t="str">
        <f t="shared" si="57"/>
        <v>Normal</v>
      </c>
      <c r="S919" s="7" t="str">
        <f t="shared" si="58"/>
        <v>Normal Humidity</v>
      </c>
      <c r="T919" s="7" t="str">
        <f t="shared" si="59"/>
        <v>Moderate Wind</v>
      </c>
    </row>
    <row r="920" spans="1:20" x14ac:dyDescent="0.25">
      <c r="A920" s="7" t="s">
        <v>981</v>
      </c>
      <c r="B920" s="10">
        <v>45958</v>
      </c>
      <c r="C920" s="11" t="s">
        <v>17</v>
      </c>
      <c r="D920" s="11" t="s">
        <v>18</v>
      </c>
      <c r="E920" s="7" t="s">
        <v>19</v>
      </c>
      <c r="F920" s="9">
        <v>77.8</v>
      </c>
      <c r="G920" s="9">
        <v>56.5</v>
      </c>
      <c r="H920" s="9">
        <v>57.1</v>
      </c>
      <c r="I920" s="9">
        <v>13</v>
      </c>
      <c r="J920" s="9">
        <v>0.27</v>
      </c>
      <c r="K920" s="9">
        <v>21.4</v>
      </c>
      <c r="L920" s="7">
        <v>32.4</v>
      </c>
      <c r="M920" s="7">
        <v>70</v>
      </c>
      <c r="N920" s="7">
        <v>5.2</v>
      </c>
      <c r="O920" s="7">
        <v>232</v>
      </c>
      <c r="P920" s="7" t="s">
        <v>28</v>
      </c>
      <c r="Q920" s="7" t="str">
        <f t="shared" si="56"/>
        <v>Moderate</v>
      </c>
      <c r="R920" s="7" t="str">
        <f t="shared" si="57"/>
        <v>Hot</v>
      </c>
      <c r="S920" s="7" t="str">
        <f t="shared" si="58"/>
        <v>High Humidity</v>
      </c>
      <c r="T920" s="7" t="str">
        <f t="shared" si="59"/>
        <v>High Wind</v>
      </c>
    </row>
    <row r="921" spans="1:20" x14ac:dyDescent="0.25">
      <c r="A921" s="7" t="s">
        <v>982</v>
      </c>
      <c r="B921" s="10">
        <v>45905</v>
      </c>
      <c r="C921" s="11" t="s">
        <v>42</v>
      </c>
      <c r="D921" s="11" t="s">
        <v>23</v>
      </c>
      <c r="E921" s="7" t="s">
        <v>55</v>
      </c>
      <c r="F921" s="9">
        <v>70.2</v>
      </c>
      <c r="G921" s="9">
        <v>69.400000000000006</v>
      </c>
      <c r="H921" s="9">
        <v>31.5</v>
      </c>
      <c r="I921" s="9">
        <v>12.4</v>
      </c>
      <c r="J921" s="9">
        <v>0.46</v>
      </c>
      <c r="K921" s="9">
        <v>42.1</v>
      </c>
      <c r="L921" s="7">
        <v>28.7</v>
      </c>
      <c r="M921" s="7">
        <v>59.4</v>
      </c>
      <c r="N921" s="7">
        <v>2.8</v>
      </c>
      <c r="O921" s="7">
        <v>222</v>
      </c>
      <c r="P921" s="7" t="s">
        <v>28</v>
      </c>
      <c r="Q921" s="7" t="str">
        <f t="shared" si="56"/>
        <v>Moderate</v>
      </c>
      <c r="R921" s="7" t="str">
        <f t="shared" si="57"/>
        <v>Normal</v>
      </c>
      <c r="S921" s="7" t="str">
        <f t="shared" si="58"/>
        <v>Normal Humidity</v>
      </c>
      <c r="T921" s="7" t="str">
        <f t="shared" si="59"/>
        <v>Moderate Wind</v>
      </c>
    </row>
    <row r="922" spans="1:20" x14ac:dyDescent="0.25">
      <c r="A922" s="7" t="s">
        <v>984</v>
      </c>
      <c r="B922" s="10">
        <v>45957</v>
      </c>
      <c r="C922" s="11" t="s">
        <v>52</v>
      </c>
      <c r="D922" s="11" t="s">
        <v>31</v>
      </c>
      <c r="E922" s="7" t="s">
        <v>24</v>
      </c>
      <c r="F922" s="9">
        <v>20.2</v>
      </c>
      <c r="G922" s="9">
        <v>130.6</v>
      </c>
      <c r="H922" s="9">
        <v>30.7</v>
      </c>
      <c r="I922" s="9">
        <v>19.399999999999999</v>
      </c>
      <c r="J922" s="9">
        <v>1.0900000000000001</v>
      </c>
      <c r="K922" s="9">
        <v>105</v>
      </c>
      <c r="L922" s="7">
        <v>22.9</v>
      </c>
      <c r="M922" s="7">
        <v>49.8</v>
      </c>
      <c r="N922" s="7">
        <v>3.6</v>
      </c>
      <c r="O922" s="7">
        <v>230</v>
      </c>
      <c r="P922" s="7" t="s">
        <v>28</v>
      </c>
      <c r="Q922" s="7" t="str">
        <f t="shared" si="56"/>
        <v>Unhealthy</v>
      </c>
      <c r="R922" s="7" t="str">
        <f t="shared" si="57"/>
        <v>Normal</v>
      </c>
      <c r="S922" s="7" t="str">
        <f t="shared" si="58"/>
        <v>Normal Humidity</v>
      </c>
      <c r="T922" s="7" t="str">
        <f t="shared" si="59"/>
        <v>Moderate Wind</v>
      </c>
    </row>
    <row r="923" spans="1:20" x14ac:dyDescent="0.25">
      <c r="A923" s="7" t="s">
        <v>985</v>
      </c>
      <c r="B923" s="10">
        <v>46006</v>
      </c>
      <c r="C923" s="11" t="s">
        <v>17</v>
      </c>
      <c r="D923" s="11" t="s">
        <v>18</v>
      </c>
      <c r="E923" s="7" t="s">
        <v>70</v>
      </c>
      <c r="F923" s="9">
        <v>53.9</v>
      </c>
      <c r="G923" s="9">
        <v>138.30000000000001</v>
      </c>
      <c r="H923" s="9">
        <v>45.6</v>
      </c>
      <c r="I923" s="9">
        <v>13.4</v>
      </c>
      <c r="J923" s="9">
        <v>0.46</v>
      </c>
      <c r="K923" s="9">
        <v>46.4</v>
      </c>
      <c r="L923" s="7">
        <v>36.6</v>
      </c>
      <c r="M923" s="7">
        <v>83.4</v>
      </c>
      <c r="N923" s="7">
        <v>3.9</v>
      </c>
      <c r="O923" s="7">
        <v>254</v>
      </c>
      <c r="P923" s="7" t="s">
        <v>28</v>
      </c>
      <c r="Q923" s="7" t="str">
        <f t="shared" si="56"/>
        <v>Unhealthy</v>
      </c>
      <c r="R923" s="7" t="str">
        <f t="shared" si="57"/>
        <v>Hot</v>
      </c>
      <c r="S923" s="7" t="str">
        <f t="shared" si="58"/>
        <v>High Humidity</v>
      </c>
      <c r="T923" s="7" t="str">
        <f t="shared" si="59"/>
        <v>Moderate Wind</v>
      </c>
    </row>
    <row r="924" spans="1:20" x14ac:dyDescent="0.25">
      <c r="A924" s="7" t="s">
        <v>986</v>
      </c>
      <c r="B924" s="10">
        <v>45848</v>
      </c>
      <c r="C924" s="11" t="s">
        <v>38</v>
      </c>
      <c r="D924" s="11" t="s">
        <v>39</v>
      </c>
      <c r="E924" s="7" t="s">
        <v>97</v>
      </c>
      <c r="F924" s="9">
        <v>37.299999999999997</v>
      </c>
      <c r="G924" s="9">
        <v>170.1</v>
      </c>
      <c r="H924" s="9">
        <v>26.4</v>
      </c>
      <c r="I924" s="9">
        <v>5.5</v>
      </c>
      <c r="J924" s="9">
        <v>0.48</v>
      </c>
      <c r="K924" s="9">
        <v>56.6</v>
      </c>
      <c r="L924" s="7">
        <v>29.8</v>
      </c>
      <c r="M924" s="7">
        <v>49.9</v>
      </c>
      <c r="N924" s="7">
        <v>3</v>
      </c>
      <c r="O924" s="7">
        <v>233</v>
      </c>
      <c r="P924" s="7" t="s">
        <v>28</v>
      </c>
      <c r="Q924" s="7" t="str">
        <f t="shared" si="56"/>
        <v>VeryUnhealthy</v>
      </c>
      <c r="R924" s="7" t="str">
        <f t="shared" si="57"/>
        <v>Normal</v>
      </c>
      <c r="S924" s="7" t="str">
        <f t="shared" si="58"/>
        <v>Normal Humidity</v>
      </c>
      <c r="T924" s="7" t="str">
        <f t="shared" si="59"/>
        <v>Moderate Wind</v>
      </c>
    </row>
    <row r="925" spans="1:20" x14ac:dyDescent="0.25">
      <c r="A925" s="7" t="s">
        <v>987</v>
      </c>
      <c r="B925" s="10">
        <v>46019</v>
      </c>
      <c r="C925" s="11" t="s">
        <v>77</v>
      </c>
      <c r="D925" s="11" t="s">
        <v>39</v>
      </c>
      <c r="E925" s="7" t="s">
        <v>27</v>
      </c>
      <c r="F925" s="9">
        <v>87.9</v>
      </c>
      <c r="G925" s="9">
        <v>54.2</v>
      </c>
      <c r="H925" s="9">
        <v>24.3</v>
      </c>
      <c r="I925" s="9">
        <v>2.5</v>
      </c>
      <c r="J925" s="9">
        <v>1.08</v>
      </c>
      <c r="K925" s="9">
        <v>25.6</v>
      </c>
      <c r="L925" s="7">
        <v>34.200000000000003</v>
      </c>
      <c r="M925" s="7">
        <v>57.8</v>
      </c>
      <c r="N925" s="7">
        <v>4.5999999999999996</v>
      </c>
      <c r="O925" s="7">
        <v>236</v>
      </c>
      <c r="P925" s="7" t="s">
        <v>28</v>
      </c>
      <c r="Q925" s="7" t="str">
        <f t="shared" si="56"/>
        <v>Moderate</v>
      </c>
      <c r="R925" s="7" t="str">
        <f t="shared" si="57"/>
        <v>Hot</v>
      </c>
      <c r="S925" s="7" t="str">
        <f t="shared" si="58"/>
        <v>Normal Humidity</v>
      </c>
      <c r="T925" s="7" t="str">
        <f t="shared" si="59"/>
        <v>Moderate Wind</v>
      </c>
    </row>
    <row r="926" spans="1:20" x14ac:dyDescent="0.25">
      <c r="A926" s="7" t="s">
        <v>988</v>
      </c>
      <c r="B926" s="10">
        <v>45779</v>
      </c>
      <c r="C926" s="11" t="s">
        <v>50</v>
      </c>
      <c r="D926" s="11" t="s">
        <v>31</v>
      </c>
      <c r="E926" s="7" t="s">
        <v>58</v>
      </c>
      <c r="F926" s="9">
        <v>51.8</v>
      </c>
      <c r="G926" s="9">
        <v>57</v>
      </c>
      <c r="H926" s="9">
        <v>34.299999999999997</v>
      </c>
      <c r="I926" s="9">
        <v>55.8</v>
      </c>
      <c r="J926" s="9">
        <v>0.28000000000000003</v>
      </c>
      <c r="K926" s="9">
        <v>29.9</v>
      </c>
      <c r="L926" s="7">
        <v>26.8</v>
      </c>
      <c r="M926" s="7">
        <v>38.9</v>
      </c>
      <c r="N926" s="7">
        <v>2.2000000000000002</v>
      </c>
      <c r="O926" s="7">
        <v>207</v>
      </c>
      <c r="P926" s="7" t="s">
        <v>28</v>
      </c>
      <c r="Q926" s="7" t="str">
        <f t="shared" si="56"/>
        <v>Moderate</v>
      </c>
      <c r="R926" s="7" t="str">
        <f t="shared" si="57"/>
        <v>Normal</v>
      </c>
      <c r="S926" s="7" t="str">
        <f t="shared" si="58"/>
        <v>Normal Humidity</v>
      </c>
      <c r="T926" s="7" t="str">
        <f t="shared" si="59"/>
        <v>Moderate Wind</v>
      </c>
    </row>
    <row r="927" spans="1:20" x14ac:dyDescent="0.25">
      <c r="A927" s="7" t="s">
        <v>989</v>
      </c>
      <c r="B927" s="10">
        <v>45860</v>
      </c>
      <c r="C927" s="11" t="s">
        <v>54</v>
      </c>
      <c r="D927" s="11" t="s">
        <v>18</v>
      </c>
      <c r="E927" s="7" t="s">
        <v>68</v>
      </c>
      <c r="F927" s="9">
        <v>62.1</v>
      </c>
      <c r="G927" s="9">
        <v>56.2</v>
      </c>
      <c r="H927" s="9">
        <v>20.6</v>
      </c>
      <c r="I927" s="9">
        <v>14.9</v>
      </c>
      <c r="J927" s="9">
        <v>0.2</v>
      </c>
      <c r="K927" s="9">
        <v>9.6999999999999993</v>
      </c>
      <c r="L927" s="7">
        <v>24.7</v>
      </c>
      <c r="M927" s="7">
        <v>47.6</v>
      </c>
      <c r="N927" s="7">
        <v>1.3</v>
      </c>
      <c r="O927" s="7">
        <v>172</v>
      </c>
      <c r="P927" s="7" t="s">
        <v>33</v>
      </c>
      <c r="Q927" s="7" t="str">
        <f t="shared" si="56"/>
        <v>Moderate</v>
      </c>
      <c r="R927" s="7" t="str">
        <f t="shared" si="57"/>
        <v>Normal</v>
      </c>
      <c r="S927" s="7" t="str">
        <f t="shared" si="58"/>
        <v>Normal Humidity</v>
      </c>
      <c r="T927" s="7" t="str">
        <f t="shared" si="59"/>
        <v>Low Wind</v>
      </c>
    </row>
    <row r="928" spans="1:20" x14ac:dyDescent="0.25">
      <c r="A928" s="7" t="s">
        <v>990</v>
      </c>
      <c r="B928" s="10">
        <v>45993</v>
      </c>
      <c r="C928" s="11" t="s">
        <v>26</v>
      </c>
      <c r="D928" s="11" t="s">
        <v>23</v>
      </c>
      <c r="E928" s="7" t="s">
        <v>70</v>
      </c>
      <c r="F928" s="9">
        <v>25.5</v>
      </c>
      <c r="G928" s="9">
        <v>83.2</v>
      </c>
      <c r="H928" s="9">
        <v>27.1</v>
      </c>
      <c r="I928" s="9">
        <v>21.4</v>
      </c>
      <c r="J928" s="9">
        <v>0.81</v>
      </c>
      <c r="K928" s="9">
        <v>49.3</v>
      </c>
      <c r="L928" s="7">
        <v>20</v>
      </c>
      <c r="M928" s="7">
        <v>78.3</v>
      </c>
      <c r="N928" s="7">
        <v>1.9</v>
      </c>
      <c r="O928" s="7">
        <v>174</v>
      </c>
      <c r="P928" s="7" t="s">
        <v>33</v>
      </c>
      <c r="Q928" s="7" t="str">
        <f t="shared" si="56"/>
        <v>Moderate</v>
      </c>
      <c r="R928" s="7" t="str">
        <f t="shared" si="57"/>
        <v>Normal</v>
      </c>
      <c r="S928" s="7" t="str">
        <f t="shared" si="58"/>
        <v>High Humidity</v>
      </c>
      <c r="T928" s="7" t="str">
        <f t="shared" si="59"/>
        <v>Low Wind</v>
      </c>
    </row>
    <row r="929" spans="1:20" x14ac:dyDescent="0.25">
      <c r="A929" s="7" t="s">
        <v>991</v>
      </c>
      <c r="B929" s="10">
        <v>45683</v>
      </c>
      <c r="C929" s="11" t="s">
        <v>81</v>
      </c>
      <c r="D929" s="11" t="s">
        <v>39</v>
      </c>
      <c r="E929" s="7" t="s">
        <v>24</v>
      </c>
      <c r="F929" s="9">
        <v>122.2</v>
      </c>
      <c r="G929" s="9">
        <v>29.5</v>
      </c>
      <c r="H929" s="9">
        <v>14.4</v>
      </c>
      <c r="I929" s="9">
        <v>17.7</v>
      </c>
      <c r="J929" s="9">
        <v>1.25</v>
      </c>
      <c r="K929" s="9">
        <v>61.1</v>
      </c>
      <c r="L929" s="7">
        <v>28</v>
      </c>
      <c r="M929" s="7">
        <v>36.4</v>
      </c>
      <c r="N929" s="7">
        <v>1.2</v>
      </c>
      <c r="O929" s="7">
        <v>297</v>
      </c>
      <c r="P929" s="7" t="s">
        <v>28</v>
      </c>
      <c r="Q929" s="7" t="str">
        <f t="shared" si="56"/>
        <v>Good</v>
      </c>
      <c r="R929" s="7" t="str">
        <f t="shared" si="57"/>
        <v>Normal</v>
      </c>
      <c r="S929" s="7" t="str">
        <f t="shared" si="58"/>
        <v>Normal Humidity</v>
      </c>
      <c r="T929" s="7" t="str">
        <f t="shared" si="59"/>
        <v>Low Wind</v>
      </c>
    </row>
    <row r="930" spans="1:20" x14ac:dyDescent="0.25">
      <c r="A930" s="7" t="s">
        <v>992</v>
      </c>
      <c r="B930" s="10">
        <v>45752</v>
      </c>
      <c r="C930" s="11" t="s">
        <v>99</v>
      </c>
      <c r="D930" s="11" t="s">
        <v>36</v>
      </c>
      <c r="E930" s="7" t="s">
        <v>19</v>
      </c>
      <c r="F930" s="9">
        <v>80.7</v>
      </c>
      <c r="G930" s="9">
        <v>57.4</v>
      </c>
      <c r="H930" s="9">
        <v>35.200000000000003</v>
      </c>
      <c r="I930" s="9">
        <v>12.6</v>
      </c>
      <c r="J930" s="9">
        <v>0.34</v>
      </c>
      <c r="K930" s="9">
        <v>49.3</v>
      </c>
      <c r="L930" s="7">
        <v>17.399999999999999</v>
      </c>
      <c r="M930" s="7">
        <v>69.5</v>
      </c>
      <c r="N930" s="7">
        <v>2.5</v>
      </c>
      <c r="O930" s="7">
        <v>234</v>
      </c>
      <c r="P930" s="7" t="s">
        <v>28</v>
      </c>
      <c r="Q930" s="7" t="str">
        <f t="shared" si="56"/>
        <v>Moderate</v>
      </c>
      <c r="R930" s="7" t="str">
        <f t="shared" si="57"/>
        <v>Cool</v>
      </c>
      <c r="S930" s="7" t="str">
        <f t="shared" si="58"/>
        <v>High Humidity</v>
      </c>
      <c r="T930" s="7" t="str">
        <f t="shared" si="59"/>
        <v>Moderate Wind</v>
      </c>
    </row>
    <row r="931" spans="1:20" x14ac:dyDescent="0.25">
      <c r="A931" s="7" t="s">
        <v>993</v>
      </c>
      <c r="B931" s="10">
        <v>45680</v>
      </c>
      <c r="C931" s="11" t="s">
        <v>93</v>
      </c>
      <c r="D931" s="11" t="s">
        <v>36</v>
      </c>
      <c r="E931" s="7" t="s">
        <v>68</v>
      </c>
      <c r="F931" s="9">
        <v>115</v>
      </c>
      <c r="G931" s="9">
        <v>55.3</v>
      </c>
      <c r="H931" s="9">
        <v>48.1</v>
      </c>
      <c r="I931" s="9">
        <v>8.3000000000000007</v>
      </c>
      <c r="J931" s="9">
        <v>1.32</v>
      </c>
      <c r="K931" s="9">
        <v>8.1999999999999993</v>
      </c>
      <c r="L931" s="7">
        <v>28</v>
      </c>
      <c r="M931" s="7">
        <v>65.3</v>
      </c>
      <c r="N931" s="7">
        <v>2.1</v>
      </c>
      <c r="O931" s="7">
        <v>301</v>
      </c>
      <c r="P931" s="7" t="s">
        <v>20</v>
      </c>
      <c r="Q931" s="7" t="str">
        <f t="shared" si="56"/>
        <v>Moderate</v>
      </c>
      <c r="R931" s="7" t="str">
        <f t="shared" si="57"/>
        <v>Normal</v>
      </c>
      <c r="S931" s="7" t="str">
        <f t="shared" si="58"/>
        <v>High Humidity</v>
      </c>
      <c r="T931" s="7" t="str">
        <f t="shared" si="59"/>
        <v>Moderate Wind</v>
      </c>
    </row>
    <row r="932" spans="1:20" x14ac:dyDescent="0.25">
      <c r="A932" s="7" t="s">
        <v>994</v>
      </c>
      <c r="B932" s="10">
        <v>45915</v>
      </c>
      <c r="C932" s="11" t="s">
        <v>17</v>
      </c>
      <c r="D932" s="11" t="s">
        <v>18</v>
      </c>
      <c r="E932" s="7" t="s">
        <v>91</v>
      </c>
      <c r="F932" s="9">
        <v>42.9</v>
      </c>
      <c r="G932" s="9">
        <v>103.6</v>
      </c>
      <c r="H932" s="9">
        <v>39.200000000000003</v>
      </c>
      <c r="I932" s="9">
        <v>15.7</v>
      </c>
      <c r="J932" s="9">
        <v>0.68</v>
      </c>
      <c r="K932" s="9">
        <v>36</v>
      </c>
      <c r="L932" s="7">
        <v>21.1</v>
      </c>
      <c r="M932" s="7">
        <v>71.5</v>
      </c>
      <c r="N932" s="7">
        <v>0.8</v>
      </c>
      <c r="O932" s="7">
        <v>212</v>
      </c>
      <c r="P932" s="7" t="s">
        <v>28</v>
      </c>
      <c r="Q932" s="7" t="str">
        <f t="shared" si="56"/>
        <v>Unhealthy</v>
      </c>
      <c r="R932" s="7" t="str">
        <f t="shared" si="57"/>
        <v>Normal</v>
      </c>
      <c r="S932" s="7" t="str">
        <f t="shared" si="58"/>
        <v>High Humidity</v>
      </c>
      <c r="T932" s="7" t="str">
        <f t="shared" si="59"/>
        <v>Low Wind</v>
      </c>
    </row>
    <row r="933" spans="1:20" x14ac:dyDescent="0.25">
      <c r="A933" s="7" t="s">
        <v>995</v>
      </c>
      <c r="B933" s="10">
        <v>45757</v>
      </c>
      <c r="C933" s="11" t="s">
        <v>22</v>
      </c>
      <c r="D933" s="11" t="s">
        <v>23</v>
      </c>
      <c r="E933" s="7" t="s">
        <v>32</v>
      </c>
      <c r="F933" s="9">
        <v>111.3</v>
      </c>
      <c r="G933" s="9">
        <v>78.5</v>
      </c>
      <c r="H933" s="9">
        <v>23.5</v>
      </c>
      <c r="I933" s="9">
        <v>8.6</v>
      </c>
      <c r="J933" s="9">
        <v>0.75</v>
      </c>
      <c r="K933" s="9">
        <v>25.7</v>
      </c>
      <c r="L933" s="7">
        <v>29.1</v>
      </c>
      <c r="M933" s="7">
        <v>44.9</v>
      </c>
      <c r="N933" s="7">
        <v>1.1000000000000001</v>
      </c>
      <c r="O933" s="7">
        <v>284</v>
      </c>
      <c r="P933" s="7" t="s">
        <v>28</v>
      </c>
      <c r="Q933" s="7" t="str">
        <f t="shared" si="56"/>
        <v>Moderate</v>
      </c>
      <c r="R933" s="7" t="str">
        <f t="shared" si="57"/>
        <v>Normal</v>
      </c>
      <c r="S933" s="7" t="str">
        <f t="shared" si="58"/>
        <v>Normal Humidity</v>
      </c>
      <c r="T933" s="7" t="str">
        <f t="shared" si="59"/>
        <v>Low Wind</v>
      </c>
    </row>
    <row r="934" spans="1:20" x14ac:dyDescent="0.25">
      <c r="A934" s="7" t="s">
        <v>996</v>
      </c>
      <c r="B934" s="10">
        <v>45716</v>
      </c>
      <c r="C934" s="11" t="s">
        <v>35</v>
      </c>
      <c r="D934" s="11" t="s">
        <v>36</v>
      </c>
      <c r="E934" s="7" t="s">
        <v>61</v>
      </c>
      <c r="F934" s="9">
        <v>22</v>
      </c>
      <c r="G934" s="9">
        <v>46.1</v>
      </c>
      <c r="H934" s="9">
        <v>22.9</v>
      </c>
      <c r="I934" s="9">
        <v>16.5</v>
      </c>
      <c r="J934" s="9">
        <v>0.74</v>
      </c>
      <c r="K934" s="9">
        <v>46</v>
      </c>
      <c r="L934" s="7">
        <v>27.7</v>
      </c>
      <c r="M934" s="7">
        <v>52.1</v>
      </c>
      <c r="N934" s="7">
        <v>0.9</v>
      </c>
      <c r="O934" s="7">
        <v>134</v>
      </c>
      <c r="P934" s="7" t="s">
        <v>33</v>
      </c>
      <c r="Q934" s="7" t="str">
        <f t="shared" si="56"/>
        <v>Good</v>
      </c>
      <c r="R934" s="7" t="str">
        <f t="shared" si="57"/>
        <v>Normal</v>
      </c>
      <c r="S934" s="7" t="str">
        <f t="shared" si="58"/>
        <v>Normal Humidity</v>
      </c>
      <c r="T934" s="7" t="str">
        <f t="shared" si="59"/>
        <v>Low Wind</v>
      </c>
    </row>
    <row r="935" spans="1:20" x14ac:dyDescent="0.25">
      <c r="A935" s="7" t="s">
        <v>997</v>
      </c>
      <c r="B935" s="10">
        <v>45692</v>
      </c>
      <c r="C935" s="11" t="s">
        <v>99</v>
      </c>
      <c r="D935" s="11" t="s">
        <v>36</v>
      </c>
      <c r="E935" s="7" t="s">
        <v>24</v>
      </c>
      <c r="F935" s="9">
        <v>39.6</v>
      </c>
      <c r="G935" s="9">
        <v>110.7</v>
      </c>
      <c r="H935" s="9">
        <v>37.4</v>
      </c>
      <c r="I935" s="9">
        <v>33</v>
      </c>
      <c r="J935" s="9">
        <v>0.43</v>
      </c>
      <c r="K935" s="9">
        <v>12.7</v>
      </c>
      <c r="L935" s="7">
        <v>17.7</v>
      </c>
      <c r="M935" s="7">
        <v>60.8</v>
      </c>
      <c r="N935" s="7">
        <v>1.5</v>
      </c>
      <c r="O935" s="7">
        <v>205</v>
      </c>
      <c r="P935" s="7" t="s">
        <v>28</v>
      </c>
      <c r="Q935" s="7" t="str">
        <f t="shared" si="56"/>
        <v>Unhealthy</v>
      </c>
      <c r="R935" s="7" t="str">
        <f t="shared" si="57"/>
        <v>Cool</v>
      </c>
      <c r="S935" s="7" t="str">
        <f t="shared" si="58"/>
        <v>High Humidity</v>
      </c>
      <c r="T935" s="7" t="str">
        <f t="shared" si="59"/>
        <v>Low Wind</v>
      </c>
    </row>
    <row r="936" spans="1:20" x14ac:dyDescent="0.25">
      <c r="A936" s="7" t="s">
        <v>998</v>
      </c>
      <c r="B936" s="10">
        <v>45927</v>
      </c>
      <c r="C936" s="11" t="s">
        <v>93</v>
      </c>
      <c r="D936" s="11" t="s">
        <v>36</v>
      </c>
      <c r="E936" s="7" t="s">
        <v>45</v>
      </c>
      <c r="F936" s="9">
        <v>37.6</v>
      </c>
      <c r="G936" s="9">
        <v>124.9</v>
      </c>
      <c r="H936" s="9">
        <v>26.8</v>
      </c>
      <c r="I936" s="9">
        <v>2</v>
      </c>
      <c r="J936" s="9">
        <v>0.41</v>
      </c>
      <c r="K936" s="9">
        <v>31.7</v>
      </c>
      <c r="L936" s="7">
        <v>22.8</v>
      </c>
      <c r="M936" s="7">
        <v>65.599999999999994</v>
      </c>
      <c r="N936" s="7">
        <v>2.8</v>
      </c>
      <c r="O936" s="7">
        <v>189</v>
      </c>
      <c r="P936" s="7" t="s">
        <v>33</v>
      </c>
      <c r="Q936" s="7" t="str">
        <f t="shared" si="56"/>
        <v>Unhealthy</v>
      </c>
      <c r="R936" s="7" t="str">
        <f t="shared" si="57"/>
        <v>Normal</v>
      </c>
      <c r="S936" s="7" t="str">
        <f t="shared" si="58"/>
        <v>High Humidity</v>
      </c>
      <c r="T936" s="7" t="str">
        <f t="shared" si="59"/>
        <v>Moderate Wind</v>
      </c>
    </row>
    <row r="937" spans="1:20" x14ac:dyDescent="0.25">
      <c r="A937" s="7" t="s">
        <v>999</v>
      </c>
      <c r="B937" s="10">
        <v>45763</v>
      </c>
      <c r="C937" s="11" t="s">
        <v>30</v>
      </c>
      <c r="D937" s="11" t="s">
        <v>31</v>
      </c>
      <c r="E937" s="7" t="s">
        <v>74</v>
      </c>
      <c r="F937" s="9">
        <v>34</v>
      </c>
      <c r="G937" s="9">
        <v>81.599999999999994</v>
      </c>
      <c r="H937" s="9">
        <v>27.6</v>
      </c>
      <c r="I937" s="9">
        <v>11.1</v>
      </c>
      <c r="J937" s="9">
        <v>0.52</v>
      </c>
      <c r="K937" s="9">
        <v>57.6</v>
      </c>
      <c r="L937" s="7">
        <v>28.6</v>
      </c>
      <c r="M937" s="7">
        <v>68.2</v>
      </c>
      <c r="N937" s="7">
        <v>1.4</v>
      </c>
      <c r="O937" s="7">
        <v>176</v>
      </c>
      <c r="P937" s="7" t="s">
        <v>33</v>
      </c>
      <c r="Q937" s="7" t="str">
        <f t="shared" si="56"/>
        <v>Moderate</v>
      </c>
      <c r="R937" s="7" t="str">
        <f t="shared" si="57"/>
        <v>Normal</v>
      </c>
      <c r="S937" s="7" t="str">
        <f t="shared" si="58"/>
        <v>High Humidity</v>
      </c>
      <c r="T937" s="7" t="str">
        <f t="shared" si="59"/>
        <v>Low Wind</v>
      </c>
    </row>
    <row r="938" spans="1:20" x14ac:dyDescent="0.25">
      <c r="A938" s="7" t="s">
        <v>1000</v>
      </c>
      <c r="B938" s="10">
        <v>46001</v>
      </c>
      <c r="C938" s="11" t="s">
        <v>30</v>
      </c>
      <c r="D938" s="11" t="s">
        <v>31</v>
      </c>
      <c r="E938" s="7" t="s">
        <v>19</v>
      </c>
      <c r="F938" s="9">
        <v>21.6</v>
      </c>
      <c r="G938" s="9">
        <v>109.2</v>
      </c>
      <c r="H938" s="9">
        <v>36.5</v>
      </c>
      <c r="I938" s="9">
        <v>9.3000000000000007</v>
      </c>
      <c r="J938" s="9">
        <v>0.63</v>
      </c>
      <c r="K938" s="9">
        <v>10.3</v>
      </c>
      <c r="L938" s="7">
        <v>27.9</v>
      </c>
      <c r="M938" s="7">
        <v>42.9</v>
      </c>
      <c r="N938" s="7">
        <v>1.2</v>
      </c>
      <c r="O938" s="7">
        <v>162</v>
      </c>
      <c r="P938" s="7" t="s">
        <v>33</v>
      </c>
      <c r="Q938" s="7" t="str">
        <f t="shared" si="56"/>
        <v>Unhealthy</v>
      </c>
      <c r="R938" s="7" t="str">
        <f t="shared" si="57"/>
        <v>Normal</v>
      </c>
      <c r="S938" s="7" t="str">
        <f t="shared" si="58"/>
        <v>Normal Humidity</v>
      </c>
      <c r="T938" s="7" t="str">
        <f t="shared" si="59"/>
        <v>Low Wind</v>
      </c>
    </row>
    <row r="939" spans="1:20" x14ac:dyDescent="0.25">
      <c r="A939" s="7" t="s">
        <v>1001</v>
      </c>
      <c r="B939" s="10">
        <v>45981</v>
      </c>
      <c r="C939" s="11" t="s">
        <v>26</v>
      </c>
      <c r="D939" s="11" t="s">
        <v>23</v>
      </c>
      <c r="E939" s="7" t="s">
        <v>19</v>
      </c>
      <c r="F939" s="9">
        <v>9.6999999999999993</v>
      </c>
      <c r="G939" s="9">
        <v>71.7</v>
      </c>
      <c r="H939" s="9">
        <v>34.700000000000003</v>
      </c>
      <c r="I939" s="9">
        <v>18.5</v>
      </c>
      <c r="J939" s="9">
        <v>0.44</v>
      </c>
      <c r="K939" s="9">
        <v>20.7</v>
      </c>
      <c r="L939" s="7">
        <v>32.6</v>
      </c>
      <c r="M939" s="7">
        <v>85.1</v>
      </c>
      <c r="N939" s="7">
        <v>2.8</v>
      </c>
      <c r="O939" s="7">
        <v>123</v>
      </c>
      <c r="P939" s="7" t="s">
        <v>33</v>
      </c>
      <c r="Q939" s="7" t="str">
        <f t="shared" si="56"/>
        <v>Moderate</v>
      </c>
      <c r="R939" s="7" t="str">
        <f t="shared" si="57"/>
        <v>Hot</v>
      </c>
      <c r="S939" s="7" t="str">
        <f t="shared" si="58"/>
        <v>High Humidity</v>
      </c>
      <c r="T939" s="7" t="str">
        <f t="shared" si="59"/>
        <v>Moderate Wind</v>
      </c>
    </row>
    <row r="940" spans="1:20" x14ac:dyDescent="0.25">
      <c r="A940" s="7" t="s">
        <v>1002</v>
      </c>
      <c r="B940" s="10">
        <v>45782</v>
      </c>
      <c r="C940" s="11" t="s">
        <v>22</v>
      </c>
      <c r="D940" s="11" t="s">
        <v>23</v>
      </c>
      <c r="E940" s="7" t="s">
        <v>55</v>
      </c>
      <c r="F940" s="9">
        <v>53.4</v>
      </c>
      <c r="G940" s="9">
        <v>118.5</v>
      </c>
      <c r="H940" s="9">
        <v>21</v>
      </c>
      <c r="I940" s="9">
        <v>40.6</v>
      </c>
      <c r="J940" s="9">
        <v>0.84</v>
      </c>
      <c r="K940" s="9">
        <v>36.4</v>
      </c>
      <c r="L940" s="7">
        <v>27</v>
      </c>
      <c r="M940" s="7">
        <v>61.9</v>
      </c>
      <c r="N940" s="7">
        <v>2.2999999999999998</v>
      </c>
      <c r="O940" s="7">
        <v>245</v>
      </c>
      <c r="P940" s="7" t="s">
        <v>28</v>
      </c>
      <c r="Q940" s="7" t="str">
        <f t="shared" si="56"/>
        <v>Unhealthy</v>
      </c>
      <c r="R940" s="7" t="str">
        <f t="shared" si="57"/>
        <v>Normal</v>
      </c>
      <c r="S940" s="7" t="str">
        <f t="shared" si="58"/>
        <v>High Humidity</v>
      </c>
      <c r="T940" s="7" t="str">
        <f t="shared" si="59"/>
        <v>Moderate Wind</v>
      </c>
    </row>
    <row r="941" spans="1:20" x14ac:dyDescent="0.25">
      <c r="A941" s="7" t="s">
        <v>1003</v>
      </c>
      <c r="B941" s="10">
        <v>45770</v>
      </c>
      <c r="C941" s="11" t="s">
        <v>99</v>
      </c>
      <c r="D941" s="11" t="s">
        <v>36</v>
      </c>
      <c r="E941" s="7" t="s">
        <v>61</v>
      </c>
      <c r="F941" s="9">
        <v>71.2</v>
      </c>
      <c r="G941" s="9">
        <v>91.2</v>
      </c>
      <c r="H941" s="9">
        <v>66.2</v>
      </c>
      <c r="I941" s="9">
        <v>4</v>
      </c>
      <c r="J941" s="9">
        <v>1.6</v>
      </c>
      <c r="K941" s="9">
        <v>15.9</v>
      </c>
      <c r="L941" s="7">
        <v>24.4</v>
      </c>
      <c r="M941" s="7">
        <v>58.8</v>
      </c>
      <c r="N941" s="7">
        <v>3</v>
      </c>
      <c r="O941" s="7">
        <v>276</v>
      </c>
      <c r="P941" s="7" t="s">
        <v>28</v>
      </c>
      <c r="Q941" s="7" t="str">
        <f t="shared" si="56"/>
        <v>Moderate</v>
      </c>
      <c r="R941" s="7" t="str">
        <f t="shared" si="57"/>
        <v>Normal</v>
      </c>
      <c r="S941" s="7" t="str">
        <f t="shared" si="58"/>
        <v>Normal Humidity</v>
      </c>
      <c r="T941" s="7" t="str">
        <f t="shared" si="59"/>
        <v>Moderate Wind</v>
      </c>
    </row>
    <row r="942" spans="1:20" x14ac:dyDescent="0.25">
      <c r="A942" s="7" t="s">
        <v>1004</v>
      </c>
      <c r="B942" s="10">
        <v>45980</v>
      </c>
      <c r="C942" s="11" t="s">
        <v>54</v>
      </c>
      <c r="D942" s="11" t="s">
        <v>18</v>
      </c>
      <c r="E942" s="7" t="s">
        <v>58</v>
      </c>
      <c r="F942" s="9">
        <v>105.8</v>
      </c>
      <c r="G942" s="9">
        <v>61.3</v>
      </c>
      <c r="H942" s="9">
        <v>9.3000000000000007</v>
      </c>
      <c r="I942" s="9">
        <v>7.1</v>
      </c>
      <c r="J942" s="9">
        <v>1.66</v>
      </c>
      <c r="K942" s="9">
        <v>9.8000000000000007</v>
      </c>
      <c r="L942" s="7">
        <v>31.7</v>
      </c>
      <c r="M942" s="7">
        <v>95.4</v>
      </c>
      <c r="N942" s="7">
        <v>0.1</v>
      </c>
      <c r="O942" s="7">
        <v>267</v>
      </c>
      <c r="P942" s="7" t="s">
        <v>28</v>
      </c>
      <c r="Q942" s="7" t="str">
        <f t="shared" si="56"/>
        <v>Moderate</v>
      </c>
      <c r="R942" s="7" t="str">
        <f t="shared" si="57"/>
        <v>Hot</v>
      </c>
      <c r="S942" s="7" t="str">
        <f t="shared" si="58"/>
        <v>High Humidity</v>
      </c>
      <c r="T942" s="7" t="str">
        <f t="shared" si="59"/>
        <v>Low Wind</v>
      </c>
    </row>
    <row r="943" spans="1:20" x14ac:dyDescent="0.25">
      <c r="A943" s="7" t="s">
        <v>1005</v>
      </c>
      <c r="B943" s="10">
        <v>45778</v>
      </c>
      <c r="C943" s="11" t="s">
        <v>99</v>
      </c>
      <c r="D943" s="11" t="s">
        <v>36</v>
      </c>
      <c r="E943" s="7" t="s">
        <v>27</v>
      </c>
      <c r="F943" s="9">
        <v>64.2</v>
      </c>
      <c r="G943" s="9">
        <v>117.4</v>
      </c>
      <c r="H943" s="9">
        <v>19.5</v>
      </c>
      <c r="I943" s="9">
        <v>13.1</v>
      </c>
      <c r="J943" s="9">
        <v>0.49</v>
      </c>
      <c r="K943" s="9">
        <v>53.8</v>
      </c>
      <c r="L943" s="7">
        <v>30.9</v>
      </c>
      <c r="M943" s="7">
        <v>57.8</v>
      </c>
      <c r="N943" s="7">
        <v>1.6</v>
      </c>
      <c r="O943" s="7">
        <v>240</v>
      </c>
      <c r="P943" s="7" t="s">
        <v>28</v>
      </c>
      <c r="Q943" s="7" t="str">
        <f t="shared" si="56"/>
        <v>Unhealthy</v>
      </c>
      <c r="R943" s="7" t="str">
        <f t="shared" si="57"/>
        <v>Hot</v>
      </c>
      <c r="S943" s="7" t="str">
        <f t="shared" si="58"/>
        <v>Normal Humidity</v>
      </c>
      <c r="T943" s="7" t="str">
        <f t="shared" si="59"/>
        <v>Low Wind</v>
      </c>
    </row>
    <row r="944" spans="1:20" x14ac:dyDescent="0.25">
      <c r="A944" s="7" t="s">
        <v>1006</v>
      </c>
      <c r="B944" s="10">
        <v>45870</v>
      </c>
      <c r="C944" s="11" t="s">
        <v>99</v>
      </c>
      <c r="D944" s="11" t="s">
        <v>36</v>
      </c>
      <c r="E944" s="7" t="s">
        <v>55</v>
      </c>
      <c r="F944" s="9">
        <v>85.3</v>
      </c>
      <c r="G944" s="9">
        <v>42.6</v>
      </c>
      <c r="H944" s="9">
        <v>41.9</v>
      </c>
      <c r="I944" s="9">
        <v>9.9</v>
      </c>
      <c r="J944" s="9">
        <v>0.78</v>
      </c>
      <c r="K944" s="9">
        <v>75.3</v>
      </c>
      <c r="L944" s="7">
        <v>35.200000000000003</v>
      </c>
      <c r="M944" s="7">
        <v>53.2</v>
      </c>
      <c r="N944" s="7">
        <v>2.2999999999999998</v>
      </c>
      <c r="O944" s="7">
        <v>258</v>
      </c>
      <c r="P944" s="7" t="s">
        <v>28</v>
      </c>
      <c r="Q944" s="7" t="str">
        <f t="shared" si="56"/>
        <v>Good</v>
      </c>
      <c r="R944" s="7" t="str">
        <f t="shared" si="57"/>
        <v>Hot</v>
      </c>
      <c r="S944" s="7" t="str">
        <f t="shared" si="58"/>
        <v>Normal Humidity</v>
      </c>
      <c r="T944" s="7" t="str">
        <f t="shared" si="59"/>
        <v>Moderate Wind</v>
      </c>
    </row>
    <row r="945" spans="1:20" x14ac:dyDescent="0.25">
      <c r="A945" s="7" t="s">
        <v>1007</v>
      </c>
      <c r="B945" s="10">
        <v>45961</v>
      </c>
      <c r="C945" s="11" t="s">
        <v>30</v>
      </c>
      <c r="D945" s="11" t="s">
        <v>31</v>
      </c>
      <c r="E945" s="7" t="s">
        <v>32</v>
      </c>
      <c r="F945" s="9">
        <v>38.1</v>
      </c>
      <c r="G945" s="9">
        <v>132.5</v>
      </c>
      <c r="H945" s="9">
        <v>26.4</v>
      </c>
      <c r="I945" s="9">
        <v>14.8</v>
      </c>
      <c r="J945" s="9">
        <v>0.23</v>
      </c>
      <c r="K945" s="9">
        <v>8.8000000000000007</v>
      </c>
      <c r="L945" s="7">
        <v>28.3</v>
      </c>
      <c r="M945" s="7">
        <v>77.400000000000006</v>
      </c>
      <c r="N945" s="7">
        <v>1.9</v>
      </c>
      <c r="O945" s="7">
        <v>188</v>
      </c>
      <c r="P945" s="7" t="s">
        <v>33</v>
      </c>
      <c r="Q945" s="7" t="str">
        <f t="shared" si="56"/>
        <v>Unhealthy</v>
      </c>
      <c r="R945" s="7" t="str">
        <f t="shared" si="57"/>
        <v>Normal</v>
      </c>
      <c r="S945" s="7" t="str">
        <f t="shared" si="58"/>
        <v>High Humidity</v>
      </c>
      <c r="T945" s="7" t="str">
        <f t="shared" si="59"/>
        <v>Low Wind</v>
      </c>
    </row>
    <row r="946" spans="1:20" x14ac:dyDescent="0.25">
      <c r="A946" s="7" t="s">
        <v>1008</v>
      </c>
      <c r="B946" s="10">
        <v>45970</v>
      </c>
      <c r="C946" s="11" t="s">
        <v>50</v>
      </c>
      <c r="D946" s="11" t="s">
        <v>31</v>
      </c>
      <c r="E946" s="7" t="s">
        <v>61</v>
      </c>
      <c r="F946" s="9">
        <v>25.3</v>
      </c>
      <c r="G946" s="9">
        <v>75</v>
      </c>
      <c r="H946" s="9">
        <v>22.7</v>
      </c>
      <c r="I946" s="9">
        <v>19.3</v>
      </c>
      <c r="J946" s="9">
        <v>0.86</v>
      </c>
      <c r="K946" s="9">
        <v>38.700000000000003</v>
      </c>
      <c r="L946" s="7">
        <v>25.7</v>
      </c>
      <c r="M946" s="7">
        <v>48.1</v>
      </c>
      <c r="N946" s="7">
        <v>1.9</v>
      </c>
      <c r="O946" s="7">
        <v>160</v>
      </c>
      <c r="P946" s="7" t="s">
        <v>33</v>
      </c>
      <c r="Q946" s="7" t="str">
        <f t="shared" si="56"/>
        <v>Moderate</v>
      </c>
      <c r="R946" s="7" t="str">
        <f t="shared" si="57"/>
        <v>Normal</v>
      </c>
      <c r="S946" s="7" t="str">
        <f t="shared" si="58"/>
        <v>Normal Humidity</v>
      </c>
      <c r="T946" s="7" t="str">
        <f t="shared" si="59"/>
        <v>Low Wind</v>
      </c>
    </row>
    <row r="947" spans="1:20" x14ac:dyDescent="0.25">
      <c r="A947" s="7" t="s">
        <v>1009</v>
      </c>
      <c r="B947" s="10">
        <v>45935</v>
      </c>
      <c r="C947" s="11" t="s">
        <v>93</v>
      </c>
      <c r="D947" s="11" t="s">
        <v>36</v>
      </c>
      <c r="E947" s="7" t="s">
        <v>68</v>
      </c>
      <c r="F947" s="9">
        <v>14.7</v>
      </c>
      <c r="G947" s="9">
        <v>119.5</v>
      </c>
      <c r="H947" s="9">
        <v>76.099999999999994</v>
      </c>
      <c r="I947" s="9">
        <v>4.3</v>
      </c>
      <c r="J947" s="9">
        <v>0.28000000000000003</v>
      </c>
      <c r="K947" s="9">
        <v>24.1</v>
      </c>
      <c r="L947" s="7">
        <v>25.6</v>
      </c>
      <c r="M947" s="7">
        <v>64.7</v>
      </c>
      <c r="N947" s="7">
        <v>1.7</v>
      </c>
      <c r="O947" s="7">
        <v>183</v>
      </c>
      <c r="P947" s="7" t="s">
        <v>33</v>
      </c>
      <c r="Q947" s="7" t="str">
        <f t="shared" si="56"/>
        <v>Unhealthy</v>
      </c>
      <c r="R947" s="7" t="str">
        <f t="shared" si="57"/>
        <v>Normal</v>
      </c>
      <c r="S947" s="7" t="str">
        <f t="shared" si="58"/>
        <v>High Humidity</v>
      </c>
      <c r="T947" s="7" t="str">
        <f t="shared" si="59"/>
        <v>Low Wind</v>
      </c>
    </row>
    <row r="948" spans="1:20" x14ac:dyDescent="0.25">
      <c r="A948" s="7" t="s">
        <v>1010</v>
      </c>
      <c r="B948" s="10">
        <v>45880</v>
      </c>
      <c r="C948" s="11" t="s">
        <v>30</v>
      </c>
      <c r="D948" s="11" t="s">
        <v>31</v>
      </c>
      <c r="E948" s="7" t="s">
        <v>45</v>
      </c>
      <c r="F948" s="9">
        <v>44</v>
      </c>
      <c r="G948" s="9">
        <v>37.1</v>
      </c>
      <c r="H948" s="9">
        <v>9.1999999999999993</v>
      </c>
      <c r="I948" s="9">
        <v>15.4</v>
      </c>
      <c r="J948" s="9">
        <v>0.68</v>
      </c>
      <c r="K948" s="9">
        <v>15.4</v>
      </c>
      <c r="L948" s="7">
        <v>19.600000000000001</v>
      </c>
      <c r="M948" s="7">
        <v>67</v>
      </c>
      <c r="N948" s="7">
        <v>3.1</v>
      </c>
      <c r="O948" s="7">
        <v>137</v>
      </c>
      <c r="P948" s="7" t="s">
        <v>33</v>
      </c>
      <c r="Q948" s="7" t="str">
        <f t="shared" si="56"/>
        <v>Good</v>
      </c>
      <c r="R948" s="7" t="str">
        <f t="shared" si="57"/>
        <v>Cool</v>
      </c>
      <c r="S948" s="7" t="str">
        <f t="shared" si="58"/>
        <v>High Humidity</v>
      </c>
      <c r="T948" s="7" t="str">
        <f t="shared" si="59"/>
        <v>Moderate Wind</v>
      </c>
    </row>
    <row r="949" spans="1:20" x14ac:dyDescent="0.25">
      <c r="A949" s="7" t="s">
        <v>1011</v>
      </c>
      <c r="B949" s="10">
        <v>45775</v>
      </c>
      <c r="C949" s="11" t="s">
        <v>54</v>
      </c>
      <c r="D949" s="11" t="s">
        <v>18</v>
      </c>
      <c r="E949" s="7" t="s">
        <v>27</v>
      </c>
      <c r="F949" s="9">
        <v>35.299999999999997</v>
      </c>
      <c r="G949" s="9">
        <v>71.8</v>
      </c>
      <c r="H949" s="9">
        <v>18.399999999999999</v>
      </c>
      <c r="I949" s="9">
        <v>30.4</v>
      </c>
      <c r="J949" s="9">
        <v>1.68</v>
      </c>
      <c r="K949" s="9">
        <v>20.7</v>
      </c>
      <c r="L949" s="7">
        <v>34.4</v>
      </c>
      <c r="M949" s="7">
        <v>44.1</v>
      </c>
      <c r="N949" s="7">
        <v>3.6</v>
      </c>
      <c r="O949" s="7">
        <v>190</v>
      </c>
      <c r="P949" s="7" t="s">
        <v>33</v>
      </c>
      <c r="Q949" s="7" t="str">
        <f t="shared" si="56"/>
        <v>Moderate</v>
      </c>
      <c r="R949" s="7" t="str">
        <f t="shared" si="57"/>
        <v>Hot</v>
      </c>
      <c r="S949" s="7" t="str">
        <f t="shared" si="58"/>
        <v>Normal Humidity</v>
      </c>
      <c r="T949" s="7" t="str">
        <f t="shared" si="59"/>
        <v>Moderate Wind</v>
      </c>
    </row>
    <row r="950" spans="1:20" x14ac:dyDescent="0.25">
      <c r="A950" s="7" t="s">
        <v>1012</v>
      </c>
      <c r="B950" s="10">
        <v>45746</v>
      </c>
      <c r="C950" s="11" t="s">
        <v>54</v>
      </c>
      <c r="D950" s="11" t="s">
        <v>18</v>
      </c>
      <c r="E950" s="7" t="s">
        <v>68</v>
      </c>
      <c r="F950" s="9">
        <v>44.7</v>
      </c>
      <c r="G950" s="9">
        <v>88.9</v>
      </c>
      <c r="H950" s="9">
        <v>14.8</v>
      </c>
      <c r="I950" s="9">
        <v>8.6</v>
      </c>
      <c r="J950" s="9">
        <v>0.78</v>
      </c>
      <c r="K950" s="9">
        <v>23.7</v>
      </c>
      <c r="L950" s="7">
        <v>22.8</v>
      </c>
      <c r="M950" s="7">
        <v>78.8</v>
      </c>
      <c r="N950" s="7">
        <v>4.4000000000000004</v>
      </c>
      <c r="O950" s="7">
        <v>177</v>
      </c>
      <c r="P950" s="7" t="s">
        <v>33</v>
      </c>
      <c r="Q950" s="7" t="str">
        <f t="shared" si="56"/>
        <v>Moderate</v>
      </c>
      <c r="R950" s="7" t="str">
        <f t="shared" si="57"/>
        <v>Normal</v>
      </c>
      <c r="S950" s="7" t="str">
        <f t="shared" si="58"/>
        <v>High Humidity</v>
      </c>
      <c r="T950" s="7" t="str">
        <f t="shared" si="59"/>
        <v>Moderate Wind</v>
      </c>
    </row>
    <row r="951" spans="1:20" x14ac:dyDescent="0.25">
      <c r="A951" s="7" t="s">
        <v>1013</v>
      </c>
      <c r="B951" s="10">
        <v>45841</v>
      </c>
      <c r="C951" s="11" t="s">
        <v>35</v>
      </c>
      <c r="D951" s="11" t="s">
        <v>36</v>
      </c>
      <c r="E951" s="7" t="s">
        <v>91</v>
      </c>
      <c r="F951" s="9">
        <v>25.1</v>
      </c>
      <c r="G951" s="9">
        <v>55.8</v>
      </c>
      <c r="H951" s="9">
        <v>35.200000000000003</v>
      </c>
      <c r="I951" s="9">
        <v>4.4000000000000004</v>
      </c>
      <c r="J951" s="9">
        <v>0.32</v>
      </c>
      <c r="K951" s="9">
        <v>10.3</v>
      </c>
      <c r="L951" s="7">
        <v>42.3</v>
      </c>
      <c r="M951" s="7">
        <v>52.6</v>
      </c>
      <c r="N951" s="7">
        <v>1.2</v>
      </c>
      <c r="O951" s="7">
        <v>120</v>
      </c>
      <c r="P951" s="7" t="s">
        <v>33</v>
      </c>
      <c r="Q951" s="7" t="str">
        <f t="shared" si="56"/>
        <v>Moderate</v>
      </c>
      <c r="R951" s="7" t="str">
        <f t="shared" si="57"/>
        <v>Hot</v>
      </c>
      <c r="S951" s="7" t="str">
        <f t="shared" si="58"/>
        <v>Normal Humidity</v>
      </c>
      <c r="T951" s="7" t="str">
        <f t="shared" si="59"/>
        <v>Low Wind</v>
      </c>
    </row>
    <row r="952" spans="1:20" x14ac:dyDescent="0.25">
      <c r="A952" s="7" t="s">
        <v>1014</v>
      </c>
      <c r="B952" s="10">
        <v>46019</v>
      </c>
      <c r="C952" s="11" t="s">
        <v>50</v>
      </c>
      <c r="D952" s="11" t="s">
        <v>31</v>
      </c>
      <c r="E952" s="7" t="s">
        <v>70</v>
      </c>
      <c r="F952" s="9">
        <v>39.700000000000003</v>
      </c>
      <c r="G952" s="9">
        <v>64.400000000000006</v>
      </c>
      <c r="H952" s="9">
        <v>32.299999999999997</v>
      </c>
      <c r="I952" s="9">
        <v>11.2</v>
      </c>
      <c r="J952" s="9">
        <v>1.25</v>
      </c>
      <c r="K952" s="9">
        <v>16.399999999999999</v>
      </c>
      <c r="L952" s="7">
        <v>24.8</v>
      </c>
      <c r="M952" s="7">
        <v>55.4</v>
      </c>
      <c r="N952" s="7">
        <v>2</v>
      </c>
      <c r="O952" s="7">
        <v>178</v>
      </c>
      <c r="P952" s="7" t="s">
        <v>33</v>
      </c>
      <c r="Q952" s="7" t="str">
        <f t="shared" si="56"/>
        <v>Moderate</v>
      </c>
      <c r="R952" s="7" t="str">
        <f t="shared" si="57"/>
        <v>Normal</v>
      </c>
      <c r="S952" s="7" t="str">
        <f t="shared" si="58"/>
        <v>Normal Humidity</v>
      </c>
      <c r="T952" s="7" t="str">
        <f t="shared" si="59"/>
        <v>Moderate Wind</v>
      </c>
    </row>
    <row r="953" spans="1:20" x14ac:dyDescent="0.25">
      <c r="A953" s="7" t="s">
        <v>1015</v>
      </c>
      <c r="B953" s="10">
        <v>45862</v>
      </c>
      <c r="C953" s="11" t="s">
        <v>17</v>
      </c>
      <c r="D953" s="11" t="s">
        <v>18</v>
      </c>
      <c r="E953" s="7" t="s">
        <v>91</v>
      </c>
      <c r="F953" s="9">
        <v>36.700000000000003</v>
      </c>
      <c r="G953" s="9">
        <v>158.4</v>
      </c>
      <c r="H953" s="9">
        <v>28.7</v>
      </c>
      <c r="I953" s="9">
        <v>29.1</v>
      </c>
      <c r="J953" s="9">
        <v>1.52</v>
      </c>
      <c r="K953" s="9">
        <v>44.3</v>
      </c>
      <c r="L953" s="7">
        <v>26.7</v>
      </c>
      <c r="M953" s="7">
        <v>62.2</v>
      </c>
      <c r="N953" s="7">
        <v>4.4000000000000004</v>
      </c>
      <c r="O953" s="7">
        <v>263</v>
      </c>
      <c r="P953" s="7" t="s">
        <v>28</v>
      </c>
      <c r="Q953" s="7" t="str">
        <f t="shared" si="56"/>
        <v>VeryUnhealthy</v>
      </c>
      <c r="R953" s="7" t="str">
        <f t="shared" si="57"/>
        <v>Normal</v>
      </c>
      <c r="S953" s="7" t="str">
        <f t="shared" si="58"/>
        <v>High Humidity</v>
      </c>
      <c r="T953" s="7" t="str">
        <f t="shared" si="59"/>
        <v>Moderate Wind</v>
      </c>
    </row>
    <row r="954" spans="1:20" x14ac:dyDescent="0.25">
      <c r="A954" s="7" t="s">
        <v>1016</v>
      </c>
      <c r="B954" s="10">
        <v>45803</v>
      </c>
      <c r="C954" s="11" t="s">
        <v>22</v>
      </c>
      <c r="D954" s="11" t="s">
        <v>23</v>
      </c>
      <c r="E954" s="7" t="s">
        <v>43</v>
      </c>
      <c r="F954" s="9">
        <v>39.5</v>
      </c>
      <c r="G954" s="9">
        <v>71.099999999999994</v>
      </c>
      <c r="H954" s="9">
        <v>30.2</v>
      </c>
      <c r="I954" s="9">
        <v>4.9000000000000004</v>
      </c>
      <c r="J954" s="9">
        <v>0.27</v>
      </c>
      <c r="K954" s="9">
        <v>34.299999999999997</v>
      </c>
      <c r="L954" s="7">
        <v>34.4</v>
      </c>
      <c r="M954" s="7">
        <v>53.6</v>
      </c>
      <c r="N954" s="7">
        <v>2.6</v>
      </c>
      <c r="O954" s="7">
        <v>159</v>
      </c>
      <c r="P954" s="7" t="s">
        <v>33</v>
      </c>
      <c r="Q954" s="7" t="str">
        <f t="shared" si="56"/>
        <v>Moderate</v>
      </c>
      <c r="R954" s="7" t="str">
        <f t="shared" si="57"/>
        <v>Hot</v>
      </c>
      <c r="S954" s="7" t="str">
        <f t="shared" si="58"/>
        <v>Normal Humidity</v>
      </c>
      <c r="T954" s="7" t="str">
        <f t="shared" si="59"/>
        <v>Moderate Wind</v>
      </c>
    </row>
    <row r="955" spans="1:20" x14ac:dyDescent="0.25">
      <c r="A955" s="7" t="s">
        <v>1017</v>
      </c>
      <c r="B955" s="10">
        <v>45921</v>
      </c>
      <c r="C955" s="11" t="s">
        <v>17</v>
      </c>
      <c r="D955" s="11" t="s">
        <v>18</v>
      </c>
      <c r="E955" s="7" t="s">
        <v>70</v>
      </c>
      <c r="F955" s="9">
        <v>69.7</v>
      </c>
      <c r="G955" s="9">
        <v>184.7</v>
      </c>
      <c r="H955" s="9">
        <v>17.2</v>
      </c>
      <c r="I955" s="9">
        <v>15.8</v>
      </c>
      <c r="J955" s="9">
        <v>0.38</v>
      </c>
      <c r="K955" s="9">
        <v>34</v>
      </c>
      <c r="L955" s="7">
        <v>39.1</v>
      </c>
      <c r="M955" s="7">
        <v>98</v>
      </c>
      <c r="N955" s="7">
        <v>3.5</v>
      </c>
      <c r="O955" s="7">
        <v>281</v>
      </c>
      <c r="P955" s="7" t="s">
        <v>28</v>
      </c>
      <c r="Q955" s="7" t="str">
        <f t="shared" si="56"/>
        <v>VeryUnhealthy</v>
      </c>
      <c r="R955" s="7" t="str">
        <f t="shared" si="57"/>
        <v>Hot</v>
      </c>
      <c r="S955" s="7" t="str">
        <f t="shared" si="58"/>
        <v>High Humidity</v>
      </c>
      <c r="T955" s="7" t="str">
        <f t="shared" si="59"/>
        <v>Moderate Wind</v>
      </c>
    </row>
    <row r="956" spans="1:20" x14ac:dyDescent="0.25">
      <c r="A956" s="7" t="s">
        <v>1018</v>
      </c>
      <c r="B956" s="10">
        <v>45713</v>
      </c>
      <c r="C956" s="11" t="s">
        <v>54</v>
      </c>
      <c r="D956" s="11" t="s">
        <v>18</v>
      </c>
      <c r="E956" s="7" t="s">
        <v>32</v>
      </c>
      <c r="F956" s="9">
        <v>46.8</v>
      </c>
      <c r="G956" s="9">
        <v>146.5</v>
      </c>
      <c r="H956" s="9">
        <v>43.5</v>
      </c>
      <c r="I956" s="9">
        <v>2</v>
      </c>
      <c r="J956" s="9">
        <v>3.08</v>
      </c>
      <c r="K956" s="9">
        <v>43.1</v>
      </c>
      <c r="L956" s="7">
        <v>29.8</v>
      </c>
      <c r="M956" s="7">
        <v>51.3</v>
      </c>
      <c r="N956" s="7">
        <v>2.2999999999999998</v>
      </c>
      <c r="O956" s="7">
        <v>303</v>
      </c>
      <c r="P956" s="7" t="s">
        <v>20</v>
      </c>
      <c r="Q956" s="7" t="str">
        <f t="shared" si="56"/>
        <v>Unhealthy</v>
      </c>
      <c r="R956" s="7" t="str">
        <f t="shared" si="57"/>
        <v>Normal</v>
      </c>
      <c r="S956" s="7" t="str">
        <f t="shared" si="58"/>
        <v>Normal Humidity</v>
      </c>
      <c r="T956" s="7" t="str">
        <f t="shared" si="59"/>
        <v>Moderate Wind</v>
      </c>
    </row>
    <row r="957" spans="1:20" x14ac:dyDescent="0.25">
      <c r="A957" s="7" t="s">
        <v>1019</v>
      </c>
      <c r="B957" s="10">
        <v>45706</v>
      </c>
      <c r="C957" s="11" t="s">
        <v>54</v>
      </c>
      <c r="D957" s="11" t="s">
        <v>18</v>
      </c>
      <c r="E957" s="7" t="s">
        <v>91</v>
      </c>
      <c r="F957" s="9">
        <v>43.5</v>
      </c>
      <c r="G957" s="9">
        <v>77.599999999999994</v>
      </c>
      <c r="H957" s="9">
        <v>35.799999999999997</v>
      </c>
      <c r="I957" s="9">
        <v>16.899999999999999</v>
      </c>
      <c r="J957" s="9">
        <v>1.37</v>
      </c>
      <c r="K957" s="9">
        <v>9.1999999999999993</v>
      </c>
      <c r="L957" s="7">
        <v>29.9</v>
      </c>
      <c r="M957" s="7">
        <v>56.5</v>
      </c>
      <c r="N957" s="7">
        <v>3.8</v>
      </c>
      <c r="O957" s="7">
        <v>199</v>
      </c>
      <c r="P957" s="7" t="s">
        <v>33</v>
      </c>
      <c r="Q957" s="7" t="str">
        <f t="shared" si="56"/>
        <v>Moderate</v>
      </c>
      <c r="R957" s="7" t="str">
        <f t="shared" si="57"/>
        <v>Normal</v>
      </c>
      <c r="S957" s="7" t="str">
        <f t="shared" si="58"/>
        <v>Normal Humidity</v>
      </c>
      <c r="T957" s="7" t="str">
        <f t="shared" si="59"/>
        <v>Moderate Wind</v>
      </c>
    </row>
    <row r="958" spans="1:20" x14ac:dyDescent="0.25">
      <c r="A958" s="7" t="s">
        <v>1020</v>
      </c>
      <c r="B958" s="10">
        <v>45792</v>
      </c>
      <c r="C958" s="11" t="s">
        <v>17</v>
      </c>
      <c r="D958" s="11" t="s">
        <v>18</v>
      </c>
      <c r="E958" s="7" t="s">
        <v>45</v>
      </c>
      <c r="F958" s="9">
        <v>31.9</v>
      </c>
      <c r="G958" s="9">
        <v>87.6</v>
      </c>
      <c r="H958" s="9">
        <v>49.5</v>
      </c>
      <c r="I958" s="9">
        <v>25.1</v>
      </c>
      <c r="J958" s="9">
        <v>0.54</v>
      </c>
      <c r="K958" s="9">
        <v>27.6</v>
      </c>
      <c r="L958" s="7">
        <v>28.6</v>
      </c>
      <c r="M958" s="7">
        <v>69.7</v>
      </c>
      <c r="N958" s="7">
        <v>3.1</v>
      </c>
      <c r="O958" s="7">
        <v>191</v>
      </c>
      <c r="P958" s="7" t="s">
        <v>33</v>
      </c>
      <c r="Q958" s="7" t="str">
        <f t="shared" si="56"/>
        <v>Moderate</v>
      </c>
      <c r="R958" s="7" t="str">
        <f t="shared" si="57"/>
        <v>Normal</v>
      </c>
      <c r="S958" s="7" t="str">
        <f t="shared" si="58"/>
        <v>High Humidity</v>
      </c>
      <c r="T958" s="7" t="str">
        <f t="shared" si="59"/>
        <v>Moderate Wind</v>
      </c>
    </row>
    <row r="959" spans="1:20" x14ac:dyDescent="0.25">
      <c r="A959" s="7" t="s">
        <v>1021</v>
      </c>
      <c r="B959" s="10">
        <v>45933</v>
      </c>
      <c r="C959" s="11" t="s">
        <v>64</v>
      </c>
      <c r="D959" s="11" t="s">
        <v>36</v>
      </c>
      <c r="E959" s="7" t="s">
        <v>27</v>
      </c>
      <c r="F959" s="9">
        <v>109.4</v>
      </c>
      <c r="G959" s="9">
        <v>70.099999999999994</v>
      </c>
      <c r="H959" s="9">
        <v>16.7</v>
      </c>
      <c r="I959" s="9">
        <v>37.200000000000003</v>
      </c>
      <c r="J959" s="9">
        <v>0.86</v>
      </c>
      <c r="K959" s="9">
        <v>11.1</v>
      </c>
      <c r="L959" s="7">
        <v>31</v>
      </c>
      <c r="M959" s="7">
        <v>69.8</v>
      </c>
      <c r="N959" s="7">
        <v>3.8</v>
      </c>
      <c r="O959" s="7">
        <v>287</v>
      </c>
      <c r="P959" s="7" t="s">
        <v>28</v>
      </c>
      <c r="Q959" s="7" t="str">
        <f t="shared" si="56"/>
        <v>Moderate</v>
      </c>
      <c r="R959" s="7" t="str">
        <f t="shared" si="57"/>
        <v>Hot</v>
      </c>
      <c r="S959" s="7" t="str">
        <f t="shared" si="58"/>
        <v>High Humidity</v>
      </c>
      <c r="T959" s="7" t="str">
        <f t="shared" si="59"/>
        <v>Moderate Wind</v>
      </c>
    </row>
    <row r="960" spans="1:20" x14ac:dyDescent="0.25">
      <c r="A960" s="7" t="s">
        <v>1022</v>
      </c>
      <c r="B960" s="10">
        <v>45966</v>
      </c>
      <c r="C960" s="11" t="s">
        <v>38</v>
      </c>
      <c r="D960" s="11" t="s">
        <v>39</v>
      </c>
      <c r="E960" s="7" t="s">
        <v>19</v>
      </c>
      <c r="F960" s="9">
        <v>24.6</v>
      </c>
      <c r="G960" s="9">
        <v>78.3</v>
      </c>
      <c r="H960" s="9">
        <v>29</v>
      </c>
      <c r="I960" s="9">
        <v>9.9</v>
      </c>
      <c r="J960" s="9">
        <v>0.76</v>
      </c>
      <c r="K960" s="9">
        <v>28.2</v>
      </c>
      <c r="L960" s="7">
        <v>23</v>
      </c>
      <c r="M960" s="7">
        <v>45.9</v>
      </c>
      <c r="N960" s="7">
        <v>1.4</v>
      </c>
      <c r="O960" s="7">
        <v>152</v>
      </c>
      <c r="P960" s="7" t="s">
        <v>33</v>
      </c>
      <c r="Q960" s="7" t="str">
        <f t="shared" si="56"/>
        <v>Moderate</v>
      </c>
      <c r="R960" s="7" t="str">
        <f t="shared" si="57"/>
        <v>Normal</v>
      </c>
      <c r="S960" s="7" t="str">
        <f t="shared" si="58"/>
        <v>Normal Humidity</v>
      </c>
      <c r="T960" s="7" t="str">
        <f t="shared" si="59"/>
        <v>Low Wind</v>
      </c>
    </row>
    <row r="961" spans="1:20" x14ac:dyDescent="0.25">
      <c r="A961" s="7" t="s">
        <v>1023</v>
      </c>
      <c r="B961" s="10">
        <v>45693</v>
      </c>
      <c r="C961" s="11" t="s">
        <v>17</v>
      </c>
      <c r="D961" s="11" t="s">
        <v>18</v>
      </c>
      <c r="E961" s="7" t="s">
        <v>58</v>
      </c>
      <c r="F961" s="9">
        <v>112.6</v>
      </c>
      <c r="G961" s="9">
        <v>63.5</v>
      </c>
      <c r="H961" s="9">
        <v>12.2</v>
      </c>
      <c r="I961" s="9">
        <v>18.100000000000001</v>
      </c>
      <c r="J961" s="9">
        <v>0.57999999999999996</v>
      </c>
      <c r="K961" s="9">
        <v>39.1</v>
      </c>
      <c r="L961" s="7">
        <v>19.8</v>
      </c>
      <c r="M961" s="7">
        <v>57</v>
      </c>
      <c r="N961" s="7">
        <v>2.6</v>
      </c>
      <c r="O961" s="7">
        <v>276</v>
      </c>
      <c r="P961" s="7" t="s">
        <v>28</v>
      </c>
      <c r="Q961" s="7" t="str">
        <f t="shared" si="56"/>
        <v>Moderate</v>
      </c>
      <c r="R961" s="7" t="str">
        <f t="shared" si="57"/>
        <v>Cool</v>
      </c>
      <c r="S961" s="7" t="str">
        <f t="shared" si="58"/>
        <v>Normal Humidity</v>
      </c>
      <c r="T961" s="7" t="str">
        <f t="shared" si="59"/>
        <v>Moderate Wind</v>
      </c>
    </row>
    <row r="962" spans="1:20" x14ac:dyDescent="0.25">
      <c r="A962" s="7" t="s">
        <v>1024</v>
      </c>
      <c r="B962" s="10">
        <v>45709</v>
      </c>
      <c r="C962" s="11" t="s">
        <v>42</v>
      </c>
      <c r="D962" s="11" t="s">
        <v>23</v>
      </c>
      <c r="E962" s="7" t="s">
        <v>27</v>
      </c>
      <c r="F962" s="9">
        <v>99.7</v>
      </c>
      <c r="G962" s="9">
        <v>47</v>
      </c>
      <c r="H962" s="9">
        <v>42.6</v>
      </c>
      <c r="I962" s="9">
        <v>4.4000000000000004</v>
      </c>
      <c r="J962" s="9">
        <v>2.79</v>
      </c>
      <c r="K962" s="9">
        <v>40.5</v>
      </c>
      <c r="L962" s="7">
        <v>24.5</v>
      </c>
      <c r="M962" s="7">
        <v>65.3</v>
      </c>
      <c r="N962" s="7">
        <v>2.8</v>
      </c>
      <c r="O962" s="7">
        <v>315</v>
      </c>
      <c r="P962" s="7" t="s">
        <v>20</v>
      </c>
      <c r="Q962" s="7" t="str">
        <f t="shared" si="56"/>
        <v>Good</v>
      </c>
      <c r="R962" s="7" t="str">
        <f t="shared" si="57"/>
        <v>Normal</v>
      </c>
      <c r="S962" s="7" t="str">
        <f t="shared" si="58"/>
        <v>High Humidity</v>
      </c>
      <c r="T962" s="7" t="str">
        <f t="shared" si="59"/>
        <v>Moderate Wind</v>
      </c>
    </row>
    <row r="963" spans="1:20" x14ac:dyDescent="0.25">
      <c r="A963" s="7" t="s">
        <v>1026</v>
      </c>
      <c r="B963" s="10">
        <v>45872</v>
      </c>
      <c r="C963" s="11" t="s">
        <v>93</v>
      </c>
      <c r="D963" s="11" t="s">
        <v>36</v>
      </c>
      <c r="E963" s="7" t="s">
        <v>70</v>
      </c>
      <c r="F963" s="9">
        <v>42.3</v>
      </c>
      <c r="G963" s="9">
        <v>59.2</v>
      </c>
      <c r="H963" s="9">
        <v>15.6</v>
      </c>
      <c r="I963" s="9">
        <v>15.8</v>
      </c>
      <c r="J963" s="9">
        <v>1.03</v>
      </c>
      <c r="K963" s="9">
        <v>32.200000000000003</v>
      </c>
      <c r="L963" s="7">
        <v>29.2</v>
      </c>
      <c r="M963" s="7">
        <v>61.5</v>
      </c>
      <c r="N963" s="7">
        <v>2.1</v>
      </c>
      <c r="O963" s="7">
        <v>170</v>
      </c>
      <c r="P963" s="7" t="s">
        <v>33</v>
      </c>
      <c r="Q963" s="7" t="str">
        <f t="shared" ref="Q963:Q1026" si="60">IF(G963&lt;50,"Good",IF(G963&lt;=100,"Moderate",IF(G963&lt;=150,"Unhealthy","VeryUnhealthy")))</f>
        <v>Moderate</v>
      </c>
      <c r="R963" s="7" t="str">
        <f t="shared" ref="R963:R1026" si="61">IF(L963&lt;20,"Cool",IF(L963&lt;=30,"Normal","Hot"))</f>
        <v>Normal</v>
      </c>
      <c r="S963" s="7" t="str">
        <f t="shared" ref="S963:S1026" si="62">IF(M963&lt;30,"Low Humidity",IF(M963&lt;=60,"Normal Humidity","High Humidity"))</f>
        <v>High Humidity</v>
      </c>
      <c r="T963" s="7" t="str">
        <f t="shared" ref="T963:T1026" si="63">IF(N963&lt;2,"Low Wind",IF(N963&lt;=5,"Moderate Wind","High Wind"))</f>
        <v>Moderate Wind</v>
      </c>
    </row>
    <row r="964" spans="1:20" x14ac:dyDescent="0.25">
      <c r="A964" s="7" t="s">
        <v>1027</v>
      </c>
      <c r="B964" s="10">
        <v>45927</v>
      </c>
      <c r="C964" s="11" t="s">
        <v>93</v>
      </c>
      <c r="D964" s="11" t="s">
        <v>36</v>
      </c>
      <c r="E964" s="7" t="s">
        <v>68</v>
      </c>
      <c r="F964" s="9">
        <v>54.9</v>
      </c>
      <c r="G964" s="9">
        <v>208.8</v>
      </c>
      <c r="H964" s="9">
        <v>23.7</v>
      </c>
      <c r="I964" s="9">
        <v>28.5</v>
      </c>
      <c r="J964" s="9">
        <v>0.16</v>
      </c>
      <c r="K964" s="9">
        <v>27.1</v>
      </c>
      <c r="L964" s="7">
        <v>21.4</v>
      </c>
      <c r="M964" s="7">
        <v>48.3</v>
      </c>
      <c r="N964" s="7">
        <v>1.6</v>
      </c>
      <c r="O964" s="7">
        <v>279</v>
      </c>
      <c r="P964" s="7" t="s">
        <v>28</v>
      </c>
      <c r="Q964" s="7" t="str">
        <f t="shared" si="60"/>
        <v>VeryUnhealthy</v>
      </c>
      <c r="R964" s="7" t="str">
        <f t="shared" si="61"/>
        <v>Normal</v>
      </c>
      <c r="S964" s="7" t="str">
        <f t="shared" si="62"/>
        <v>Normal Humidity</v>
      </c>
      <c r="T964" s="7" t="str">
        <f t="shared" si="63"/>
        <v>Low Wind</v>
      </c>
    </row>
    <row r="965" spans="1:20" x14ac:dyDescent="0.25">
      <c r="A965" s="7" t="s">
        <v>1028</v>
      </c>
      <c r="B965" s="10">
        <v>46002</v>
      </c>
      <c r="C965" s="11" t="s">
        <v>99</v>
      </c>
      <c r="D965" s="11" t="s">
        <v>36</v>
      </c>
      <c r="E965" s="7" t="s">
        <v>24</v>
      </c>
      <c r="F965" s="9">
        <v>113.6</v>
      </c>
      <c r="G965" s="9">
        <v>70.099999999999994</v>
      </c>
      <c r="H965" s="9">
        <v>7.8</v>
      </c>
      <c r="I965" s="9">
        <v>9.6999999999999993</v>
      </c>
      <c r="J965" s="9">
        <v>2.44</v>
      </c>
      <c r="K965" s="9">
        <v>58.5</v>
      </c>
      <c r="L965" s="7">
        <v>25.5</v>
      </c>
      <c r="M965" s="7">
        <v>63.5</v>
      </c>
      <c r="N965" s="7">
        <v>2.5</v>
      </c>
      <c r="O965" s="7">
        <v>328</v>
      </c>
      <c r="P965" s="7" t="s">
        <v>20</v>
      </c>
      <c r="Q965" s="7" t="str">
        <f t="shared" si="60"/>
        <v>Moderate</v>
      </c>
      <c r="R965" s="7" t="str">
        <f t="shared" si="61"/>
        <v>Normal</v>
      </c>
      <c r="S965" s="7" t="str">
        <f t="shared" si="62"/>
        <v>High Humidity</v>
      </c>
      <c r="T965" s="7" t="str">
        <f t="shared" si="63"/>
        <v>Moderate Wind</v>
      </c>
    </row>
    <row r="966" spans="1:20" x14ac:dyDescent="0.25">
      <c r="A966" s="7" t="s">
        <v>1029</v>
      </c>
      <c r="B966" s="10">
        <v>45808</v>
      </c>
      <c r="C966" s="11" t="s">
        <v>42</v>
      </c>
      <c r="D966" s="11" t="s">
        <v>23</v>
      </c>
      <c r="E966" s="7" t="s">
        <v>68</v>
      </c>
      <c r="F966" s="9">
        <v>50.5</v>
      </c>
      <c r="G966" s="9">
        <v>87.4</v>
      </c>
      <c r="H966" s="9">
        <v>68.7</v>
      </c>
      <c r="I966" s="9">
        <v>8.8000000000000007</v>
      </c>
      <c r="J966" s="9">
        <v>1.6</v>
      </c>
      <c r="K966" s="9">
        <v>9.3000000000000007</v>
      </c>
      <c r="L966" s="7">
        <v>33.6</v>
      </c>
      <c r="M966" s="7">
        <v>65</v>
      </c>
      <c r="N966" s="7">
        <v>1.6</v>
      </c>
      <c r="O966" s="7">
        <v>243</v>
      </c>
      <c r="P966" s="7" t="s">
        <v>28</v>
      </c>
      <c r="Q966" s="7" t="str">
        <f t="shared" si="60"/>
        <v>Moderate</v>
      </c>
      <c r="R966" s="7" t="str">
        <f t="shared" si="61"/>
        <v>Hot</v>
      </c>
      <c r="S966" s="7" t="str">
        <f t="shared" si="62"/>
        <v>High Humidity</v>
      </c>
      <c r="T966" s="7" t="str">
        <f t="shared" si="63"/>
        <v>Low Wind</v>
      </c>
    </row>
    <row r="967" spans="1:20" x14ac:dyDescent="0.25">
      <c r="A967" s="7" t="s">
        <v>1030</v>
      </c>
      <c r="B967" s="10">
        <v>45720</v>
      </c>
      <c r="C967" s="11" t="s">
        <v>22</v>
      </c>
      <c r="D967" s="11" t="s">
        <v>23</v>
      </c>
      <c r="E967" s="7" t="s">
        <v>43</v>
      </c>
      <c r="F967" s="9">
        <v>27.3</v>
      </c>
      <c r="G967" s="9">
        <v>58.5</v>
      </c>
      <c r="H967" s="9">
        <v>8</v>
      </c>
      <c r="I967" s="9">
        <v>14.4</v>
      </c>
      <c r="J967" s="9">
        <v>0.6</v>
      </c>
      <c r="K967" s="9">
        <v>51.1</v>
      </c>
      <c r="L967" s="7">
        <v>25</v>
      </c>
      <c r="M967" s="7">
        <v>74.2</v>
      </c>
      <c r="N967" s="7">
        <v>0.6</v>
      </c>
      <c r="O967" s="7">
        <v>136</v>
      </c>
      <c r="P967" s="7" t="s">
        <v>33</v>
      </c>
      <c r="Q967" s="7" t="str">
        <f t="shared" si="60"/>
        <v>Moderate</v>
      </c>
      <c r="R967" s="7" t="str">
        <f t="shared" si="61"/>
        <v>Normal</v>
      </c>
      <c r="S967" s="7" t="str">
        <f t="shared" si="62"/>
        <v>High Humidity</v>
      </c>
      <c r="T967" s="7" t="str">
        <f t="shared" si="63"/>
        <v>Low Wind</v>
      </c>
    </row>
    <row r="968" spans="1:20" x14ac:dyDescent="0.25">
      <c r="A968" s="7" t="s">
        <v>1031</v>
      </c>
      <c r="B968" s="10">
        <v>45750</v>
      </c>
      <c r="C968" s="11" t="s">
        <v>67</v>
      </c>
      <c r="D968" s="11" t="s">
        <v>18</v>
      </c>
      <c r="E968" s="7" t="s">
        <v>27</v>
      </c>
      <c r="F968" s="9">
        <v>92</v>
      </c>
      <c r="G968" s="9">
        <v>95.8</v>
      </c>
      <c r="H968" s="9">
        <v>11.9</v>
      </c>
      <c r="I968" s="9">
        <v>2.6</v>
      </c>
      <c r="J968" s="9">
        <v>0.49</v>
      </c>
      <c r="K968" s="9">
        <v>27.7</v>
      </c>
      <c r="L968" s="7">
        <v>25.3</v>
      </c>
      <c r="M968" s="7">
        <v>71.3</v>
      </c>
      <c r="N968" s="7">
        <v>3.2</v>
      </c>
      <c r="O968" s="7">
        <v>246</v>
      </c>
      <c r="P968" s="7" t="s">
        <v>28</v>
      </c>
      <c r="Q968" s="7" t="str">
        <f t="shared" si="60"/>
        <v>Moderate</v>
      </c>
      <c r="R968" s="7" t="str">
        <f t="shared" si="61"/>
        <v>Normal</v>
      </c>
      <c r="S968" s="7" t="str">
        <f t="shared" si="62"/>
        <v>High Humidity</v>
      </c>
      <c r="T968" s="7" t="str">
        <f t="shared" si="63"/>
        <v>Moderate Wind</v>
      </c>
    </row>
    <row r="969" spans="1:20" x14ac:dyDescent="0.25">
      <c r="A969" s="7" t="s">
        <v>1032</v>
      </c>
      <c r="B969" s="10">
        <v>45940</v>
      </c>
      <c r="C969" s="11" t="s">
        <v>38</v>
      </c>
      <c r="D969" s="11" t="s">
        <v>39</v>
      </c>
      <c r="E969" s="7" t="s">
        <v>70</v>
      </c>
      <c r="F969" s="9">
        <v>90.2</v>
      </c>
      <c r="G969" s="9">
        <v>121.9</v>
      </c>
      <c r="H969" s="9">
        <v>31.7</v>
      </c>
      <c r="I969" s="9">
        <v>17.8</v>
      </c>
      <c r="J969" s="9">
        <v>1</v>
      </c>
      <c r="K969" s="9">
        <v>45.4</v>
      </c>
      <c r="L969" s="7">
        <v>25.2</v>
      </c>
      <c r="M969" s="7">
        <v>72.3</v>
      </c>
      <c r="N969" s="7">
        <v>1.1000000000000001</v>
      </c>
      <c r="O969" s="7">
        <v>307</v>
      </c>
      <c r="P969" s="7" t="s">
        <v>20</v>
      </c>
      <c r="Q969" s="7" t="str">
        <f t="shared" si="60"/>
        <v>Unhealthy</v>
      </c>
      <c r="R969" s="7" t="str">
        <f t="shared" si="61"/>
        <v>Normal</v>
      </c>
      <c r="S969" s="7" t="str">
        <f t="shared" si="62"/>
        <v>High Humidity</v>
      </c>
      <c r="T969" s="7" t="str">
        <f t="shared" si="63"/>
        <v>Low Wind</v>
      </c>
    </row>
    <row r="970" spans="1:20" x14ac:dyDescent="0.25">
      <c r="A970" s="7" t="s">
        <v>1033</v>
      </c>
      <c r="B970" s="10">
        <v>45897</v>
      </c>
      <c r="C970" s="11" t="s">
        <v>17</v>
      </c>
      <c r="D970" s="11" t="s">
        <v>18</v>
      </c>
      <c r="E970" s="7" t="s">
        <v>74</v>
      </c>
      <c r="F970" s="9">
        <v>52.8</v>
      </c>
      <c r="G970" s="9">
        <v>53.4</v>
      </c>
      <c r="H970" s="9">
        <v>60.5</v>
      </c>
      <c r="I970" s="9">
        <v>0.8</v>
      </c>
      <c r="J970" s="9">
        <v>1.29</v>
      </c>
      <c r="K970" s="9">
        <v>13.5</v>
      </c>
      <c r="L970" s="7">
        <v>27.6</v>
      </c>
      <c r="M970" s="7">
        <v>79.7</v>
      </c>
      <c r="N970" s="7">
        <v>2.9</v>
      </c>
      <c r="O970" s="7">
        <v>206</v>
      </c>
      <c r="P970" s="7" t="s">
        <v>28</v>
      </c>
      <c r="Q970" s="7" t="str">
        <f t="shared" si="60"/>
        <v>Moderate</v>
      </c>
      <c r="R970" s="7" t="str">
        <f t="shared" si="61"/>
        <v>Normal</v>
      </c>
      <c r="S970" s="7" t="str">
        <f t="shared" si="62"/>
        <v>High Humidity</v>
      </c>
      <c r="T970" s="7" t="str">
        <f t="shared" si="63"/>
        <v>Moderate Wind</v>
      </c>
    </row>
    <row r="971" spans="1:20" x14ac:dyDescent="0.25">
      <c r="A971" s="7" t="s">
        <v>1034</v>
      </c>
      <c r="B971" s="10">
        <v>45800</v>
      </c>
      <c r="C971" s="11" t="s">
        <v>42</v>
      </c>
      <c r="D971" s="11" t="s">
        <v>23</v>
      </c>
      <c r="E971" s="7" t="s">
        <v>70</v>
      </c>
      <c r="F971" s="9">
        <v>62.4</v>
      </c>
      <c r="G971" s="9">
        <v>111.9</v>
      </c>
      <c r="H971" s="9">
        <v>47.9</v>
      </c>
      <c r="I971" s="9">
        <v>12.7</v>
      </c>
      <c r="J971" s="9">
        <v>0.52</v>
      </c>
      <c r="K971" s="9">
        <v>7.9</v>
      </c>
      <c r="L971" s="7">
        <v>18.8</v>
      </c>
      <c r="M971" s="7">
        <v>64.5</v>
      </c>
      <c r="N971" s="7">
        <v>3.5</v>
      </c>
      <c r="O971" s="7">
        <v>236</v>
      </c>
      <c r="P971" s="7" t="s">
        <v>28</v>
      </c>
      <c r="Q971" s="7" t="str">
        <f t="shared" si="60"/>
        <v>Unhealthy</v>
      </c>
      <c r="R971" s="7" t="str">
        <f t="shared" si="61"/>
        <v>Cool</v>
      </c>
      <c r="S971" s="7" t="str">
        <f t="shared" si="62"/>
        <v>High Humidity</v>
      </c>
      <c r="T971" s="7" t="str">
        <f t="shared" si="63"/>
        <v>Moderate Wind</v>
      </c>
    </row>
    <row r="972" spans="1:20" x14ac:dyDescent="0.25">
      <c r="A972" s="7" t="s">
        <v>1035</v>
      </c>
      <c r="B972" s="10">
        <v>45862</v>
      </c>
      <c r="C972" s="11" t="s">
        <v>26</v>
      </c>
      <c r="D972" s="11" t="s">
        <v>23</v>
      </c>
      <c r="E972" s="7" t="s">
        <v>40</v>
      </c>
      <c r="F972" s="9">
        <v>11.2</v>
      </c>
      <c r="G972" s="9">
        <v>16.899999999999999</v>
      </c>
      <c r="H972" s="9">
        <v>15.7</v>
      </c>
      <c r="I972" s="9">
        <v>11.4</v>
      </c>
      <c r="J972" s="9">
        <v>0.61</v>
      </c>
      <c r="K972" s="9">
        <v>32.1</v>
      </c>
      <c r="L972" s="7">
        <v>25.9</v>
      </c>
      <c r="M972" s="7">
        <v>45.8</v>
      </c>
      <c r="N972" s="7">
        <v>3.2</v>
      </c>
      <c r="O972" s="7">
        <v>79</v>
      </c>
      <c r="P972" s="7" t="s">
        <v>71</v>
      </c>
      <c r="Q972" s="7" t="str">
        <f t="shared" si="60"/>
        <v>Good</v>
      </c>
      <c r="R972" s="7" t="str">
        <f t="shared" si="61"/>
        <v>Normal</v>
      </c>
      <c r="S972" s="7" t="str">
        <f t="shared" si="62"/>
        <v>Normal Humidity</v>
      </c>
      <c r="T972" s="7" t="str">
        <f t="shared" si="63"/>
        <v>Moderate Wind</v>
      </c>
    </row>
    <row r="973" spans="1:20" x14ac:dyDescent="0.25">
      <c r="A973" s="7" t="s">
        <v>1036</v>
      </c>
      <c r="B973" s="10">
        <v>45743</v>
      </c>
      <c r="C973" s="11" t="s">
        <v>67</v>
      </c>
      <c r="D973" s="11" t="s">
        <v>18</v>
      </c>
      <c r="E973" s="7" t="s">
        <v>74</v>
      </c>
      <c r="F973" s="9">
        <v>76.099999999999994</v>
      </c>
      <c r="G973" s="9">
        <v>249.8</v>
      </c>
      <c r="H973" s="9">
        <v>20.399999999999999</v>
      </c>
      <c r="I973" s="9">
        <v>5.5</v>
      </c>
      <c r="J973" s="9">
        <v>0.48</v>
      </c>
      <c r="K973" s="9">
        <v>71.599999999999994</v>
      </c>
      <c r="L973" s="7">
        <v>22</v>
      </c>
      <c r="M973" s="7">
        <v>53.6</v>
      </c>
      <c r="N973" s="7">
        <v>1</v>
      </c>
      <c r="O973" s="7">
        <v>349</v>
      </c>
      <c r="P973" s="7" t="s">
        <v>20</v>
      </c>
      <c r="Q973" s="7" t="str">
        <f t="shared" si="60"/>
        <v>VeryUnhealthy</v>
      </c>
      <c r="R973" s="7" t="str">
        <f t="shared" si="61"/>
        <v>Normal</v>
      </c>
      <c r="S973" s="7" t="str">
        <f t="shared" si="62"/>
        <v>Normal Humidity</v>
      </c>
      <c r="T973" s="7" t="str">
        <f t="shared" si="63"/>
        <v>Low Wind</v>
      </c>
    </row>
    <row r="974" spans="1:20" x14ac:dyDescent="0.25">
      <c r="A974" s="7" t="s">
        <v>1037</v>
      </c>
      <c r="B974" s="10">
        <v>45863</v>
      </c>
      <c r="C974" s="11" t="s">
        <v>67</v>
      </c>
      <c r="D974" s="11" t="s">
        <v>18</v>
      </c>
      <c r="E974" s="7" t="s">
        <v>55</v>
      </c>
      <c r="F974" s="9">
        <v>43.9</v>
      </c>
      <c r="G974" s="9">
        <v>69.900000000000006</v>
      </c>
      <c r="H974" s="9">
        <v>40.5</v>
      </c>
      <c r="I974" s="9">
        <v>7.7</v>
      </c>
      <c r="J974" s="9">
        <v>0.65</v>
      </c>
      <c r="K974" s="9">
        <v>33.9</v>
      </c>
      <c r="L974" s="7">
        <v>21.8</v>
      </c>
      <c r="M974" s="7">
        <v>55.4</v>
      </c>
      <c r="N974" s="7">
        <v>1.5</v>
      </c>
      <c r="O974" s="7">
        <v>185</v>
      </c>
      <c r="P974" s="7" t="s">
        <v>33</v>
      </c>
      <c r="Q974" s="7" t="str">
        <f t="shared" si="60"/>
        <v>Moderate</v>
      </c>
      <c r="R974" s="7" t="str">
        <f t="shared" si="61"/>
        <v>Normal</v>
      </c>
      <c r="S974" s="7" t="str">
        <f t="shared" si="62"/>
        <v>Normal Humidity</v>
      </c>
      <c r="T974" s="7" t="str">
        <f t="shared" si="63"/>
        <v>Low Wind</v>
      </c>
    </row>
    <row r="975" spans="1:20" x14ac:dyDescent="0.25">
      <c r="A975" s="7" t="s">
        <v>1038</v>
      </c>
      <c r="B975" s="10">
        <v>45845</v>
      </c>
      <c r="C975" s="11" t="s">
        <v>26</v>
      </c>
      <c r="D975" s="11" t="s">
        <v>23</v>
      </c>
      <c r="E975" s="7" t="s">
        <v>70</v>
      </c>
      <c r="F975" s="9">
        <v>23</v>
      </c>
      <c r="G975" s="9">
        <v>59.2</v>
      </c>
      <c r="H975" s="9">
        <v>6.5</v>
      </c>
      <c r="I975" s="9">
        <v>15.9</v>
      </c>
      <c r="J975" s="9">
        <v>1.1000000000000001</v>
      </c>
      <c r="K975" s="9">
        <v>66.099999999999994</v>
      </c>
      <c r="L975" s="7">
        <v>17.100000000000001</v>
      </c>
      <c r="M975" s="7">
        <v>63.8</v>
      </c>
      <c r="N975" s="7">
        <v>2.5</v>
      </c>
      <c r="O975" s="7">
        <v>149</v>
      </c>
      <c r="P975" s="7" t="s">
        <v>33</v>
      </c>
      <c r="Q975" s="7" t="str">
        <f t="shared" si="60"/>
        <v>Moderate</v>
      </c>
      <c r="R975" s="7" t="str">
        <f t="shared" si="61"/>
        <v>Cool</v>
      </c>
      <c r="S975" s="7" t="str">
        <f t="shared" si="62"/>
        <v>High Humidity</v>
      </c>
      <c r="T975" s="7" t="str">
        <f t="shared" si="63"/>
        <v>Moderate Wind</v>
      </c>
    </row>
    <row r="976" spans="1:20" x14ac:dyDescent="0.25">
      <c r="A976" s="7" t="s">
        <v>1039</v>
      </c>
      <c r="B976" s="10">
        <v>45717</v>
      </c>
      <c r="C976" s="11" t="s">
        <v>93</v>
      </c>
      <c r="D976" s="11" t="s">
        <v>36</v>
      </c>
      <c r="E976" s="7" t="s">
        <v>74</v>
      </c>
      <c r="F976" s="9">
        <v>36.5</v>
      </c>
      <c r="G976" s="9">
        <v>46.2</v>
      </c>
      <c r="H976" s="9">
        <v>60.4</v>
      </c>
      <c r="I976" s="9">
        <v>7.7</v>
      </c>
      <c r="J976" s="9">
        <v>1.72</v>
      </c>
      <c r="K976" s="9">
        <v>48.9</v>
      </c>
      <c r="L976" s="7">
        <v>29.8</v>
      </c>
      <c r="M976" s="7">
        <v>54.4</v>
      </c>
      <c r="N976" s="7">
        <v>3.5</v>
      </c>
      <c r="O976" s="7">
        <v>207</v>
      </c>
      <c r="P976" s="7" t="s">
        <v>28</v>
      </c>
      <c r="Q976" s="7" t="str">
        <f t="shared" si="60"/>
        <v>Good</v>
      </c>
      <c r="R976" s="7" t="str">
        <f t="shared" si="61"/>
        <v>Normal</v>
      </c>
      <c r="S976" s="7" t="str">
        <f t="shared" si="62"/>
        <v>Normal Humidity</v>
      </c>
      <c r="T976" s="7" t="str">
        <f t="shared" si="63"/>
        <v>Moderate Wind</v>
      </c>
    </row>
    <row r="977" spans="1:20" x14ac:dyDescent="0.25">
      <c r="A977" s="7" t="s">
        <v>1040</v>
      </c>
      <c r="B977" s="10">
        <v>45727</v>
      </c>
      <c r="C977" s="11" t="s">
        <v>38</v>
      </c>
      <c r="D977" s="11" t="s">
        <v>39</v>
      </c>
      <c r="E977" s="7" t="s">
        <v>58</v>
      </c>
      <c r="F977" s="9">
        <v>72.900000000000006</v>
      </c>
      <c r="G977" s="9">
        <v>46.4</v>
      </c>
      <c r="H977" s="9">
        <v>30.4</v>
      </c>
      <c r="I977" s="9">
        <v>12.3</v>
      </c>
      <c r="J977" s="9">
        <v>0.87</v>
      </c>
      <c r="K977" s="9">
        <v>17.7</v>
      </c>
      <c r="L977" s="7">
        <v>20.6</v>
      </c>
      <c r="M977" s="7">
        <v>72.900000000000006</v>
      </c>
      <c r="N977" s="7">
        <v>0.4</v>
      </c>
      <c r="O977" s="7">
        <v>209</v>
      </c>
      <c r="P977" s="7" t="s">
        <v>28</v>
      </c>
      <c r="Q977" s="7" t="str">
        <f t="shared" si="60"/>
        <v>Good</v>
      </c>
      <c r="R977" s="7" t="str">
        <f t="shared" si="61"/>
        <v>Normal</v>
      </c>
      <c r="S977" s="7" t="str">
        <f t="shared" si="62"/>
        <v>High Humidity</v>
      </c>
      <c r="T977" s="7" t="str">
        <f t="shared" si="63"/>
        <v>Low Wind</v>
      </c>
    </row>
    <row r="978" spans="1:20" x14ac:dyDescent="0.25">
      <c r="A978" s="7" t="s">
        <v>1041</v>
      </c>
      <c r="B978" s="10">
        <v>45951</v>
      </c>
      <c r="C978" s="11" t="s">
        <v>30</v>
      </c>
      <c r="D978" s="11" t="s">
        <v>31</v>
      </c>
      <c r="E978" s="7" t="s">
        <v>43</v>
      </c>
      <c r="F978" s="9">
        <v>55.4</v>
      </c>
      <c r="G978" s="9">
        <v>141.1</v>
      </c>
      <c r="H978" s="9">
        <v>35.5</v>
      </c>
      <c r="I978" s="9">
        <v>11.6</v>
      </c>
      <c r="J978" s="9">
        <v>0.73</v>
      </c>
      <c r="K978" s="9">
        <v>34.299999999999997</v>
      </c>
      <c r="L978" s="7">
        <v>25.3</v>
      </c>
      <c r="M978" s="7">
        <v>66.3</v>
      </c>
      <c r="N978" s="7">
        <v>1.6</v>
      </c>
      <c r="O978" s="7">
        <v>251</v>
      </c>
      <c r="P978" s="7" t="s">
        <v>28</v>
      </c>
      <c r="Q978" s="7" t="str">
        <f t="shared" si="60"/>
        <v>Unhealthy</v>
      </c>
      <c r="R978" s="7" t="str">
        <f t="shared" si="61"/>
        <v>Normal</v>
      </c>
      <c r="S978" s="7" t="str">
        <f t="shared" si="62"/>
        <v>High Humidity</v>
      </c>
      <c r="T978" s="7" t="str">
        <f t="shared" si="63"/>
        <v>Low Wind</v>
      </c>
    </row>
    <row r="979" spans="1:20" x14ac:dyDescent="0.25">
      <c r="A979" s="7" t="s">
        <v>1042</v>
      </c>
      <c r="B979" s="10">
        <v>45820</v>
      </c>
      <c r="C979" s="11" t="s">
        <v>17</v>
      </c>
      <c r="D979" s="11" t="s">
        <v>18</v>
      </c>
      <c r="E979" s="7" t="s">
        <v>24</v>
      </c>
      <c r="F979" s="9">
        <v>43.9</v>
      </c>
      <c r="G979" s="9">
        <v>146.9</v>
      </c>
      <c r="H979" s="9">
        <v>73.3</v>
      </c>
      <c r="I979" s="9">
        <v>8.1</v>
      </c>
      <c r="J979" s="9">
        <v>0.01</v>
      </c>
      <c r="K979" s="9">
        <v>15.1</v>
      </c>
      <c r="L979" s="7">
        <v>35.9</v>
      </c>
      <c r="M979" s="7">
        <v>64</v>
      </c>
      <c r="N979" s="7">
        <v>1.7</v>
      </c>
      <c r="O979" s="7">
        <v>237</v>
      </c>
      <c r="P979" s="7" t="s">
        <v>28</v>
      </c>
      <c r="Q979" s="7" t="str">
        <f t="shared" si="60"/>
        <v>Unhealthy</v>
      </c>
      <c r="R979" s="7" t="str">
        <f t="shared" si="61"/>
        <v>Hot</v>
      </c>
      <c r="S979" s="7" t="str">
        <f t="shared" si="62"/>
        <v>High Humidity</v>
      </c>
      <c r="T979" s="7" t="str">
        <f t="shared" si="63"/>
        <v>Low Wind</v>
      </c>
    </row>
    <row r="980" spans="1:20" x14ac:dyDescent="0.25">
      <c r="A980" s="7" t="s">
        <v>1043</v>
      </c>
      <c r="B980" s="10">
        <v>45707</v>
      </c>
      <c r="C980" s="11" t="s">
        <v>26</v>
      </c>
      <c r="D980" s="11" t="s">
        <v>23</v>
      </c>
      <c r="E980" s="7" t="s">
        <v>24</v>
      </c>
      <c r="F980" s="9">
        <v>66.3</v>
      </c>
      <c r="G980" s="9">
        <v>31</v>
      </c>
      <c r="H980" s="9">
        <v>28.5</v>
      </c>
      <c r="I980" s="9">
        <v>25.3</v>
      </c>
      <c r="J980" s="9">
        <v>1.1200000000000001</v>
      </c>
      <c r="K980" s="9">
        <v>15.8</v>
      </c>
      <c r="L980" s="7">
        <v>27.1</v>
      </c>
      <c r="M980" s="7">
        <v>55.4</v>
      </c>
      <c r="N980" s="7">
        <v>2.5</v>
      </c>
      <c r="O980" s="7">
        <v>202</v>
      </c>
      <c r="P980" s="7" t="s">
        <v>28</v>
      </c>
      <c r="Q980" s="7" t="str">
        <f t="shared" si="60"/>
        <v>Good</v>
      </c>
      <c r="R980" s="7" t="str">
        <f t="shared" si="61"/>
        <v>Normal</v>
      </c>
      <c r="S980" s="7" t="str">
        <f t="shared" si="62"/>
        <v>Normal Humidity</v>
      </c>
      <c r="T980" s="7" t="str">
        <f t="shared" si="63"/>
        <v>Moderate Wind</v>
      </c>
    </row>
    <row r="981" spans="1:20" x14ac:dyDescent="0.25">
      <c r="A981" s="7" t="s">
        <v>1044</v>
      </c>
      <c r="B981" s="10">
        <v>45871</v>
      </c>
      <c r="C981" s="11" t="s">
        <v>22</v>
      </c>
      <c r="D981" s="11" t="s">
        <v>23</v>
      </c>
      <c r="E981" s="7" t="s">
        <v>19</v>
      </c>
      <c r="F981" s="9">
        <v>58.3</v>
      </c>
      <c r="G981" s="9">
        <v>222.3</v>
      </c>
      <c r="H981" s="9">
        <v>24.5</v>
      </c>
      <c r="I981" s="9">
        <v>19.5</v>
      </c>
      <c r="J981" s="9">
        <v>0.45</v>
      </c>
      <c r="K981" s="9">
        <v>33.4</v>
      </c>
      <c r="L981" s="7">
        <v>33</v>
      </c>
      <c r="M981" s="7">
        <v>57.7</v>
      </c>
      <c r="N981" s="7">
        <v>1.2</v>
      </c>
      <c r="O981" s="7">
        <v>297</v>
      </c>
      <c r="P981" s="7" t="s">
        <v>28</v>
      </c>
      <c r="Q981" s="7" t="str">
        <f t="shared" si="60"/>
        <v>VeryUnhealthy</v>
      </c>
      <c r="R981" s="7" t="str">
        <f t="shared" si="61"/>
        <v>Hot</v>
      </c>
      <c r="S981" s="7" t="str">
        <f t="shared" si="62"/>
        <v>Normal Humidity</v>
      </c>
      <c r="T981" s="7" t="str">
        <f t="shared" si="63"/>
        <v>Low Wind</v>
      </c>
    </row>
    <row r="982" spans="1:20" x14ac:dyDescent="0.25">
      <c r="A982" s="7" t="s">
        <v>1045</v>
      </c>
      <c r="B982" s="10">
        <v>45840</v>
      </c>
      <c r="C982" s="11" t="s">
        <v>26</v>
      </c>
      <c r="D982" s="11" t="s">
        <v>23</v>
      </c>
      <c r="E982" s="7" t="s">
        <v>74</v>
      </c>
      <c r="F982" s="9">
        <v>27.9</v>
      </c>
      <c r="G982" s="9">
        <v>111.3</v>
      </c>
      <c r="H982" s="9">
        <v>2.2000000000000002</v>
      </c>
      <c r="I982" s="9">
        <v>13.5</v>
      </c>
      <c r="J982" s="9">
        <v>1.89</v>
      </c>
      <c r="K982" s="9">
        <v>37.700000000000003</v>
      </c>
      <c r="L982" s="7">
        <v>23.5</v>
      </c>
      <c r="M982" s="7">
        <v>20</v>
      </c>
      <c r="N982" s="7">
        <v>0.4</v>
      </c>
      <c r="O982" s="7">
        <v>192</v>
      </c>
      <c r="P982" s="7" t="s">
        <v>33</v>
      </c>
      <c r="Q982" s="7" t="str">
        <f t="shared" si="60"/>
        <v>Unhealthy</v>
      </c>
      <c r="R982" s="7" t="str">
        <f t="shared" si="61"/>
        <v>Normal</v>
      </c>
      <c r="S982" s="7" t="str">
        <f t="shared" si="62"/>
        <v>Low Humidity</v>
      </c>
      <c r="T982" s="7" t="str">
        <f t="shared" si="63"/>
        <v>Low Wind</v>
      </c>
    </row>
    <row r="983" spans="1:20" x14ac:dyDescent="0.25">
      <c r="A983" s="7" t="s">
        <v>1046</v>
      </c>
      <c r="B983" s="10">
        <v>45939</v>
      </c>
      <c r="C983" s="11" t="s">
        <v>77</v>
      </c>
      <c r="D983" s="11" t="s">
        <v>39</v>
      </c>
      <c r="E983" s="7" t="s">
        <v>27</v>
      </c>
      <c r="F983" s="9">
        <v>55.5</v>
      </c>
      <c r="G983" s="9">
        <v>140.30000000000001</v>
      </c>
      <c r="H983" s="9">
        <v>43.6</v>
      </c>
      <c r="I983" s="9">
        <v>18.3</v>
      </c>
      <c r="J983" s="9">
        <v>0.61</v>
      </c>
      <c r="K983" s="9">
        <v>58.6</v>
      </c>
      <c r="L983" s="7">
        <v>27.1</v>
      </c>
      <c r="M983" s="7">
        <v>68.900000000000006</v>
      </c>
      <c r="N983" s="7">
        <v>2.9</v>
      </c>
      <c r="O983" s="7">
        <v>269</v>
      </c>
      <c r="P983" s="7" t="s">
        <v>28</v>
      </c>
      <c r="Q983" s="7" t="str">
        <f t="shared" si="60"/>
        <v>Unhealthy</v>
      </c>
      <c r="R983" s="7" t="str">
        <f t="shared" si="61"/>
        <v>Normal</v>
      </c>
      <c r="S983" s="7" t="str">
        <f t="shared" si="62"/>
        <v>High Humidity</v>
      </c>
      <c r="T983" s="7" t="str">
        <f t="shared" si="63"/>
        <v>Moderate Wind</v>
      </c>
    </row>
    <row r="984" spans="1:20" x14ac:dyDescent="0.25">
      <c r="A984" s="7" t="s">
        <v>1048</v>
      </c>
      <c r="B984" s="10">
        <v>45713</v>
      </c>
      <c r="C984" s="11" t="s">
        <v>81</v>
      </c>
      <c r="D984" s="11" t="s">
        <v>39</v>
      </c>
      <c r="E984" s="7" t="s">
        <v>45</v>
      </c>
      <c r="F984" s="9">
        <v>52.2</v>
      </c>
      <c r="G984" s="9">
        <v>52.4</v>
      </c>
      <c r="H984" s="9">
        <v>18.3</v>
      </c>
      <c r="I984" s="9">
        <v>18.2</v>
      </c>
      <c r="J984" s="9">
        <v>0.49</v>
      </c>
      <c r="K984" s="9">
        <v>80.2</v>
      </c>
      <c r="L984" s="7">
        <v>28.5</v>
      </c>
      <c r="M984" s="7">
        <v>50.8</v>
      </c>
      <c r="N984" s="7">
        <v>3.4</v>
      </c>
      <c r="O984" s="7">
        <v>193</v>
      </c>
      <c r="P984" s="7" t="s">
        <v>33</v>
      </c>
      <c r="Q984" s="7" t="str">
        <f t="shared" si="60"/>
        <v>Moderate</v>
      </c>
      <c r="R984" s="7" t="str">
        <f t="shared" si="61"/>
        <v>Normal</v>
      </c>
      <c r="S984" s="7" t="str">
        <f t="shared" si="62"/>
        <v>Normal Humidity</v>
      </c>
      <c r="T984" s="7" t="str">
        <f t="shared" si="63"/>
        <v>Moderate Wind</v>
      </c>
    </row>
    <row r="985" spans="1:20" x14ac:dyDescent="0.25">
      <c r="A985" s="7" t="s">
        <v>1049</v>
      </c>
      <c r="B985" s="10">
        <v>45955</v>
      </c>
      <c r="C985" s="11" t="s">
        <v>81</v>
      </c>
      <c r="D985" s="11" t="s">
        <v>39</v>
      </c>
      <c r="E985" s="7" t="s">
        <v>68</v>
      </c>
      <c r="F985" s="9">
        <v>114.4</v>
      </c>
      <c r="G985" s="9">
        <v>100.5</v>
      </c>
      <c r="H985" s="9">
        <v>5.7</v>
      </c>
      <c r="I985" s="9">
        <v>20.3</v>
      </c>
      <c r="J985" s="9">
        <v>1.76</v>
      </c>
      <c r="K985" s="9">
        <v>40.700000000000003</v>
      </c>
      <c r="L985" s="7">
        <v>29.1</v>
      </c>
      <c r="M985" s="7">
        <v>67.3</v>
      </c>
      <c r="N985" s="7">
        <v>3.1</v>
      </c>
      <c r="O985" s="7">
        <v>329</v>
      </c>
      <c r="P985" s="7" t="s">
        <v>20</v>
      </c>
      <c r="Q985" s="7" t="str">
        <f t="shared" si="60"/>
        <v>Unhealthy</v>
      </c>
      <c r="R985" s="7" t="str">
        <f t="shared" si="61"/>
        <v>Normal</v>
      </c>
      <c r="S985" s="7" t="str">
        <f t="shared" si="62"/>
        <v>High Humidity</v>
      </c>
      <c r="T985" s="7" t="str">
        <f t="shared" si="63"/>
        <v>Moderate Wind</v>
      </c>
    </row>
    <row r="986" spans="1:20" x14ac:dyDescent="0.25">
      <c r="A986" s="7" t="s">
        <v>1050</v>
      </c>
      <c r="B986" s="10">
        <v>45989</v>
      </c>
      <c r="C986" s="11" t="s">
        <v>93</v>
      </c>
      <c r="D986" s="11" t="s">
        <v>36</v>
      </c>
      <c r="E986" s="7" t="s">
        <v>68</v>
      </c>
      <c r="F986" s="9">
        <v>16.3</v>
      </c>
      <c r="G986" s="9">
        <v>112.3</v>
      </c>
      <c r="H986" s="9">
        <v>27.9</v>
      </c>
      <c r="I986" s="9">
        <v>15.5</v>
      </c>
      <c r="J986" s="9">
        <v>0.19</v>
      </c>
      <c r="K986" s="9">
        <v>41.8</v>
      </c>
      <c r="L986" s="7">
        <v>27.8</v>
      </c>
      <c r="M986" s="7">
        <v>75.8</v>
      </c>
      <c r="N986" s="7">
        <v>2</v>
      </c>
      <c r="O986" s="7">
        <v>156</v>
      </c>
      <c r="P986" s="7" t="s">
        <v>33</v>
      </c>
      <c r="Q986" s="7" t="str">
        <f t="shared" si="60"/>
        <v>Unhealthy</v>
      </c>
      <c r="R986" s="7" t="str">
        <f t="shared" si="61"/>
        <v>Normal</v>
      </c>
      <c r="S986" s="7" t="str">
        <f t="shared" si="62"/>
        <v>High Humidity</v>
      </c>
      <c r="T986" s="7" t="str">
        <f t="shared" si="63"/>
        <v>Moderate Wind</v>
      </c>
    </row>
    <row r="987" spans="1:20" x14ac:dyDescent="0.25">
      <c r="A987" s="7" t="s">
        <v>1051</v>
      </c>
      <c r="B987" s="10">
        <v>45982</v>
      </c>
      <c r="C987" s="11" t="s">
        <v>50</v>
      </c>
      <c r="D987" s="11" t="s">
        <v>31</v>
      </c>
      <c r="E987" s="7" t="s">
        <v>32</v>
      </c>
      <c r="F987" s="9">
        <v>18.2</v>
      </c>
      <c r="G987" s="9">
        <v>39.4</v>
      </c>
      <c r="H987" s="9">
        <v>36.700000000000003</v>
      </c>
      <c r="I987" s="9">
        <v>8.8000000000000007</v>
      </c>
      <c r="J987" s="9">
        <v>0.85</v>
      </c>
      <c r="K987" s="9">
        <v>36.1</v>
      </c>
      <c r="L987" s="7">
        <v>26.3</v>
      </c>
      <c r="M987" s="7">
        <v>66.2</v>
      </c>
      <c r="N987" s="7">
        <v>5.0999999999999996</v>
      </c>
      <c r="O987" s="7">
        <v>128</v>
      </c>
      <c r="P987" s="7" t="s">
        <v>33</v>
      </c>
      <c r="Q987" s="7" t="str">
        <f t="shared" si="60"/>
        <v>Good</v>
      </c>
      <c r="R987" s="7" t="str">
        <f t="shared" si="61"/>
        <v>Normal</v>
      </c>
      <c r="S987" s="7" t="str">
        <f t="shared" si="62"/>
        <v>High Humidity</v>
      </c>
      <c r="T987" s="7" t="str">
        <f t="shared" si="63"/>
        <v>High Wind</v>
      </c>
    </row>
    <row r="988" spans="1:20" x14ac:dyDescent="0.25">
      <c r="A988" s="7" t="s">
        <v>1052</v>
      </c>
      <c r="B988" s="10">
        <v>45714</v>
      </c>
      <c r="C988" s="11" t="s">
        <v>54</v>
      </c>
      <c r="D988" s="11" t="s">
        <v>18</v>
      </c>
      <c r="E988" s="7" t="s">
        <v>55</v>
      </c>
      <c r="F988" s="9">
        <v>109.4</v>
      </c>
      <c r="G988" s="9">
        <v>54.6</v>
      </c>
      <c r="H988" s="9">
        <v>107.8</v>
      </c>
      <c r="I988" s="9">
        <v>2.4</v>
      </c>
      <c r="J988" s="9">
        <v>2.2999999999999998</v>
      </c>
      <c r="K988" s="9">
        <v>65.599999999999994</v>
      </c>
      <c r="L988" s="7">
        <v>24</v>
      </c>
      <c r="M988" s="7">
        <v>59.6</v>
      </c>
      <c r="N988" s="7">
        <v>3.1</v>
      </c>
      <c r="O988" s="7">
        <v>385</v>
      </c>
      <c r="P988" s="7" t="s">
        <v>20</v>
      </c>
      <c r="Q988" s="7" t="str">
        <f t="shared" si="60"/>
        <v>Moderate</v>
      </c>
      <c r="R988" s="7" t="str">
        <f t="shared" si="61"/>
        <v>Normal</v>
      </c>
      <c r="S988" s="7" t="str">
        <f t="shared" si="62"/>
        <v>Normal Humidity</v>
      </c>
      <c r="T988" s="7" t="str">
        <f t="shared" si="63"/>
        <v>Moderate Wind</v>
      </c>
    </row>
    <row r="989" spans="1:20" x14ac:dyDescent="0.25">
      <c r="A989" s="7" t="s">
        <v>1053</v>
      </c>
      <c r="B989" s="10">
        <v>45835</v>
      </c>
      <c r="C989" s="11" t="s">
        <v>52</v>
      </c>
      <c r="D989" s="11" t="s">
        <v>31</v>
      </c>
      <c r="E989" s="7" t="s">
        <v>40</v>
      </c>
      <c r="F989" s="9">
        <v>19.600000000000001</v>
      </c>
      <c r="G989" s="9">
        <v>112.9</v>
      </c>
      <c r="H989" s="9">
        <v>10.1</v>
      </c>
      <c r="I989" s="9">
        <v>42.6</v>
      </c>
      <c r="J989" s="9">
        <v>0.57999999999999996</v>
      </c>
      <c r="K989" s="9">
        <v>16.100000000000001</v>
      </c>
      <c r="L989" s="7">
        <v>19.7</v>
      </c>
      <c r="M989" s="7">
        <v>73.099999999999994</v>
      </c>
      <c r="N989" s="7">
        <v>2.4</v>
      </c>
      <c r="O989" s="7">
        <v>164</v>
      </c>
      <c r="P989" s="7" t="s">
        <v>33</v>
      </c>
      <c r="Q989" s="7" t="str">
        <f t="shared" si="60"/>
        <v>Unhealthy</v>
      </c>
      <c r="R989" s="7" t="str">
        <f t="shared" si="61"/>
        <v>Cool</v>
      </c>
      <c r="S989" s="7" t="str">
        <f t="shared" si="62"/>
        <v>High Humidity</v>
      </c>
      <c r="T989" s="7" t="str">
        <f t="shared" si="63"/>
        <v>Moderate Wind</v>
      </c>
    </row>
    <row r="990" spans="1:20" x14ac:dyDescent="0.25">
      <c r="A990" s="7" t="s">
        <v>1054</v>
      </c>
      <c r="B990" s="10">
        <v>45785</v>
      </c>
      <c r="C990" s="11" t="s">
        <v>67</v>
      </c>
      <c r="D990" s="11" t="s">
        <v>18</v>
      </c>
      <c r="E990" s="7" t="s">
        <v>27</v>
      </c>
      <c r="F990" s="9">
        <v>19.2</v>
      </c>
      <c r="G990" s="9">
        <v>83.1</v>
      </c>
      <c r="H990" s="9">
        <v>64.400000000000006</v>
      </c>
      <c r="I990" s="9">
        <v>25</v>
      </c>
      <c r="J990" s="9">
        <v>0.28000000000000003</v>
      </c>
      <c r="K990" s="9">
        <v>29.3</v>
      </c>
      <c r="L990" s="7">
        <v>26.7</v>
      </c>
      <c r="M990" s="7">
        <v>69.400000000000006</v>
      </c>
      <c r="N990" s="7">
        <v>3.1</v>
      </c>
      <c r="O990" s="7">
        <v>174</v>
      </c>
      <c r="P990" s="7" t="s">
        <v>33</v>
      </c>
      <c r="Q990" s="7" t="str">
        <f t="shared" si="60"/>
        <v>Moderate</v>
      </c>
      <c r="R990" s="7" t="str">
        <f t="shared" si="61"/>
        <v>Normal</v>
      </c>
      <c r="S990" s="7" t="str">
        <f t="shared" si="62"/>
        <v>High Humidity</v>
      </c>
      <c r="T990" s="7" t="str">
        <f t="shared" si="63"/>
        <v>Moderate Wind</v>
      </c>
    </row>
    <row r="991" spans="1:20" x14ac:dyDescent="0.25">
      <c r="A991" s="7" t="s">
        <v>1055</v>
      </c>
      <c r="B991" s="10">
        <v>45991</v>
      </c>
      <c r="C991" s="11" t="s">
        <v>17</v>
      </c>
      <c r="D991" s="11" t="s">
        <v>18</v>
      </c>
      <c r="E991" s="7" t="s">
        <v>74</v>
      </c>
      <c r="F991" s="9">
        <v>128.30000000000001</v>
      </c>
      <c r="G991" s="9">
        <v>113</v>
      </c>
      <c r="H991" s="9">
        <v>18.8</v>
      </c>
      <c r="I991" s="9">
        <v>22.1</v>
      </c>
      <c r="J991" s="9">
        <v>0.36</v>
      </c>
      <c r="K991" s="9">
        <v>23.1</v>
      </c>
      <c r="L991" s="7">
        <v>32.1</v>
      </c>
      <c r="M991" s="7">
        <v>63.4</v>
      </c>
      <c r="N991" s="7">
        <v>0.1</v>
      </c>
      <c r="O991" s="7">
        <v>329</v>
      </c>
      <c r="P991" s="7" t="s">
        <v>20</v>
      </c>
      <c r="Q991" s="7" t="str">
        <f t="shared" si="60"/>
        <v>Unhealthy</v>
      </c>
      <c r="R991" s="7" t="str">
        <f t="shared" si="61"/>
        <v>Hot</v>
      </c>
      <c r="S991" s="7" t="str">
        <f t="shared" si="62"/>
        <v>High Humidity</v>
      </c>
      <c r="T991" s="7" t="str">
        <f t="shared" si="63"/>
        <v>Low Wind</v>
      </c>
    </row>
    <row r="992" spans="1:20" x14ac:dyDescent="0.25">
      <c r="A992" s="7" t="s">
        <v>1056</v>
      </c>
      <c r="B992" s="10">
        <v>45985</v>
      </c>
      <c r="C992" s="11" t="s">
        <v>42</v>
      </c>
      <c r="D992" s="11" t="s">
        <v>23</v>
      </c>
      <c r="E992" s="7" t="s">
        <v>68</v>
      </c>
      <c r="F992" s="9">
        <v>39.9</v>
      </c>
      <c r="G992" s="9">
        <v>175.1</v>
      </c>
      <c r="H992" s="9">
        <v>58.7</v>
      </c>
      <c r="I992" s="9">
        <v>18.399999999999999</v>
      </c>
      <c r="J992" s="9">
        <v>0.28999999999999998</v>
      </c>
      <c r="K992" s="9">
        <v>19.3</v>
      </c>
      <c r="L992" s="7">
        <v>18.399999999999999</v>
      </c>
      <c r="M992" s="7">
        <v>78</v>
      </c>
      <c r="N992" s="7">
        <v>1.2</v>
      </c>
      <c r="O992" s="7">
        <v>253</v>
      </c>
      <c r="P992" s="7" t="s">
        <v>28</v>
      </c>
      <c r="Q992" s="7" t="str">
        <f t="shared" si="60"/>
        <v>VeryUnhealthy</v>
      </c>
      <c r="R992" s="7" t="str">
        <f t="shared" si="61"/>
        <v>Cool</v>
      </c>
      <c r="S992" s="7" t="str">
        <f t="shared" si="62"/>
        <v>High Humidity</v>
      </c>
      <c r="T992" s="7" t="str">
        <f t="shared" si="63"/>
        <v>Low Wind</v>
      </c>
    </row>
    <row r="993" spans="1:20" x14ac:dyDescent="0.25">
      <c r="A993" s="7" t="s">
        <v>1057</v>
      </c>
      <c r="B993" s="10">
        <v>45985</v>
      </c>
      <c r="C993" s="11" t="s">
        <v>50</v>
      </c>
      <c r="D993" s="11" t="s">
        <v>31</v>
      </c>
      <c r="E993" s="7" t="s">
        <v>27</v>
      </c>
      <c r="F993" s="9">
        <v>26.8</v>
      </c>
      <c r="G993" s="9">
        <v>59.1</v>
      </c>
      <c r="H993" s="9">
        <v>42.8</v>
      </c>
      <c r="I993" s="9">
        <v>7.9</v>
      </c>
      <c r="J993" s="9">
        <v>0.43</v>
      </c>
      <c r="K993" s="9">
        <v>23</v>
      </c>
      <c r="L993" s="7">
        <v>13.8</v>
      </c>
      <c r="M993" s="7">
        <v>59.5</v>
      </c>
      <c r="N993" s="7">
        <v>2.7</v>
      </c>
      <c r="O993" s="7">
        <v>142</v>
      </c>
      <c r="P993" s="7" t="s">
        <v>33</v>
      </c>
      <c r="Q993" s="7" t="str">
        <f t="shared" si="60"/>
        <v>Moderate</v>
      </c>
      <c r="R993" s="7" t="str">
        <f t="shared" si="61"/>
        <v>Cool</v>
      </c>
      <c r="S993" s="7" t="str">
        <f t="shared" si="62"/>
        <v>Normal Humidity</v>
      </c>
      <c r="T993" s="7" t="str">
        <f t="shared" si="63"/>
        <v>Moderate Wind</v>
      </c>
    </row>
    <row r="994" spans="1:20" x14ac:dyDescent="0.25">
      <c r="A994" s="7" t="s">
        <v>1058</v>
      </c>
      <c r="B994" s="10">
        <v>45973</v>
      </c>
      <c r="C994" s="11" t="s">
        <v>77</v>
      </c>
      <c r="D994" s="11" t="s">
        <v>39</v>
      </c>
      <c r="E994" s="7" t="s">
        <v>45</v>
      </c>
      <c r="F994" s="9">
        <v>62</v>
      </c>
      <c r="G994" s="9">
        <v>62.8</v>
      </c>
      <c r="H994" s="9">
        <v>8.5</v>
      </c>
      <c r="I994" s="9">
        <v>12.8</v>
      </c>
      <c r="J994" s="9">
        <v>7.0000000000000007E-2</v>
      </c>
      <c r="K994" s="9">
        <v>23.4</v>
      </c>
      <c r="L994" s="7">
        <v>23.1</v>
      </c>
      <c r="M994" s="7">
        <v>98</v>
      </c>
      <c r="N994" s="7">
        <v>1.4</v>
      </c>
      <c r="O994" s="7">
        <v>168</v>
      </c>
      <c r="P994" s="7" t="s">
        <v>33</v>
      </c>
      <c r="Q994" s="7" t="str">
        <f t="shared" si="60"/>
        <v>Moderate</v>
      </c>
      <c r="R994" s="7" t="str">
        <f t="shared" si="61"/>
        <v>Normal</v>
      </c>
      <c r="S994" s="7" t="str">
        <f t="shared" si="62"/>
        <v>High Humidity</v>
      </c>
      <c r="T994" s="7" t="str">
        <f t="shared" si="63"/>
        <v>Low Wind</v>
      </c>
    </row>
    <row r="995" spans="1:20" x14ac:dyDescent="0.25">
      <c r="A995" s="7" t="s">
        <v>1059</v>
      </c>
      <c r="B995" s="10">
        <v>45836</v>
      </c>
      <c r="C995" s="11" t="s">
        <v>77</v>
      </c>
      <c r="D995" s="11" t="s">
        <v>39</v>
      </c>
      <c r="E995" s="7" t="s">
        <v>61</v>
      </c>
      <c r="F995" s="9">
        <v>36.5</v>
      </c>
      <c r="G995" s="9">
        <v>55.9</v>
      </c>
      <c r="H995" s="9">
        <v>23.9</v>
      </c>
      <c r="I995" s="9">
        <v>20.399999999999999</v>
      </c>
      <c r="J995" s="9">
        <v>0.45</v>
      </c>
      <c r="K995" s="9">
        <v>17.600000000000001</v>
      </c>
      <c r="L995" s="7">
        <v>21.8</v>
      </c>
      <c r="M995" s="7">
        <v>41.8</v>
      </c>
      <c r="N995" s="7">
        <v>2.7</v>
      </c>
      <c r="O995" s="7">
        <v>147</v>
      </c>
      <c r="P995" s="7" t="s">
        <v>33</v>
      </c>
      <c r="Q995" s="7" t="str">
        <f t="shared" si="60"/>
        <v>Moderate</v>
      </c>
      <c r="R995" s="7" t="str">
        <f t="shared" si="61"/>
        <v>Normal</v>
      </c>
      <c r="S995" s="7" t="str">
        <f t="shared" si="62"/>
        <v>Normal Humidity</v>
      </c>
      <c r="T995" s="7" t="str">
        <f t="shared" si="63"/>
        <v>Moderate Wind</v>
      </c>
    </row>
    <row r="996" spans="1:20" x14ac:dyDescent="0.25">
      <c r="A996" s="7" t="s">
        <v>1060</v>
      </c>
      <c r="B996" s="10">
        <v>45665</v>
      </c>
      <c r="C996" s="11" t="s">
        <v>93</v>
      </c>
      <c r="D996" s="11" t="s">
        <v>36</v>
      </c>
      <c r="E996" s="7" t="s">
        <v>45</v>
      </c>
      <c r="F996" s="9">
        <v>49</v>
      </c>
      <c r="G996" s="9">
        <v>69.3</v>
      </c>
      <c r="H996" s="9">
        <v>33.799999999999997</v>
      </c>
      <c r="I996" s="9">
        <v>9.3000000000000007</v>
      </c>
      <c r="J996" s="9">
        <v>1.51</v>
      </c>
      <c r="K996" s="9">
        <v>51.4</v>
      </c>
      <c r="L996" s="7">
        <v>26.7</v>
      </c>
      <c r="M996" s="7">
        <v>79.599999999999994</v>
      </c>
      <c r="N996" s="7">
        <v>2.2000000000000002</v>
      </c>
      <c r="O996" s="7">
        <v>218</v>
      </c>
      <c r="P996" s="7" t="s">
        <v>28</v>
      </c>
      <c r="Q996" s="7" t="str">
        <f t="shared" si="60"/>
        <v>Moderate</v>
      </c>
      <c r="R996" s="7" t="str">
        <f t="shared" si="61"/>
        <v>Normal</v>
      </c>
      <c r="S996" s="7" t="str">
        <f t="shared" si="62"/>
        <v>High Humidity</v>
      </c>
      <c r="T996" s="7" t="str">
        <f t="shared" si="63"/>
        <v>Moderate Wind</v>
      </c>
    </row>
    <row r="997" spans="1:20" x14ac:dyDescent="0.25">
      <c r="A997" s="7" t="s">
        <v>1061</v>
      </c>
      <c r="B997" s="10">
        <v>45697</v>
      </c>
      <c r="C997" s="11" t="s">
        <v>35</v>
      </c>
      <c r="D997" s="11" t="s">
        <v>36</v>
      </c>
      <c r="E997" s="7" t="s">
        <v>43</v>
      </c>
      <c r="F997" s="9">
        <v>33.799999999999997</v>
      </c>
      <c r="G997" s="9">
        <v>56.1</v>
      </c>
      <c r="H997" s="9">
        <v>13.5</v>
      </c>
      <c r="I997" s="9">
        <v>3</v>
      </c>
      <c r="J997" s="9">
        <v>0.41</v>
      </c>
      <c r="K997" s="9">
        <v>68.8</v>
      </c>
      <c r="L997" s="7">
        <v>32.6</v>
      </c>
      <c r="M997" s="7">
        <v>49.6</v>
      </c>
      <c r="N997" s="7">
        <v>3.1</v>
      </c>
      <c r="O997" s="7">
        <v>145</v>
      </c>
      <c r="P997" s="7" t="s">
        <v>33</v>
      </c>
      <c r="Q997" s="7" t="str">
        <f t="shared" si="60"/>
        <v>Moderate</v>
      </c>
      <c r="R997" s="7" t="str">
        <f t="shared" si="61"/>
        <v>Hot</v>
      </c>
      <c r="S997" s="7" t="str">
        <f t="shared" si="62"/>
        <v>Normal Humidity</v>
      </c>
      <c r="T997" s="7" t="str">
        <f t="shared" si="63"/>
        <v>Moderate Wind</v>
      </c>
    </row>
    <row r="998" spans="1:20" x14ac:dyDescent="0.25">
      <c r="A998" s="7" t="s">
        <v>1062</v>
      </c>
      <c r="B998" s="10">
        <v>45739</v>
      </c>
      <c r="C998" s="11" t="s">
        <v>35</v>
      </c>
      <c r="D998" s="11" t="s">
        <v>36</v>
      </c>
      <c r="E998" s="7" t="s">
        <v>61</v>
      </c>
      <c r="F998" s="9">
        <v>59.7</v>
      </c>
      <c r="G998" s="9">
        <v>128.1</v>
      </c>
      <c r="H998" s="9">
        <v>64.8</v>
      </c>
      <c r="I998" s="9">
        <v>7.6</v>
      </c>
      <c r="J998" s="9">
        <v>0.25</v>
      </c>
      <c r="K998" s="9">
        <v>62.1</v>
      </c>
      <c r="L998" s="7">
        <v>22.8</v>
      </c>
      <c r="M998" s="7">
        <v>67.3</v>
      </c>
      <c r="N998" s="7">
        <v>1.7</v>
      </c>
      <c r="O998" s="7">
        <v>270</v>
      </c>
      <c r="P998" s="7" t="s">
        <v>28</v>
      </c>
      <c r="Q998" s="7" t="str">
        <f t="shared" si="60"/>
        <v>Unhealthy</v>
      </c>
      <c r="R998" s="7" t="str">
        <f t="shared" si="61"/>
        <v>Normal</v>
      </c>
      <c r="S998" s="7" t="str">
        <f t="shared" si="62"/>
        <v>High Humidity</v>
      </c>
      <c r="T998" s="7" t="str">
        <f t="shared" si="63"/>
        <v>Low Wind</v>
      </c>
    </row>
    <row r="999" spans="1:20" x14ac:dyDescent="0.25">
      <c r="A999" s="7" t="s">
        <v>1063</v>
      </c>
      <c r="B999" s="10">
        <v>45791</v>
      </c>
      <c r="C999" s="11" t="s">
        <v>42</v>
      </c>
      <c r="D999" s="11" t="s">
        <v>23</v>
      </c>
      <c r="E999" s="7" t="s">
        <v>24</v>
      </c>
      <c r="F999" s="9">
        <v>40.6</v>
      </c>
      <c r="G999" s="9">
        <v>187.8</v>
      </c>
      <c r="H999" s="9">
        <v>18.7</v>
      </c>
      <c r="I999" s="9">
        <v>6.3</v>
      </c>
      <c r="J999" s="9">
        <v>0.02</v>
      </c>
      <c r="K999" s="9">
        <v>77.2</v>
      </c>
      <c r="L999" s="7">
        <v>31</v>
      </c>
      <c r="M999" s="7">
        <v>88.5</v>
      </c>
      <c r="N999" s="7">
        <v>3</v>
      </c>
      <c r="O999" s="7">
        <v>242</v>
      </c>
      <c r="P999" s="7" t="s">
        <v>28</v>
      </c>
      <c r="Q999" s="7" t="str">
        <f t="shared" si="60"/>
        <v>VeryUnhealthy</v>
      </c>
      <c r="R999" s="7" t="str">
        <f t="shared" si="61"/>
        <v>Hot</v>
      </c>
      <c r="S999" s="7" t="str">
        <f t="shared" si="62"/>
        <v>High Humidity</v>
      </c>
      <c r="T999" s="7" t="str">
        <f t="shared" si="63"/>
        <v>Moderate Wind</v>
      </c>
    </row>
    <row r="1000" spans="1:20" x14ac:dyDescent="0.25">
      <c r="A1000" s="7" t="s">
        <v>1064</v>
      </c>
      <c r="B1000" s="10">
        <v>45847</v>
      </c>
      <c r="C1000" s="11" t="s">
        <v>35</v>
      </c>
      <c r="D1000" s="11" t="s">
        <v>36</v>
      </c>
      <c r="E1000" s="7" t="s">
        <v>40</v>
      </c>
      <c r="F1000" s="9">
        <v>43.6</v>
      </c>
      <c r="G1000" s="9">
        <v>87.1</v>
      </c>
      <c r="H1000" s="9">
        <v>25.1</v>
      </c>
      <c r="I1000" s="9">
        <v>18.600000000000001</v>
      </c>
      <c r="J1000" s="9">
        <v>0.68</v>
      </c>
      <c r="K1000" s="9">
        <v>30.3</v>
      </c>
      <c r="L1000" s="7">
        <v>24.7</v>
      </c>
      <c r="M1000" s="7">
        <v>57.8</v>
      </c>
      <c r="N1000" s="7">
        <v>0.1</v>
      </c>
      <c r="O1000" s="7">
        <v>190</v>
      </c>
      <c r="P1000" s="7" t="s">
        <v>33</v>
      </c>
      <c r="Q1000" s="7" t="str">
        <f t="shared" si="60"/>
        <v>Moderate</v>
      </c>
      <c r="R1000" s="7" t="str">
        <f t="shared" si="61"/>
        <v>Normal</v>
      </c>
      <c r="S1000" s="7" t="str">
        <f t="shared" si="62"/>
        <v>Normal Humidity</v>
      </c>
      <c r="T1000" s="7" t="str">
        <f t="shared" si="63"/>
        <v>Low Wind</v>
      </c>
    </row>
    <row r="1001" spans="1:20" x14ac:dyDescent="0.25">
      <c r="A1001" s="7" t="s">
        <v>1065</v>
      </c>
      <c r="B1001" s="10">
        <v>45930</v>
      </c>
      <c r="C1001" s="11" t="s">
        <v>22</v>
      </c>
      <c r="D1001" s="11" t="s">
        <v>23</v>
      </c>
      <c r="E1001" s="7" t="s">
        <v>45</v>
      </c>
      <c r="F1001" s="9">
        <v>12.1</v>
      </c>
      <c r="G1001" s="9">
        <v>76.2</v>
      </c>
      <c r="H1001" s="9">
        <v>12</v>
      </c>
      <c r="I1001" s="9">
        <v>15.2</v>
      </c>
      <c r="J1001" s="9">
        <v>1.28</v>
      </c>
      <c r="K1001" s="9">
        <v>58.6</v>
      </c>
      <c r="L1001" s="7">
        <v>22.4</v>
      </c>
      <c r="M1001" s="7">
        <v>49.9</v>
      </c>
      <c r="N1001" s="7">
        <v>3</v>
      </c>
      <c r="O1001" s="7">
        <v>148</v>
      </c>
      <c r="P1001" s="7" t="s">
        <v>33</v>
      </c>
      <c r="Q1001" s="7" t="str">
        <f t="shared" si="60"/>
        <v>Moderate</v>
      </c>
      <c r="R1001" s="7" t="str">
        <f t="shared" si="61"/>
        <v>Normal</v>
      </c>
      <c r="S1001" s="7" t="str">
        <f t="shared" si="62"/>
        <v>Normal Humidity</v>
      </c>
      <c r="T1001" s="7" t="str">
        <f t="shared" si="63"/>
        <v>Moderate Wind</v>
      </c>
    </row>
    <row r="1002" spans="1:20" x14ac:dyDescent="0.25">
      <c r="A1002" s="7" t="s">
        <v>1066</v>
      </c>
      <c r="B1002" s="10">
        <v>45742</v>
      </c>
      <c r="C1002" s="11" t="s">
        <v>38</v>
      </c>
      <c r="D1002" s="11" t="s">
        <v>39</v>
      </c>
      <c r="E1002" s="7" t="s">
        <v>40</v>
      </c>
      <c r="F1002" s="9">
        <v>65.7</v>
      </c>
      <c r="G1002" s="9">
        <v>125.8</v>
      </c>
      <c r="H1002" s="9">
        <v>30.2</v>
      </c>
      <c r="I1002" s="9">
        <v>18</v>
      </c>
      <c r="J1002" s="9">
        <v>1.0900000000000001</v>
      </c>
      <c r="K1002" s="9">
        <v>64.2</v>
      </c>
      <c r="L1002" s="7">
        <v>28.5</v>
      </c>
      <c r="M1002" s="7">
        <v>54.2</v>
      </c>
      <c r="N1002" s="7">
        <v>1.4</v>
      </c>
      <c r="O1002" s="7">
        <v>280</v>
      </c>
      <c r="P1002" s="7" t="s">
        <v>28</v>
      </c>
      <c r="Q1002" s="7" t="str">
        <f t="shared" si="60"/>
        <v>Unhealthy</v>
      </c>
      <c r="R1002" s="7" t="str">
        <f t="shared" si="61"/>
        <v>Normal</v>
      </c>
      <c r="S1002" s="7" t="str">
        <f t="shared" si="62"/>
        <v>Normal Humidity</v>
      </c>
      <c r="T1002" s="7" t="str">
        <f t="shared" si="63"/>
        <v>Low Wind</v>
      </c>
    </row>
    <row r="1003" spans="1:20" x14ac:dyDescent="0.25">
      <c r="A1003" s="7" t="s">
        <v>1067</v>
      </c>
      <c r="B1003" s="10">
        <v>45862</v>
      </c>
      <c r="C1003" s="11" t="s">
        <v>17</v>
      </c>
      <c r="D1003" s="11" t="s">
        <v>18</v>
      </c>
      <c r="E1003" s="7" t="s">
        <v>61</v>
      </c>
      <c r="F1003" s="9">
        <v>31.1</v>
      </c>
      <c r="G1003" s="9">
        <v>41.5</v>
      </c>
      <c r="H1003" s="9">
        <v>19.8</v>
      </c>
      <c r="I1003" s="9">
        <v>10.1</v>
      </c>
      <c r="J1003" s="9">
        <v>0.86</v>
      </c>
      <c r="K1003" s="9">
        <v>49.7</v>
      </c>
      <c r="L1003" s="7">
        <v>26.9</v>
      </c>
      <c r="M1003" s="7">
        <v>68.400000000000006</v>
      </c>
      <c r="N1003" s="7">
        <v>2</v>
      </c>
      <c r="O1003" s="7">
        <v>144</v>
      </c>
      <c r="P1003" s="7" t="s">
        <v>33</v>
      </c>
      <c r="Q1003" s="7" t="str">
        <f t="shared" si="60"/>
        <v>Good</v>
      </c>
      <c r="R1003" s="7" t="str">
        <f t="shared" si="61"/>
        <v>Normal</v>
      </c>
      <c r="S1003" s="7" t="str">
        <f t="shared" si="62"/>
        <v>High Humidity</v>
      </c>
      <c r="T1003" s="7" t="str">
        <f t="shared" si="63"/>
        <v>Moderate Wind</v>
      </c>
    </row>
    <row r="1004" spans="1:20" x14ac:dyDescent="0.25">
      <c r="A1004" s="7" t="s">
        <v>1068</v>
      </c>
      <c r="B1004" s="10">
        <v>45833</v>
      </c>
      <c r="C1004" s="11" t="s">
        <v>52</v>
      </c>
      <c r="D1004" s="11" t="s">
        <v>31</v>
      </c>
      <c r="E1004" s="7" t="s">
        <v>91</v>
      </c>
      <c r="F1004" s="9">
        <v>78</v>
      </c>
      <c r="G1004" s="9">
        <v>70.7</v>
      </c>
      <c r="H1004" s="9">
        <v>23.9</v>
      </c>
      <c r="I1004" s="9">
        <v>22.7</v>
      </c>
      <c r="J1004" s="9">
        <v>0.75</v>
      </c>
      <c r="K1004" s="9">
        <v>13.5</v>
      </c>
      <c r="L1004" s="7">
        <v>26.2</v>
      </c>
      <c r="M1004" s="7">
        <v>42.9</v>
      </c>
      <c r="N1004" s="7">
        <v>3.8</v>
      </c>
      <c r="O1004" s="7">
        <v>231</v>
      </c>
      <c r="P1004" s="7" t="s">
        <v>28</v>
      </c>
      <c r="Q1004" s="7" t="str">
        <f t="shared" si="60"/>
        <v>Moderate</v>
      </c>
      <c r="R1004" s="7" t="str">
        <f t="shared" si="61"/>
        <v>Normal</v>
      </c>
      <c r="S1004" s="7" t="str">
        <f t="shared" si="62"/>
        <v>Normal Humidity</v>
      </c>
      <c r="T1004" s="7" t="str">
        <f t="shared" si="63"/>
        <v>Moderate Wind</v>
      </c>
    </row>
    <row r="1005" spans="1:20" x14ac:dyDescent="0.25">
      <c r="A1005" s="7" t="s">
        <v>1069</v>
      </c>
      <c r="B1005" s="10">
        <v>45726</v>
      </c>
      <c r="C1005" s="11" t="s">
        <v>64</v>
      </c>
      <c r="D1005" s="11" t="s">
        <v>36</v>
      </c>
      <c r="E1005" s="7" t="s">
        <v>70</v>
      </c>
      <c r="F1005" s="9">
        <v>59.6</v>
      </c>
      <c r="G1005" s="9">
        <v>112.8</v>
      </c>
      <c r="H1005" s="9">
        <v>37.1</v>
      </c>
      <c r="I1005" s="9">
        <v>15.8</v>
      </c>
      <c r="J1005" s="9">
        <v>0.39</v>
      </c>
      <c r="K1005" s="9">
        <v>39.4</v>
      </c>
      <c r="L1005" s="7">
        <v>22.3</v>
      </c>
      <c r="M1005" s="7">
        <v>54.3</v>
      </c>
      <c r="N1005" s="7">
        <v>1.1000000000000001</v>
      </c>
      <c r="O1005" s="7">
        <v>237</v>
      </c>
      <c r="P1005" s="7" t="s">
        <v>28</v>
      </c>
      <c r="Q1005" s="7" t="str">
        <f t="shared" si="60"/>
        <v>Unhealthy</v>
      </c>
      <c r="R1005" s="7" t="str">
        <f t="shared" si="61"/>
        <v>Normal</v>
      </c>
      <c r="S1005" s="7" t="str">
        <f t="shared" si="62"/>
        <v>Normal Humidity</v>
      </c>
      <c r="T1005" s="7" t="str">
        <f t="shared" si="63"/>
        <v>Low Wind</v>
      </c>
    </row>
    <row r="1006" spans="1:20" x14ac:dyDescent="0.25">
      <c r="A1006" s="7" t="s">
        <v>1070</v>
      </c>
      <c r="B1006" s="10">
        <v>45747</v>
      </c>
      <c r="C1006" s="11" t="s">
        <v>77</v>
      </c>
      <c r="D1006" s="11" t="s">
        <v>39</v>
      </c>
      <c r="E1006" s="7" t="s">
        <v>97</v>
      </c>
      <c r="F1006" s="9">
        <v>9.6999999999999993</v>
      </c>
      <c r="G1006" s="9">
        <v>48.6</v>
      </c>
      <c r="H1006" s="9">
        <v>45.2</v>
      </c>
      <c r="I1006" s="9">
        <v>22.5</v>
      </c>
      <c r="J1006" s="9">
        <v>1.58</v>
      </c>
      <c r="K1006" s="9">
        <v>95.2</v>
      </c>
      <c r="L1006" s="7">
        <v>34.5</v>
      </c>
      <c r="M1006" s="7">
        <v>48.7</v>
      </c>
      <c r="N1006" s="7">
        <v>4.0999999999999996</v>
      </c>
      <c r="O1006" s="7">
        <v>181</v>
      </c>
      <c r="P1006" s="7" t="s">
        <v>33</v>
      </c>
      <c r="Q1006" s="7" t="str">
        <f t="shared" si="60"/>
        <v>Good</v>
      </c>
      <c r="R1006" s="7" t="str">
        <f t="shared" si="61"/>
        <v>Hot</v>
      </c>
      <c r="S1006" s="7" t="str">
        <f t="shared" si="62"/>
        <v>Normal Humidity</v>
      </c>
      <c r="T1006" s="7" t="str">
        <f t="shared" si="63"/>
        <v>Moderate Wind</v>
      </c>
    </row>
    <row r="1007" spans="1:20" x14ac:dyDescent="0.25">
      <c r="A1007" s="7" t="s">
        <v>1071</v>
      </c>
      <c r="B1007" s="10">
        <v>45972</v>
      </c>
      <c r="C1007" s="11" t="s">
        <v>54</v>
      </c>
      <c r="D1007" s="11" t="s">
        <v>18</v>
      </c>
      <c r="E1007" s="7" t="s">
        <v>58</v>
      </c>
      <c r="F1007" s="9">
        <v>17.3</v>
      </c>
      <c r="G1007" s="9">
        <v>82.5</v>
      </c>
      <c r="H1007" s="9">
        <v>35.200000000000003</v>
      </c>
      <c r="I1007" s="9">
        <v>13.6</v>
      </c>
      <c r="J1007" s="9">
        <v>1.2</v>
      </c>
      <c r="K1007" s="9">
        <v>19.5</v>
      </c>
      <c r="L1007" s="7">
        <v>30.1</v>
      </c>
      <c r="M1007" s="7">
        <v>59.6</v>
      </c>
      <c r="N1007" s="7">
        <v>2.9</v>
      </c>
      <c r="O1007" s="7">
        <v>158</v>
      </c>
      <c r="P1007" s="7" t="s">
        <v>33</v>
      </c>
      <c r="Q1007" s="7" t="str">
        <f t="shared" si="60"/>
        <v>Moderate</v>
      </c>
      <c r="R1007" s="7" t="str">
        <f t="shared" si="61"/>
        <v>Hot</v>
      </c>
      <c r="S1007" s="7" t="str">
        <f t="shared" si="62"/>
        <v>Normal Humidity</v>
      </c>
      <c r="T1007" s="7" t="str">
        <f t="shared" si="63"/>
        <v>Moderate Wind</v>
      </c>
    </row>
    <row r="1008" spans="1:20" x14ac:dyDescent="0.25">
      <c r="A1008" s="7" t="s">
        <v>1072</v>
      </c>
      <c r="B1008" s="10">
        <v>45833</v>
      </c>
      <c r="C1008" s="11" t="s">
        <v>67</v>
      </c>
      <c r="D1008" s="11" t="s">
        <v>18</v>
      </c>
      <c r="E1008" s="7" t="s">
        <v>24</v>
      </c>
      <c r="F1008" s="9">
        <v>16.2</v>
      </c>
      <c r="G1008" s="9">
        <v>155.1</v>
      </c>
      <c r="H1008" s="9">
        <v>26.7</v>
      </c>
      <c r="I1008" s="9">
        <v>5</v>
      </c>
      <c r="J1008" s="9">
        <v>0.98</v>
      </c>
      <c r="K1008" s="9">
        <v>32.9</v>
      </c>
      <c r="L1008" s="7">
        <v>35</v>
      </c>
      <c r="M1008" s="7">
        <v>47.9</v>
      </c>
      <c r="N1008" s="7">
        <v>2.2000000000000002</v>
      </c>
      <c r="O1008" s="7">
        <v>191</v>
      </c>
      <c r="P1008" s="7" t="s">
        <v>33</v>
      </c>
      <c r="Q1008" s="7" t="str">
        <f t="shared" si="60"/>
        <v>VeryUnhealthy</v>
      </c>
      <c r="R1008" s="7" t="str">
        <f t="shared" si="61"/>
        <v>Hot</v>
      </c>
      <c r="S1008" s="7" t="str">
        <f t="shared" si="62"/>
        <v>Normal Humidity</v>
      </c>
      <c r="T1008" s="7" t="str">
        <f t="shared" si="63"/>
        <v>Moderate Wind</v>
      </c>
    </row>
    <row r="1009" spans="1:20" x14ac:dyDescent="0.25">
      <c r="A1009" s="7" t="s">
        <v>1073</v>
      </c>
      <c r="B1009" s="10">
        <v>45893</v>
      </c>
      <c r="C1009" s="11" t="s">
        <v>64</v>
      </c>
      <c r="D1009" s="11" t="s">
        <v>36</v>
      </c>
      <c r="E1009" s="7" t="s">
        <v>70</v>
      </c>
      <c r="F1009" s="9">
        <v>144.9</v>
      </c>
      <c r="G1009" s="9">
        <v>93.6</v>
      </c>
      <c r="H1009" s="9">
        <v>24.8</v>
      </c>
      <c r="I1009" s="9">
        <v>13.6</v>
      </c>
      <c r="J1009" s="9">
        <v>1.81</v>
      </c>
      <c r="K1009" s="9">
        <v>34.799999999999997</v>
      </c>
      <c r="L1009" s="7">
        <v>23.7</v>
      </c>
      <c r="M1009" s="7">
        <v>77.400000000000006</v>
      </c>
      <c r="N1009" s="7">
        <v>2.5</v>
      </c>
      <c r="O1009" s="7">
        <v>383</v>
      </c>
      <c r="P1009" s="7" t="s">
        <v>20</v>
      </c>
      <c r="Q1009" s="7" t="str">
        <f t="shared" si="60"/>
        <v>Moderate</v>
      </c>
      <c r="R1009" s="7" t="str">
        <f t="shared" si="61"/>
        <v>Normal</v>
      </c>
      <c r="S1009" s="7" t="str">
        <f t="shared" si="62"/>
        <v>High Humidity</v>
      </c>
      <c r="T1009" s="7" t="str">
        <f t="shared" si="63"/>
        <v>Moderate Wind</v>
      </c>
    </row>
    <row r="1010" spans="1:20" x14ac:dyDescent="0.25">
      <c r="A1010" s="7" t="s">
        <v>1074</v>
      </c>
      <c r="B1010" s="10">
        <v>45785</v>
      </c>
      <c r="C1010" s="11" t="s">
        <v>64</v>
      </c>
      <c r="D1010" s="11" t="s">
        <v>36</v>
      </c>
      <c r="E1010" s="7" t="s">
        <v>91</v>
      </c>
      <c r="F1010" s="9">
        <v>24.6</v>
      </c>
      <c r="G1010" s="9">
        <v>117</v>
      </c>
      <c r="H1010" s="9">
        <v>11.3</v>
      </c>
      <c r="I1010" s="9">
        <v>3.6</v>
      </c>
      <c r="J1010" s="9">
        <v>1.1299999999999999</v>
      </c>
      <c r="K1010" s="9">
        <v>26.6</v>
      </c>
      <c r="L1010" s="7">
        <v>36.799999999999997</v>
      </c>
      <c r="M1010" s="7">
        <v>69.599999999999994</v>
      </c>
      <c r="N1010" s="7">
        <v>2</v>
      </c>
      <c r="O1010" s="7">
        <v>167</v>
      </c>
      <c r="P1010" s="7" t="s">
        <v>33</v>
      </c>
      <c r="Q1010" s="7" t="str">
        <f t="shared" si="60"/>
        <v>Unhealthy</v>
      </c>
      <c r="R1010" s="7" t="str">
        <f t="shared" si="61"/>
        <v>Hot</v>
      </c>
      <c r="S1010" s="7" t="str">
        <f t="shared" si="62"/>
        <v>High Humidity</v>
      </c>
      <c r="T1010" s="7" t="str">
        <f t="shared" si="63"/>
        <v>Moderate Wind</v>
      </c>
    </row>
    <row r="1011" spans="1:20" x14ac:dyDescent="0.25">
      <c r="A1011" s="7" t="s">
        <v>1075</v>
      </c>
      <c r="B1011" s="10">
        <v>45704</v>
      </c>
      <c r="C1011" s="11" t="s">
        <v>26</v>
      </c>
      <c r="D1011" s="11" t="s">
        <v>23</v>
      </c>
      <c r="E1011" s="7" t="s">
        <v>70</v>
      </c>
      <c r="F1011" s="9">
        <v>23.1</v>
      </c>
      <c r="G1011" s="9">
        <v>72.7</v>
      </c>
      <c r="H1011" s="9">
        <v>27.9</v>
      </c>
      <c r="I1011" s="9">
        <v>19</v>
      </c>
      <c r="J1011" s="9">
        <v>0.75</v>
      </c>
      <c r="K1011" s="9">
        <v>16.600000000000001</v>
      </c>
      <c r="L1011" s="7">
        <v>26.5</v>
      </c>
      <c r="M1011" s="7">
        <v>77.8</v>
      </c>
      <c r="N1011" s="7">
        <v>3</v>
      </c>
      <c r="O1011" s="7">
        <v>146</v>
      </c>
      <c r="P1011" s="7" t="s">
        <v>33</v>
      </c>
      <c r="Q1011" s="7" t="str">
        <f t="shared" si="60"/>
        <v>Moderate</v>
      </c>
      <c r="R1011" s="7" t="str">
        <f t="shared" si="61"/>
        <v>Normal</v>
      </c>
      <c r="S1011" s="7" t="str">
        <f t="shared" si="62"/>
        <v>High Humidity</v>
      </c>
      <c r="T1011" s="7" t="str">
        <f t="shared" si="63"/>
        <v>Moderate Wind</v>
      </c>
    </row>
    <row r="1012" spans="1:20" x14ac:dyDescent="0.25">
      <c r="A1012" s="7" t="s">
        <v>1076</v>
      </c>
      <c r="B1012" s="10">
        <v>45758</v>
      </c>
      <c r="C1012" s="11" t="s">
        <v>50</v>
      </c>
      <c r="D1012" s="11" t="s">
        <v>31</v>
      </c>
      <c r="E1012" s="7" t="s">
        <v>58</v>
      </c>
      <c r="F1012" s="9">
        <v>47.1</v>
      </c>
      <c r="G1012" s="9">
        <v>65.8</v>
      </c>
      <c r="H1012" s="9">
        <v>18</v>
      </c>
      <c r="I1012" s="9">
        <v>32.9</v>
      </c>
      <c r="J1012" s="9">
        <v>0.65</v>
      </c>
      <c r="K1012" s="9">
        <v>3.7</v>
      </c>
      <c r="L1012" s="7">
        <v>29</v>
      </c>
      <c r="M1012" s="7">
        <v>64.400000000000006</v>
      </c>
      <c r="N1012" s="7">
        <v>1.7</v>
      </c>
      <c r="O1012" s="7">
        <v>173</v>
      </c>
      <c r="P1012" s="7" t="s">
        <v>33</v>
      </c>
      <c r="Q1012" s="7" t="str">
        <f t="shared" si="60"/>
        <v>Moderate</v>
      </c>
      <c r="R1012" s="7" t="str">
        <f t="shared" si="61"/>
        <v>Normal</v>
      </c>
      <c r="S1012" s="7" t="str">
        <f t="shared" si="62"/>
        <v>High Humidity</v>
      </c>
      <c r="T1012" s="7" t="str">
        <f t="shared" si="63"/>
        <v>Low Wind</v>
      </c>
    </row>
    <row r="1013" spans="1:20" x14ac:dyDescent="0.25">
      <c r="A1013" s="7" t="s">
        <v>1077</v>
      </c>
      <c r="B1013" s="10">
        <v>45957</v>
      </c>
      <c r="C1013" s="11" t="s">
        <v>64</v>
      </c>
      <c r="D1013" s="11" t="s">
        <v>36</v>
      </c>
      <c r="E1013" s="7" t="s">
        <v>91</v>
      </c>
      <c r="F1013" s="9">
        <v>39.5</v>
      </c>
      <c r="G1013" s="9">
        <v>56.1</v>
      </c>
      <c r="H1013" s="9">
        <v>18.3</v>
      </c>
      <c r="I1013" s="9">
        <v>3.2</v>
      </c>
      <c r="J1013" s="9">
        <v>0.15</v>
      </c>
      <c r="K1013" s="9">
        <v>32.9</v>
      </c>
      <c r="L1013" s="7">
        <v>17.399999999999999</v>
      </c>
      <c r="M1013" s="7">
        <v>45</v>
      </c>
      <c r="N1013" s="7">
        <v>1.2</v>
      </c>
      <c r="O1013" s="7">
        <v>135</v>
      </c>
      <c r="P1013" s="7" t="s">
        <v>33</v>
      </c>
      <c r="Q1013" s="7" t="str">
        <f t="shared" si="60"/>
        <v>Moderate</v>
      </c>
      <c r="R1013" s="7" t="str">
        <f t="shared" si="61"/>
        <v>Cool</v>
      </c>
      <c r="S1013" s="7" t="str">
        <f t="shared" si="62"/>
        <v>Normal Humidity</v>
      </c>
      <c r="T1013" s="7" t="str">
        <f t="shared" si="63"/>
        <v>Low Wind</v>
      </c>
    </row>
    <row r="1014" spans="1:20" x14ac:dyDescent="0.25">
      <c r="A1014" s="7" t="s">
        <v>1078</v>
      </c>
      <c r="B1014" s="10">
        <v>45978</v>
      </c>
      <c r="C1014" s="11" t="s">
        <v>35</v>
      </c>
      <c r="D1014" s="11" t="s">
        <v>36</v>
      </c>
      <c r="E1014" s="7" t="s">
        <v>32</v>
      </c>
      <c r="F1014" s="9">
        <v>64.2</v>
      </c>
      <c r="G1014" s="9">
        <v>113.2</v>
      </c>
      <c r="H1014" s="9">
        <v>46.6</v>
      </c>
      <c r="I1014" s="9">
        <v>10.9</v>
      </c>
      <c r="J1014" s="9">
        <v>0.33</v>
      </c>
      <c r="K1014" s="9">
        <v>38.6</v>
      </c>
      <c r="L1014" s="7">
        <v>34</v>
      </c>
      <c r="M1014" s="7">
        <v>68.599999999999994</v>
      </c>
      <c r="N1014" s="7">
        <v>2.8</v>
      </c>
      <c r="O1014" s="7">
        <v>247</v>
      </c>
      <c r="P1014" s="7" t="s">
        <v>28</v>
      </c>
      <c r="Q1014" s="7" t="str">
        <f t="shared" si="60"/>
        <v>Unhealthy</v>
      </c>
      <c r="R1014" s="7" t="str">
        <f t="shared" si="61"/>
        <v>Hot</v>
      </c>
      <c r="S1014" s="7" t="str">
        <f t="shared" si="62"/>
        <v>High Humidity</v>
      </c>
      <c r="T1014" s="7" t="str">
        <f t="shared" si="63"/>
        <v>Moderate Wind</v>
      </c>
    </row>
    <row r="1015" spans="1:20" x14ac:dyDescent="0.25">
      <c r="A1015" s="7" t="s">
        <v>1079</v>
      </c>
      <c r="B1015" s="10">
        <v>45845</v>
      </c>
      <c r="C1015" s="11" t="s">
        <v>99</v>
      </c>
      <c r="D1015" s="11" t="s">
        <v>36</v>
      </c>
      <c r="E1015" s="7" t="s">
        <v>40</v>
      </c>
      <c r="F1015" s="9">
        <v>57.4</v>
      </c>
      <c r="G1015" s="9">
        <v>27.9</v>
      </c>
      <c r="H1015" s="9">
        <v>77.900000000000006</v>
      </c>
      <c r="I1015" s="9">
        <v>13.7</v>
      </c>
      <c r="J1015" s="9">
        <v>0.18</v>
      </c>
      <c r="K1015" s="9">
        <v>90.3</v>
      </c>
      <c r="L1015" s="7">
        <v>25</v>
      </c>
      <c r="M1015" s="7">
        <v>70.8</v>
      </c>
      <c r="N1015" s="7">
        <v>3.4</v>
      </c>
      <c r="O1015" s="7">
        <v>227</v>
      </c>
      <c r="P1015" s="7" t="s">
        <v>28</v>
      </c>
      <c r="Q1015" s="7" t="str">
        <f t="shared" si="60"/>
        <v>Good</v>
      </c>
      <c r="R1015" s="7" t="str">
        <f t="shared" si="61"/>
        <v>Normal</v>
      </c>
      <c r="S1015" s="7" t="str">
        <f t="shared" si="62"/>
        <v>High Humidity</v>
      </c>
      <c r="T1015" s="7" t="str">
        <f t="shared" si="63"/>
        <v>Moderate Wind</v>
      </c>
    </row>
    <row r="1016" spans="1:20" x14ac:dyDescent="0.25">
      <c r="A1016" s="7" t="s">
        <v>1080</v>
      </c>
      <c r="B1016" s="10">
        <v>45894</v>
      </c>
      <c r="C1016" s="11" t="s">
        <v>42</v>
      </c>
      <c r="D1016" s="11" t="s">
        <v>23</v>
      </c>
      <c r="E1016" s="7" t="s">
        <v>32</v>
      </c>
      <c r="F1016" s="9">
        <v>13.4</v>
      </c>
      <c r="G1016" s="9">
        <v>106.7</v>
      </c>
      <c r="H1016" s="9">
        <v>14.9</v>
      </c>
      <c r="I1016" s="9">
        <v>5.8</v>
      </c>
      <c r="J1016" s="9">
        <v>0.03</v>
      </c>
      <c r="K1016" s="9">
        <v>34.6</v>
      </c>
      <c r="L1016" s="7">
        <v>31.2</v>
      </c>
      <c r="M1016" s="7">
        <v>64.400000000000006</v>
      </c>
      <c r="N1016" s="7">
        <v>1.7</v>
      </c>
      <c r="O1016" s="7">
        <v>123</v>
      </c>
      <c r="P1016" s="7" t="s">
        <v>33</v>
      </c>
      <c r="Q1016" s="7" t="str">
        <f t="shared" si="60"/>
        <v>Unhealthy</v>
      </c>
      <c r="R1016" s="7" t="str">
        <f t="shared" si="61"/>
        <v>Hot</v>
      </c>
      <c r="S1016" s="7" t="str">
        <f t="shared" si="62"/>
        <v>High Humidity</v>
      </c>
      <c r="T1016" s="7" t="str">
        <f t="shared" si="63"/>
        <v>Low Wind</v>
      </c>
    </row>
    <row r="1017" spans="1:20" x14ac:dyDescent="0.25">
      <c r="A1017" s="7" t="s">
        <v>1081</v>
      </c>
      <c r="B1017" s="10">
        <v>45788</v>
      </c>
      <c r="C1017" s="11" t="s">
        <v>42</v>
      </c>
      <c r="D1017" s="11" t="s">
        <v>23</v>
      </c>
      <c r="E1017" s="7" t="s">
        <v>55</v>
      </c>
      <c r="F1017" s="9">
        <v>91.4</v>
      </c>
      <c r="G1017" s="9">
        <v>55.1</v>
      </c>
      <c r="H1017" s="9">
        <v>9.9</v>
      </c>
      <c r="I1017" s="9">
        <v>5.9</v>
      </c>
      <c r="J1017" s="9">
        <v>0.04</v>
      </c>
      <c r="K1017" s="9">
        <v>23.2</v>
      </c>
      <c r="L1017" s="7">
        <v>14.4</v>
      </c>
      <c r="M1017" s="7">
        <v>74.900000000000006</v>
      </c>
      <c r="N1017" s="7">
        <v>3.7</v>
      </c>
      <c r="O1017" s="7">
        <v>206</v>
      </c>
      <c r="P1017" s="7" t="s">
        <v>28</v>
      </c>
      <c r="Q1017" s="7" t="str">
        <f t="shared" si="60"/>
        <v>Moderate</v>
      </c>
      <c r="R1017" s="7" t="str">
        <f t="shared" si="61"/>
        <v>Cool</v>
      </c>
      <c r="S1017" s="7" t="str">
        <f t="shared" si="62"/>
        <v>High Humidity</v>
      </c>
      <c r="T1017" s="7" t="str">
        <f t="shared" si="63"/>
        <v>Moderate Wind</v>
      </c>
    </row>
    <row r="1018" spans="1:20" x14ac:dyDescent="0.25">
      <c r="A1018" s="7" t="s">
        <v>1082</v>
      </c>
      <c r="B1018" s="10">
        <v>45985</v>
      </c>
      <c r="C1018" s="11" t="s">
        <v>77</v>
      </c>
      <c r="D1018" s="11" t="s">
        <v>39</v>
      </c>
      <c r="E1018" s="7" t="s">
        <v>27</v>
      </c>
      <c r="F1018" s="9">
        <v>51.1</v>
      </c>
      <c r="G1018" s="9">
        <v>27.3</v>
      </c>
      <c r="H1018" s="9">
        <v>23</v>
      </c>
      <c r="I1018" s="9">
        <v>21.8</v>
      </c>
      <c r="J1018" s="9">
        <v>2.76</v>
      </c>
      <c r="K1018" s="9">
        <v>20.7</v>
      </c>
      <c r="L1018" s="7">
        <v>25.4</v>
      </c>
      <c r="M1018" s="7">
        <v>70.5</v>
      </c>
      <c r="N1018" s="7">
        <v>2.7</v>
      </c>
      <c r="O1018" s="7">
        <v>211</v>
      </c>
      <c r="P1018" s="7" t="s">
        <v>28</v>
      </c>
      <c r="Q1018" s="7" t="str">
        <f t="shared" si="60"/>
        <v>Good</v>
      </c>
      <c r="R1018" s="7" t="str">
        <f t="shared" si="61"/>
        <v>Normal</v>
      </c>
      <c r="S1018" s="7" t="str">
        <f t="shared" si="62"/>
        <v>High Humidity</v>
      </c>
      <c r="T1018" s="7" t="str">
        <f t="shared" si="63"/>
        <v>Moderate Wind</v>
      </c>
    </row>
    <row r="1019" spans="1:20" x14ac:dyDescent="0.25">
      <c r="A1019" s="7" t="s">
        <v>1083</v>
      </c>
      <c r="B1019" s="10">
        <v>45849</v>
      </c>
      <c r="C1019" s="11" t="s">
        <v>99</v>
      </c>
      <c r="D1019" s="11" t="s">
        <v>36</v>
      </c>
      <c r="E1019" s="7" t="s">
        <v>97</v>
      </c>
      <c r="F1019" s="9">
        <v>14.2</v>
      </c>
      <c r="G1019" s="9">
        <v>136.80000000000001</v>
      </c>
      <c r="H1019" s="9">
        <v>30.3</v>
      </c>
      <c r="I1019" s="9">
        <v>3.4</v>
      </c>
      <c r="J1019" s="9">
        <v>0.85</v>
      </c>
      <c r="K1019" s="9">
        <v>36.700000000000003</v>
      </c>
      <c r="L1019" s="7">
        <v>25.3</v>
      </c>
      <c r="M1019" s="7">
        <v>57</v>
      </c>
      <c r="N1019" s="7">
        <v>1</v>
      </c>
      <c r="O1019" s="7">
        <v>176</v>
      </c>
      <c r="P1019" s="7" t="s">
        <v>33</v>
      </c>
      <c r="Q1019" s="7" t="str">
        <f t="shared" si="60"/>
        <v>Unhealthy</v>
      </c>
      <c r="R1019" s="7" t="str">
        <f t="shared" si="61"/>
        <v>Normal</v>
      </c>
      <c r="S1019" s="7" t="str">
        <f t="shared" si="62"/>
        <v>Normal Humidity</v>
      </c>
      <c r="T1019" s="7" t="str">
        <f t="shared" si="63"/>
        <v>Low Wind</v>
      </c>
    </row>
    <row r="1020" spans="1:20" x14ac:dyDescent="0.25">
      <c r="A1020" s="7" t="s">
        <v>1084</v>
      </c>
      <c r="B1020" s="10">
        <v>45893</v>
      </c>
      <c r="C1020" s="11" t="s">
        <v>35</v>
      </c>
      <c r="D1020" s="11" t="s">
        <v>36</v>
      </c>
      <c r="E1020" s="7" t="s">
        <v>58</v>
      </c>
      <c r="F1020" s="9">
        <v>58.5</v>
      </c>
      <c r="G1020" s="9">
        <v>31</v>
      </c>
      <c r="H1020" s="9">
        <v>25</v>
      </c>
      <c r="I1020" s="9">
        <v>41.7</v>
      </c>
      <c r="J1020" s="9">
        <v>0.69</v>
      </c>
      <c r="K1020" s="9">
        <v>32.200000000000003</v>
      </c>
      <c r="L1020" s="7">
        <v>31.7</v>
      </c>
      <c r="M1020" s="7">
        <v>71</v>
      </c>
      <c r="N1020" s="7">
        <v>3.8</v>
      </c>
      <c r="O1020" s="7">
        <v>195</v>
      </c>
      <c r="P1020" s="7" t="s">
        <v>33</v>
      </c>
      <c r="Q1020" s="7" t="str">
        <f t="shared" si="60"/>
        <v>Good</v>
      </c>
      <c r="R1020" s="7" t="str">
        <f t="shared" si="61"/>
        <v>Hot</v>
      </c>
      <c r="S1020" s="7" t="str">
        <f t="shared" si="62"/>
        <v>High Humidity</v>
      </c>
      <c r="T1020" s="7" t="str">
        <f t="shared" si="63"/>
        <v>Moderate Wind</v>
      </c>
    </row>
    <row r="1021" spans="1:20" x14ac:dyDescent="0.25">
      <c r="A1021" s="7" t="s">
        <v>1085</v>
      </c>
      <c r="B1021" s="10">
        <v>45855</v>
      </c>
      <c r="C1021" s="11" t="s">
        <v>50</v>
      </c>
      <c r="D1021" s="11" t="s">
        <v>31</v>
      </c>
      <c r="E1021" s="7" t="s">
        <v>45</v>
      </c>
      <c r="F1021" s="9">
        <v>80.7</v>
      </c>
      <c r="G1021" s="9">
        <v>145</v>
      </c>
      <c r="H1021" s="9">
        <v>68.099999999999994</v>
      </c>
      <c r="I1021" s="9">
        <v>9.8000000000000007</v>
      </c>
      <c r="J1021" s="9">
        <v>0.19</v>
      </c>
      <c r="K1021" s="9">
        <v>8</v>
      </c>
      <c r="L1021" s="7">
        <v>33.9</v>
      </c>
      <c r="M1021" s="7">
        <v>80.8</v>
      </c>
      <c r="N1021" s="7">
        <v>2</v>
      </c>
      <c r="O1021" s="7">
        <v>293</v>
      </c>
      <c r="P1021" s="7" t="s">
        <v>28</v>
      </c>
      <c r="Q1021" s="7" t="str">
        <f t="shared" si="60"/>
        <v>Unhealthy</v>
      </c>
      <c r="R1021" s="7" t="str">
        <f t="shared" si="61"/>
        <v>Hot</v>
      </c>
      <c r="S1021" s="7" t="str">
        <f t="shared" si="62"/>
        <v>High Humidity</v>
      </c>
      <c r="T1021" s="7" t="str">
        <f t="shared" si="63"/>
        <v>Moderate Wind</v>
      </c>
    </row>
    <row r="1022" spans="1:20" x14ac:dyDescent="0.25">
      <c r="A1022" s="7" t="s">
        <v>1086</v>
      </c>
      <c r="B1022" s="10">
        <v>45858</v>
      </c>
      <c r="C1022" s="11" t="s">
        <v>93</v>
      </c>
      <c r="D1022" s="11" t="s">
        <v>36</v>
      </c>
      <c r="E1022" s="7" t="s">
        <v>74</v>
      </c>
      <c r="F1022" s="9">
        <v>64.2</v>
      </c>
      <c r="G1022" s="9">
        <v>70</v>
      </c>
      <c r="H1022" s="9">
        <v>21.7</v>
      </c>
      <c r="I1022" s="9">
        <v>10.3</v>
      </c>
      <c r="J1022" s="9">
        <v>0.36</v>
      </c>
      <c r="K1022" s="9">
        <v>30.4</v>
      </c>
      <c r="L1022" s="7">
        <v>26.9</v>
      </c>
      <c r="M1022" s="7">
        <v>80.400000000000006</v>
      </c>
      <c r="N1022" s="7">
        <v>2.4</v>
      </c>
      <c r="O1022" s="7">
        <v>195</v>
      </c>
      <c r="P1022" s="7" t="s">
        <v>33</v>
      </c>
      <c r="Q1022" s="7" t="str">
        <f t="shared" si="60"/>
        <v>Moderate</v>
      </c>
      <c r="R1022" s="7" t="str">
        <f t="shared" si="61"/>
        <v>Normal</v>
      </c>
      <c r="S1022" s="7" t="str">
        <f t="shared" si="62"/>
        <v>High Humidity</v>
      </c>
      <c r="T1022" s="7" t="str">
        <f t="shared" si="63"/>
        <v>Moderate Wind</v>
      </c>
    </row>
    <row r="1023" spans="1:20" x14ac:dyDescent="0.25">
      <c r="A1023" s="7" t="s">
        <v>1087</v>
      </c>
      <c r="B1023" s="10">
        <v>46014</v>
      </c>
      <c r="C1023" s="11" t="s">
        <v>99</v>
      </c>
      <c r="D1023" s="11" t="s">
        <v>36</v>
      </c>
      <c r="E1023" s="7" t="s">
        <v>24</v>
      </c>
      <c r="F1023" s="9">
        <v>96.8</v>
      </c>
      <c r="G1023" s="9">
        <v>97.6</v>
      </c>
      <c r="H1023" s="9">
        <v>12.7</v>
      </c>
      <c r="I1023" s="9">
        <v>10</v>
      </c>
      <c r="J1023" s="9">
        <v>0.33</v>
      </c>
      <c r="K1023" s="9">
        <v>66.900000000000006</v>
      </c>
      <c r="L1023" s="7">
        <v>31.7</v>
      </c>
      <c r="M1023" s="7">
        <v>68.599999999999994</v>
      </c>
      <c r="N1023" s="7">
        <v>0.9</v>
      </c>
      <c r="O1023" s="7">
        <v>274</v>
      </c>
      <c r="P1023" s="7" t="s">
        <v>28</v>
      </c>
      <c r="Q1023" s="7" t="str">
        <f t="shared" si="60"/>
        <v>Moderate</v>
      </c>
      <c r="R1023" s="7" t="str">
        <f t="shared" si="61"/>
        <v>Hot</v>
      </c>
      <c r="S1023" s="7" t="str">
        <f t="shared" si="62"/>
        <v>High Humidity</v>
      </c>
      <c r="T1023" s="7" t="str">
        <f t="shared" si="63"/>
        <v>Low Wind</v>
      </c>
    </row>
    <row r="1024" spans="1:20" x14ac:dyDescent="0.25">
      <c r="A1024" s="7" t="s">
        <v>1088</v>
      </c>
      <c r="B1024" s="10">
        <v>45849</v>
      </c>
      <c r="C1024" s="11" t="s">
        <v>35</v>
      </c>
      <c r="D1024" s="11" t="s">
        <v>36</v>
      </c>
      <c r="E1024" s="7" t="s">
        <v>58</v>
      </c>
      <c r="F1024" s="9">
        <v>56.2</v>
      </c>
      <c r="G1024" s="9">
        <v>63.1</v>
      </c>
      <c r="H1024" s="9">
        <v>5.7</v>
      </c>
      <c r="I1024" s="9">
        <v>15.2</v>
      </c>
      <c r="J1024" s="9">
        <v>1.1100000000000001</v>
      </c>
      <c r="K1024" s="9">
        <v>42.7</v>
      </c>
      <c r="L1024" s="7">
        <v>32.1</v>
      </c>
      <c r="M1024" s="7">
        <v>70.900000000000006</v>
      </c>
      <c r="N1024" s="7">
        <v>1.9</v>
      </c>
      <c r="O1024" s="7">
        <v>193</v>
      </c>
      <c r="P1024" s="7" t="s">
        <v>33</v>
      </c>
      <c r="Q1024" s="7" t="str">
        <f t="shared" si="60"/>
        <v>Moderate</v>
      </c>
      <c r="R1024" s="7" t="str">
        <f t="shared" si="61"/>
        <v>Hot</v>
      </c>
      <c r="S1024" s="7" t="str">
        <f t="shared" si="62"/>
        <v>High Humidity</v>
      </c>
      <c r="T1024" s="7" t="str">
        <f t="shared" si="63"/>
        <v>Low Wind</v>
      </c>
    </row>
    <row r="1025" spans="1:20" x14ac:dyDescent="0.25">
      <c r="A1025" s="7" t="s">
        <v>1089</v>
      </c>
      <c r="B1025" s="10">
        <v>45907</v>
      </c>
      <c r="C1025" s="11" t="s">
        <v>38</v>
      </c>
      <c r="D1025" s="11" t="s">
        <v>39</v>
      </c>
      <c r="E1025" s="7" t="s">
        <v>55</v>
      </c>
      <c r="F1025" s="9">
        <v>90.4</v>
      </c>
      <c r="G1025" s="9">
        <v>137.80000000000001</v>
      </c>
      <c r="H1025" s="9">
        <v>22.5</v>
      </c>
      <c r="I1025" s="9">
        <v>1.6</v>
      </c>
      <c r="J1025" s="9">
        <v>0.11</v>
      </c>
      <c r="K1025" s="9">
        <v>38.9</v>
      </c>
      <c r="L1025" s="7">
        <v>32.6</v>
      </c>
      <c r="M1025" s="7">
        <v>33.799999999999997</v>
      </c>
      <c r="N1025" s="7">
        <v>2.7</v>
      </c>
      <c r="O1025" s="7">
        <v>274</v>
      </c>
      <c r="P1025" s="7" t="s">
        <v>28</v>
      </c>
      <c r="Q1025" s="7" t="str">
        <f t="shared" si="60"/>
        <v>Unhealthy</v>
      </c>
      <c r="R1025" s="7" t="str">
        <f t="shared" si="61"/>
        <v>Hot</v>
      </c>
      <c r="S1025" s="7" t="str">
        <f t="shared" si="62"/>
        <v>Normal Humidity</v>
      </c>
      <c r="T1025" s="7" t="str">
        <f t="shared" si="63"/>
        <v>Moderate Wind</v>
      </c>
    </row>
    <row r="1026" spans="1:20" x14ac:dyDescent="0.25">
      <c r="A1026" s="7" t="s">
        <v>1090</v>
      </c>
      <c r="B1026" s="10">
        <v>45811</v>
      </c>
      <c r="C1026" s="11" t="s">
        <v>22</v>
      </c>
      <c r="D1026" s="11" t="s">
        <v>23</v>
      </c>
      <c r="E1026" s="7" t="s">
        <v>61</v>
      </c>
      <c r="F1026" s="9">
        <v>69.900000000000006</v>
      </c>
      <c r="G1026" s="9">
        <v>79.599999999999994</v>
      </c>
      <c r="H1026" s="9">
        <v>33.700000000000003</v>
      </c>
      <c r="I1026" s="9">
        <v>16.899999999999999</v>
      </c>
      <c r="J1026" s="9">
        <v>0.69</v>
      </c>
      <c r="K1026" s="9">
        <v>53.3</v>
      </c>
      <c r="L1026" s="7">
        <v>38.299999999999997</v>
      </c>
      <c r="M1026" s="7">
        <v>41.7</v>
      </c>
      <c r="N1026" s="7">
        <v>2.5</v>
      </c>
      <c r="O1026" s="7">
        <v>244</v>
      </c>
      <c r="P1026" s="7" t="s">
        <v>28</v>
      </c>
      <c r="Q1026" s="7" t="str">
        <f t="shared" si="60"/>
        <v>Moderate</v>
      </c>
      <c r="R1026" s="7" t="str">
        <f t="shared" si="61"/>
        <v>Hot</v>
      </c>
      <c r="S1026" s="7" t="str">
        <f t="shared" si="62"/>
        <v>Normal Humidity</v>
      </c>
      <c r="T1026" s="7" t="str">
        <f t="shared" si="63"/>
        <v>Moderate Wind</v>
      </c>
    </row>
    <row r="1027" spans="1:20" x14ac:dyDescent="0.25">
      <c r="A1027" s="7" t="s">
        <v>1091</v>
      </c>
      <c r="B1027" s="10">
        <v>45757</v>
      </c>
      <c r="C1027" s="11" t="s">
        <v>67</v>
      </c>
      <c r="D1027" s="11" t="s">
        <v>18</v>
      </c>
      <c r="E1027" s="7" t="s">
        <v>58</v>
      </c>
      <c r="F1027" s="9">
        <v>87.8</v>
      </c>
      <c r="G1027" s="9">
        <v>116.6</v>
      </c>
      <c r="H1027" s="9">
        <v>9.6999999999999993</v>
      </c>
      <c r="I1027" s="9">
        <v>17.8</v>
      </c>
      <c r="J1027" s="9">
        <v>0.41</v>
      </c>
      <c r="K1027" s="9">
        <v>113.6</v>
      </c>
      <c r="L1027" s="7">
        <v>36</v>
      </c>
      <c r="M1027" s="7">
        <v>55.6</v>
      </c>
      <c r="N1027" s="7">
        <v>2.2000000000000002</v>
      </c>
      <c r="O1027" s="7">
        <v>298</v>
      </c>
      <c r="P1027" s="7" t="s">
        <v>28</v>
      </c>
      <c r="Q1027" s="7" t="str">
        <f t="shared" ref="Q1027:Q1090" si="64">IF(G1027&lt;50,"Good",IF(G1027&lt;=100,"Moderate",IF(G1027&lt;=150,"Unhealthy","VeryUnhealthy")))</f>
        <v>Unhealthy</v>
      </c>
      <c r="R1027" s="7" t="str">
        <f t="shared" ref="R1027:R1090" si="65">IF(L1027&lt;20,"Cool",IF(L1027&lt;=30,"Normal","Hot"))</f>
        <v>Hot</v>
      </c>
      <c r="S1027" s="7" t="str">
        <f t="shared" ref="S1027:S1090" si="66">IF(M1027&lt;30,"Low Humidity",IF(M1027&lt;=60,"Normal Humidity","High Humidity"))</f>
        <v>Normal Humidity</v>
      </c>
      <c r="T1027" s="7" t="str">
        <f t="shared" ref="T1027:T1090" si="67">IF(N1027&lt;2,"Low Wind",IF(N1027&lt;=5,"Moderate Wind","High Wind"))</f>
        <v>Moderate Wind</v>
      </c>
    </row>
    <row r="1028" spans="1:20" x14ac:dyDescent="0.25">
      <c r="A1028" s="7" t="s">
        <v>1092</v>
      </c>
      <c r="B1028" s="10">
        <v>45711</v>
      </c>
      <c r="C1028" s="11" t="s">
        <v>64</v>
      </c>
      <c r="D1028" s="11" t="s">
        <v>36</v>
      </c>
      <c r="E1028" s="7" t="s">
        <v>55</v>
      </c>
      <c r="F1028" s="9">
        <v>104.5</v>
      </c>
      <c r="G1028" s="9">
        <v>83.9</v>
      </c>
      <c r="H1028" s="9">
        <v>36.200000000000003</v>
      </c>
      <c r="I1028" s="9">
        <v>7.9</v>
      </c>
      <c r="J1028" s="9">
        <v>0.17</v>
      </c>
      <c r="K1028" s="9">
        <v>29.8</v>
      </c>
      <c r="L1028" s="7">
        <v>25.2</v>
      </c>
      <c r="M1028" s="7">
        <v>75.2</v>
      </c>
      <c r="N1028" s="7">
        <v>2.2999999999999998</v>
      </c>
      <c r="O1028" s="7">
        <v>274</v>
      </c>
      <c r="P1028" s="7" t="s">
        <v>28</v>
      </c>
      <c r="Q1028" s="7" t="str">
        <f t="shared" si="64"/>
        <v>Moderate</v>
      </c>
      <c r="R1028" s="7" t="str">
        <f t="shared" si="65"/>
        <v>Normal</v>
      </c>
      <c r="S1028" s="7" t="str">
        <f t="shared" si="66"/>
        <v>High Humidity</v>
      </c>
      <c r="T1028" s="7" t="str">
        <f t="shared" si="67"/>
        <v>Moderate Wind</v>
      </c>
    </row>
    <row r="1029" spans="1:20" x14ac:dyDescent="0.25">
      <c r="A1029" s="7" t="s">
        <v>1093</v>
      </c>
      <c r="B1029" s="10">
        <v>45810</v>
      </c>
      <c r="C1029" s="11" t="s">
        <v>93</v>
      </c>
      <c r="D1029" s="11" t="s">
        <v>36</v>
      </c>
      <c r="E1029" s="7" t="s">
        <v>74</v>
      </c>
      <c r="F1029" s="9">
        <v>77</v>
      </c>
      <c r="G1029" s="9">
        <v>59.9</v>
      </c>
      <c r="H1029" s="9">
        <v>26.1</v>
      </c>
      <c r="I1029" s="9">
        <v>0.7</v>
      </c>
      <c r="J1029" s="9">
        <v>1.71</v>
      </c>
      <c r="K1029" s="9">
        <v>63.7</v>
      </c>
      <c r="L1029" s="7">
        <v>30.6</v>
      </c>
      <c r="M1029" s="7">
        <v>72.599999999999994</v>
      </c>
      <c r="N1029" s="7">
        <v>2.2000000000000002</v>
      </c>
      <c r="O1029" s="7">
        <v>255</v>
      </c>
      <c r="P1029" s="7" t="s">
        <v>28</v>
      </c>
      <c r="Q1029" s="7" t="str">
        <f t="shared" si="64"/>
        <v>Moderate</v>
      </c>
      <c r="R1029" s="7" t="str">
        <f t="shared" si="65"/>
        <v>Hot</v>
      </c>
      <c r="S1029" s="7" t="str">
        <f t="shared" si="66"/>
        <v>High Humidity</v>
      </c>
      <c r="T1029" s="7" t="str">
        <f t="shared" si="67"/>
        <v>Moderate Wind</v>
      </c>
    </row>
    <row r="1030" spans="1:20" x14ac:dyDescent="0.25">
      <c r="A1030" s="7" t="s">
        <v>1094</v>
      </c>
      <c r="B1030" s="10">
        <v>45869</v>
      </c>
      <c r="C1030" s="11" t="s">
        <v>52</v>
      </c>
      <c r="D1030" s="11" t="s">
        <v>31</v>
      </c>
      <c r="E1030" s="7" t="s">
        <v>27</v>
      </c>
      <c r="F1030" s="9">
        <v>87.1</v>
      </c>
      <c r="G1030" s="9">
        <v>55.6</v>
      </c>
      <c r="H1030" s="9">
        <v>11.3</v>
      </c>
      <c r="I1030" s="9">
        <v>10.1</v>
      </c>
      <c r="J1030" s="9">
        <v>0.74</v>
      </c>
      <c r="K1030" s="9">
        <v>89</v>
      </c>
      <c r="L1030" s="7">
        <v>21.6</v>
      </c>
      <c r="M1030" s="7">
        <v>69.3</v>
      </c>
      <c r="N1030" s="7">
        <v>2.2999999999999998</v>
      </c>
      <c r="O1030" s="7">
        <v>250</v>
      </c>
      <c r="P1030" s="7" t="s">
        <v>28</v>
      </c>
      <c r="Q1030" s="7" t="str">
        <f t="shared" si="64"/>
        <v>Moderate</v>
      </c>
      <c r="R1030" s="7" t="str">
        <f t="shared" si="65"/>
        <v>Normal</v>
      </c>
      <c r="S1030" s="7" t="str">
        <f t="shared" si="66"/>
        <v>High Humidity</v>
      </c>
      <c r="T1030" s="7" t="str">
        <f t="shared" si="67"/>
        <v>Moderate Wind</v>
      </c>
    </row>
    <row r="1031" spans="1:20" x14ac:dyDescent="0.25">
      <c r="A1031" s="7" t="s">
        <v>1095</v>
      </c>
      <c r="B1031" s="10">
        <v>45698</v>
      </c>
      <c r="C1031" s="11" t="s">
        <v>81</v>
      </c>
      <c r="D1031" s="11" t="s">
        <v>39</v>
      </c>
      <c r="E1031" s="7" t="s">
        <v>40</v>
      </c>
      <c r="F1031" s="9">
        <v>52.9</v>
      </c>
      <c r="G1031" s="9">
        <v>33.700000000000003</v>
      </c>
      <c r="H1031" s="9">
        <v>17</v>
      </c>
      <c r="I1031" s="9">
        <v>2.9</v>
      </c>
      <c r="J1031" s="9">
        <v>1.52</v>
      </c>
      <c r="K1031" s="9">
        <v>28.3</v>
      </c>
      <c r="L1031" s="7">
        <v>18.8</v>
      </c>
      <c r="M1031" s="7">
        <v>89</v>
      </c>
      <c r="N1031" s="7">
        <v>2.1</v>
      </c>
      <c r="O1031" s="7">
        <v>173</v>
      </c>
      <c r="P1031" s="7" t="s">
        <v>33</v>
      </c>
      <c r="Q1031" s="7" t="str">
        <f t="shared" si="64"/>
        <v>Good</v>
      </c>
      <c r="R1031" s="7" t="str">
        <f t="shared" si="65"/>
        <v>Cool</v>
      </c>
      <c r="S1031" s="7" t="str">
        <f t="shared" si="66"/>
        <v>High Humidity</v>
      </c>
      <c r="T1031" s="7" t="str">
        <f t="shared" si="67"/>
        <v>Moderate Wind</v>
      </c>
    </row>
    <row r="1032" spans="1:20" x14ac:dyDescent="0.25">
      <c r="A1032" s="7" t="s">
        <v>1096</v>
      </c>
      <c r="B1032" s="10">
        <v>46005</v>
      </c>
      <c r="C1032" s="11" t="s">
        <v>52</v>
      </c>
      <c r="D1032" s="11" t="s">
        <v>31</v>
      </c>
      <c r="E1032" s="7" t="s">
        <v>32</v>
      </c>
      <c r="F1032" s="9">
        <v>5.2</v>
      </c>
      <c r="G1032" s="9">
        <v>90.4</v>
      </c>
      <c r="H1032" s="9">
        <v>29.9</v>
      </c>
      <c r="I1032" s="9">
        <v>1.3</v>
      </c>
      <c r="J1032" s="9">
        <v>0.28000000000000003</v>
      </c>
      <c r="K1032" s="9">
        <v>8.1999999999999993</v>
      </c>
      <c r="L1032" s="7">
        <v>29.8</v>
      </c>
      <c r="M1032" s="7">
        <v>65.5</v>
      </c>
      <c r="N1032" s="7">
        <v>2.4</v>
      </c>
      <c r="O1032" s="7">
        <v>103</v>
      </c>
      <c r="P1032" s="7" t="s">
        <v>33</v>
      </c>
      <c r="Q1032" s="7" t="str">
        <f t="shared" si="64"/>
        <v>Moderate</v>
      </c>
      <c r="R1032" s="7" t="str">
        <f t="shared" si="65"/>
        <v>Normal</v>
      </c>
      <c r="S1032" s="7" t="str">
        <f t="shared" si="66"/>
        <v>High Humidity</v>
      </c>
      <c r="T1032" s="7" t="str">
        <f t="shared" si="67"/>
        <v>Moderate Wind</v>
      </c>
    </row>
    <row r="1033" spans="1:20" x14ac:dyDescent="0.25">
      <c r="A1033" s="7" t="s">
        <v>1097</v>
      </c>
      <c r="B1033" s="10">
        <v>45787</v>
      </c>
      <c r="C1033" s="11" t="s">
        <v>67</v>
      </c>
      <c r="D1033" s="11" t="s">
        <v>18</v>
      </c>
      <c r="E1033" s="7" t="s">
        <v>58</v>
      </c>
      <c r="F1033" s="9">
        <v>27.6</v>
      </c>
      <c r="G1033" s="9">
        <v>13.9</v>
      </c>
      <c r="H1033" s="9">
        <v>26.8</v>
      </c>
      <c r="I1033" s="9">
        <v>14.3</v>
      </c>
      <c r="J1033" s="9">
        <v>0.66</v>
      </c>
      <c r="K1033" s="9">
        <v>17.399999999999999</v>
      </c>
      <c r="L1033" s="7">
        <v>35.1</v>
      </c>
      <c r="M1033" s="7">
        <v>81.2</v>
      </c>
      <c r="N1033" s="7">
        <v>2.1</v>
      </c>
      <c r="O1033" s="7">
        <v>109</v>
      </c>
      <c r="P1033" s="7" t="s">
        <v>33</v>
      </c>
      <c r="Q1033" s="7" t="str">
        <f t="shared" si="64"/>
        <v>Good</v>
      </c>
      <c r="R1033" s="7" t="str">
        <f t="shared" si="65"/>
        <v>Hot</v>
      </c>
      <c r="S1033" s="7" t="str">
        <f t="shared" si="66"/>
        <v>High Humidity</v>
      </c>
      <c r="T1033" s="7" t="str">
        <f t="shared" si="67"/>
        <v>Moderate Wind</v>
      </c>
    </row>
    <row r="1034" spans="1:20" x14ac:dyDescent="0.25">
      <c r="A1034" s="7" t="s">
        <v>1098</v>
      </c>
      <c r="B1034" s="10">
        <v>46003</v>
      </c>
      <c r="C1034" s="11" t="s">
        <v>52</v>
      </c>
      <c r="D1034" s="11" t="s">
        <v>31</v>
      </c>
      <c r="E1034" s="7" t="s">
        <v>24</v>
      </c>
      <c r="F1034" s="9">
        <v>42.8</v>
      </c>
      <c r="G1034" s="9">
        <v>85.8</v>
      </c>
      <c r="H1034" s="9">
        <v>22.4</v>
      </c>
      <c r="I1034" s="9">
        <v>3.2</v>
      </c>
      <c r="J1034" s="9">
        <v>0.52</v>
      </c>
      <c r="K1034" s="9">
        <v>53.2</v>
      </c>
      <c r="L1034" s="7">
        <v>30.2</v>
      </c>
      <c r="M1034" s="7">
        <v>61.8</v>
      </c>
      <c r="N1034" s="7">
        <v>1.5</v>
      </c>
      <c r="O1034" s="7">
        <v>181</v>
      </c>
      <c r="P1034" s="7" t="s">
        <v>33</v>
      </c>
      <c r="Q1034" s="7" t="str">
        <f t="shared" si="64"/>
        <v>Moderate</v>
      </c>
      <c r="R1034" s="7" t="str">
        <f t="shared" si="65"/>
        <v>Hot</v>
      </c>
      <c r="S1034" s="7" t="str">
        <f t="shared" si="66"/>
        <v>High Humidity</v>
      </c>
      <c r="T1034" s="7" t="str">
        <f t="shared" si="67"/>
        <v>Low Wind</v>
      </c>
    </row>
    <row r="1035" spans="1:20" x14ac:dyDescent="0.25">
      <c r="A1035" s="7" t="s">
        <v>1099</v>
      </c>
      <c r="B1035" s="10">
        <v>45952</v>
      </c>
      <c r="C1035" s="11" t="s">
        <v>38</v>
      </c>
      <c r="D1035" s="11" t="s">
        <v>39</v>
      </c>
      <c r="E1035" s="7" t="s">
        <v>74</v>
      </c>
      <c r="F1035" s="9">
        <v>52.1</v>
      </c>
      <c r="G1035" s="9">
        <v>63.3</v>
      </c>
      <c r="H1035" s="9">
        <v>20.2</v>
      </c>
      <c r="I1035" s="9">
        <v>38.200000000000003</v>
      </c>
      <c r="J1035" s="9">
        <v>0.3</v>
      </c>
      <c r="K1035" s="9">
        <v>80.099999999999994</v>
      </c>
      <c r="L1035" s="7">
        <v>20.399999999999999</v>
      </c>
      <c r="M1035" s="7">
        <v>65.400000000000006</v>
      </c>
      <c r="N1035" s="7">
        <v>2.5</v>
      </c>
      <c r="O1035" s="7">
        <v>211</v>
      </c>
      <c r="P1035" s="7" t="s">
        <v>28</v>
      </c>
      <c r="Q1035" s="7" t="str">
        <f t="shared" si="64"/>
        <v>Moderate</v>
      </c>
      <c r="R1035" s="7" t="str">
        <f t="shared" si="65"/>
        <v>Normal</v>
      </c>
      <c r="S1035" s="7" t="str">
        <f t="shared" si="66"/>
        <v>High Humidity</v>
      </c>
      <c r="T1035" s="7" t="str">
        <f t="shared" si="67"/>
        <v>Moderate Wind</v>
      </c>
    </row>
    <row r="1036" spans="1:20" x14ac:dyDescent="0.25">
      <c r="A1036" s="7" t="s">
        <v>1100</v>
      </c>
      <c r="B1036" s="10">
        <v>45698</v>
      </c>
      <c r="C1036" s="11" t="s">
        <v>35</v>
      </c>
      <c r="D1036" s="11" t="s">
        <v>36</v>
      </c>
      <c r="E1036" s="7" t="s">
        <v>40</v>
      </c>
      <c r="F1036" s="9">
        <v>75.099999999999994</v>
      </c>
      <c r="G1036" s="9">
        <v>61.7</v>
      </c>
      <c r="H1036" s="9">
        <v>45</v>
      </c>
      <c r="I1036" s="9">
        <v>10.199999999999999</v>
      </c>
      <c r="J1036" s="9">
        <v>0.7</v>
      </c>
      <c r="K1036" s="9">
        <v>16.899999999999999</v>
      </c>
      <c r="L1036" s="7">
        <v>28.1</v>
      </c>
      <c r="M1036" s="7">
        <v>78</v>
      </c>
      <c r="N1036" s="7">
        <v>2</v>
      </c>
      <c r="O1036" s="7">
        <v>229</v>
      </c>
      <c r="P1036" s="7" t="s">
        <v>28</v>
      </c>
      <c r="Q1036" s="7" t="str">
        <f t="shared" si="64"/>
        <v>Moderate</v>
      </c>
      <c r="R1036" s="7" t="str">
        <f t="shared" si="65"/>
        <v>Normal</v>
      </c>
      <c r="S1036" s="7" t="str">
        <f t="shared" si="66"/>
        <v>High Humidity</v>
      </c>
      <c r="T1036" s="7" t="str">
        <f t="shared" si="67"/>
        <v>Moderate Wind</v>
      </c>
    </row>
    <row r="1037" spans="1:20" x14ac:dyDescent="0.25">
      <c r="A1037" s="7" t="s">
        <v>1101</v>
      </c>
      <c r="B1037" s="10">
        <v>45805</v>
      </c>
      <c r="C1037" s="11" t="s">
        <v>77</v>
      </c>
      <c r="D1037" s="11" t="s">
        <v>39</v>
      </c>
      <c r="E1037" s="7" t="s">
        <v>27</v>
      </c>
      <c r="F1037" s="9">
        <v>63.8</v>
      </c>
      <c r="G1037" s="9">
        <v>132.4</v>
      </c>
      <c r="H1037" s="9">
        <v>31.6</v>
      </c>
      <c r="I1037" s="9">
        <v>10.9</v>
      </c>
      <c r="J1037" s="9">
        <v>0.6</v>
      </c>
      <c r="K1037" s="9">
        <v>41.4</v>
      </c>
      <c r="L1037" s="7">
        <v>23.1</v>
      </c>
      <c r="M1037" s="7">
        <v>68.099999999999994</v>
      </c>
      <c r="N1037" s="7">
        <v>1.4</v>
      </c>
      <c r="O1037" s="7">
        <v>255</v>
      </c>
      <c r="P1037" s="7" t="s">
        <v>28</v>
      </c>
      <c r="Q1037" s="7" t="str">
        <f t="shared" si="64"/>
        <v>Unhealthy</v>
      </c>
      <c r="R1037" s="7" t="str">
        <f t="shared" si="65"/>
        <v>Normal</v>
      </c>
      <c r="S1037" s="7" t="str">
        <f t="shared" si="66"/>
        <v>High Humidity</v>
      </c>
      <c r="T1037" s="7" t="str">
        <f t="shared" si="67"/>
        <v>Low Wind</v>
      </c>
    </row>
    <row r="1038" spans="1:20" x14ac:dyDescent="0.25">
      <c r="A1038" s="7" t="s">
        <v>1102</v>
      </c>
      <c r="B1038" s="10">
        <v>45706</v>
      </c>
      <c r="C1038" s="11" t="s">
        <v>54</v>
      </c>
      <c r="D1038" s="11" t="s">
        <v>18</v>
      </c>
      <c r="E1038" s="7" t="s">
        <v>97</v>
      </c>
      <c r="F1038" s="9">
        <v>36.700000000000003</v>
      </c>
      <c r="G1038" s="9">
        <v>130.1</v>
      </c>
      <c r="H1038" s="9">
        <v>30.2</v>
      </c>
      <c r="I1038" s="9">
        <v>6.3</v>
      </c>
      <c r="J1038" s="9">
        <v>0.79</v>
      </c>
      <c r="K1038" s="9">
        <v>29.4</v>
      </c>
      <c r="L1038" s="7">
        <v>20.2</v>
      </c>
      <c r="M1038" s="7">
        <v>86.6</v>
      </c>
      <c r="N1038" s="7">
        <v>3.4</v>
      </c>
      <c r="O1038" s="7">
        <v>205</v>
      </c>
      <c r="P1038" s="7" t="s">
        <v>28</v>
      </c>
      <c r="Q1038" s="7" t="str">
        <f t="shared" si="64"/>
        <v>Unhealthy</v>
      </c>
      <c r="R1038" s="7" t="str">
        <f t="shared" si="65"/>
        <v>Normal</v>
      </c>
      <c r="S1038" s="7" t="str">
        <f t="shared" si="66"/>
        <v>High Humidity</v>
      </c>
      <c r="T1038" s="7" t="str">
        <f t="shared" si="67"/>
        <v>Moderate Wind</v>
      </c>
    </row>
    <row r="1039" spans="1:20" x14ac:dyDescent="0.25">
      <c r="A1039" s="7" t="s">
        <v>1103</v>
      </c>
      <c r="B1039" s="10">
        <v>45953</v>
      </c>
      <c r="C1039" s="11" t="s">
        <v>81</v>
      </c>
      <c r="D1039" s="11" t="s">
        <v>39</v>
      </c>
      <c r="E1039" s="7" t="s">
        <v>27</v>
      </c>
      <c r="F1039" s="9">
        <v>106.5</v>
      </c>
      <c r="G1039" s="9">
        <v>72.5</v>
      </c>
      <c r="H1039" s="9">
        <v>25.5</v>
      </c>
      <c r="I1039" s="9">
        <v>6.2</v>
      </c>
      <c r="J1039" s="9">
        <v>0.86</v>
      </c>
      <c r="K1039" s="9">
        <v>13.2</v>
      </c>
      <c r="L1039" s="7">
        <v>22.1</v>
      </c>
      <c r="M1039" s="7">
        <v>71.400000000000006</v>
      </c>
      <c r="N1039" s="7">
        <v>1.6</v>
      </c>
      <c r="O1039" s="7">
        <v>270</v>
      </c>
      <c r="P1039" s="7" t="s">
        <v>28</v>
      </c>
      <c r="Q1039" s="7" t="str">
        <f t="shared" si="64"/>
        <v>Moderate</v>
      </c>
      <c r="R1039" s="7" t="str">
        <f t="shared" si="65"/>
        <v>Normal</v>
      </c>
      <c r="S1039" s="7" t="str">
        <f t="shared" si="66"/>
        <v>High Humidity</v>
      </c>
      <c r="T1039" s="7" t="str">
        <f t="shared" si="67"/>
        <v>Low Wind</v>
      </c>
    </row>
    <row r="1040" spans="1:20" x14ac:dyDescent="0.25">
      <c r="A1040" s="7" t="s">
        <v>1104</v>
      </c>
      <c r="B1040" s="10">
        <v>45781</v>
      </c>
      <c r="C1040" s="11" t="s">
        <v>81</v>
      </c>
      <c r="D1040" s="11" t="s">
        <v>39</v>
      </c>
      <c r="E1040" s="7" t="s">
        <v>97</v>
      </c>
      <c r="F1040" s="9">
        <v>29.3</v>
      </c>
      <c r="G1040" s="9">
        <v>187.2</v>
      </c>
      <c r="H1040" s="9">
        <v>15.4</v>
      </c>
      <c r="I1040" s="9">
        <v>20</v>
      </c>
      <c r="J1040" s="9">
        <v>0.51</v>
      </c>
      <c r="K1040" s="9">
        <v>52.2</v>
      </c>
      <c r="L1040" s="7">
        <v>31.9</v>
      </c>
      <c r="M1040" s="7">
        <v>98</v>
      </c>
      <c r="N1040" s="7">
        <v>2</v>
      </c>
      <c r="O1040" s="7">
        <v>231</v>
      </c>
      <c r="P1040" s="7" t="s">
        <v>28</v>
      </c>
      <c r="Q1040" s="7" t="str">
        <f t="shared" si="64"/>
        <v>VeryUnhealthy</v>
      </c>
      <c r="R1040" s="7" t="str">
        <f t="shared" si="65"/>
        <v>Hot</v>
      </c>
      <c r="S1040" s="7" t="str">
        <f t="shared" si="66"/>
        <v>High Humidity</v>
      </c>
      <c r="T1040" s="7" t="str">
        <f t="shared" si="67"/>
        <v>Moderate Wind</v>
      </c>
    </row>
    <row r="1041" spans="1:20" x14ac:dyDescent="0.25">
      <c r="A1041" s="7" t="s">
        <v>1105</v>
      </c>
      <c r="B1041" s="10">
        <v>45772</v>
      </c>
      <c r="C1041" s="11" t="s">
        <v>42</v>
      </c>
      <c r="D1041" s="11" t="s">
        <v>23</v>
      </c>
      <c r="E1041" s="7" t="s">
        <v>45</v>
      </c>
      <c r="F1041" s="9">
        <v>29</v>
      </c>
      <c r="G1041" s="9">
        <v>87.6</v>
      </c>
      <c r="H1041" s="9">
        <v>14</v>
      </c>
      <c r="I1041" s="9">
        <v>27.1</v>
      </c>
      <c r="J1041" s="9">
        <v>1.42</v>
      </c>
      <c r="K1041" s="9">
        <v>24.2</v>
      </c>
      <c r="L1041" s="7">
        <v>27.1</v>
      </c>
      <c r="M1041" s="7">
        <v>46.3</v>
      </c>
      <c r="N1041" s="7">
        <v>1.9</v>
      </c>
      <c r="O1041" s="7">
        <v>180</v>
      </c>
      <c r="P1041" s="7" t="s">
        <v>33</v>
      </c>
      <c r="Q1041" s="7" t="str">
        <f t="shared" si="64"/>
        <v>Moderate</v>
      </c>
      <c r="R1041" s="7" t="str">
        <f t="shared" si="65"/>
        <v>Normal</v>
      </c>
      <c r="S1041" s="7" t="str">
        <f t="shared" si="66"/>
        <v>Normal Humidity</v>
      </c>
      <c r="T1041" s="7" t="str">
        <f t="shared" si="67"/>
        <v>Low Wind</v>
      </c>
    </row>
    <row r="1042" spans="1:20" x14ac:dyDescent="0.25">
      <c r="A1042" s="7" t="s">
        <v>1106</v>
      </c>
      <c r="B1042" s="10">
        <v>45943</v>
      </c>
      <c r="C1042" s="11" t="s">
        <v>38</v>
      </c>
      <c r="D1042" s="11" t="s">
        <v>39</v>
      </c>
      <c r="E1042" s="7" t="s">
        <v>19</v>
      </c>
      <c r="F1042" s="9">
        <v>25.9</v>
      </c>
      <c r="G1042" s="9">
        <v>29.7</v>
      </c>
      <c r="H1042" s="9">
        <v>30.8</v>
      </c>
      <c r="I1042" s="9">
        <v>4.7</v>
      </c>
      <c r="J1042" s="9">
        <v>2.1</v>
      </c>
      <c r="K1042" s="9">
        <v>31.2</v>
      </c>
      <c r="L1042" s="7">
        <v>22.3</v>
      </c>
      <c r="M1042" s="7">
        <v>77</v>
      </c>
      <c r="N1042" s="7">
        <v>1.9</v>
      </c>
      <c r="O1042" s="7">
        <v>155</v>
      </c>
      <c r="P1042" s="7" t="s">
        <v>33</v>
      </c>
      <c r="Q1042" s="7" t="str">
        <f t="shared" si="64"/>
        <v>Good</v>
      </c>
      <c r="R1042" s="7" t="str">
        <f t="shared" si="65"/>
        <v>Normal</v>
      </c>
      <c r="S1042" s="7" t="str">
        <f t="shared" si="66"/>
        <v>High Humidity</v>
      </c>
      <c r="T1042" s="7" t="str">
        <f t="shared" si="67"/>
        <v>Low Wind</v>
      </c>
    </row>
    <row r="1043" spans="1:20" x14ac:dyDescent="0.25">
      <c r="A1043" s="7" t="s">
        <v>1107</v>
      </c>
      <c r="B1043" s="10">
        <v>45885</v>
      </c>
      <c r="C1043" s="11" t="s">
        <v>52</v>
      </c>
      <c r="D1043" s="11" t="s">
        <v>31</v>
      </c>
      <c r="E1043" s="7" t="s">
        <v>91</v>
      </c>
      <c r="F1043" s="9">
        <v>17.600000000000001</v>
      </c>
      <c r="G1043" s="9">
        <v>58.2</v>
      </c>
      <c r="H1043" s="9">
        <v>22.8</v>
      </c>
      <c r="I1043" s="9">
        <v>4.2</v>
      </c>
      <c r="J1043" s="9">
        <v>0.56999999999999995</v>
      </c>
      <c r="K1043" s="9">
        <v>67.3</v>
      </c>
      <c r="L1043" s="7">
        <v>39.299999999999997</v>
      </c>
      <c r="M1043" s="7">
        <v>53.6</v>
      </c>
      <c r="N1043" s="7">
        <v>2.5</v>
      </c>
      <c r="O1043" s="7">
        <v>132</v>
      </c>
      <c r="P1043" s="7" t="s">
        <v>33</v>
      </c>
      <c r="Q1043" s="7" t="str">
        <f t="shared" si="64"/>
        <v>Moderate</v>
      </c>
      <c r="R1043" s="7" t="str">
        <f t="shared" si="65"/>
        <v>Hot</v>
      </c>
      <c r="S1043" s="7" t="str">
        <f t="shared" si="66"/>
        <v>Normal Humidity</v>
      </c>
      <c r="T1043" s="7" t="str">
        <f t="shared" si="67"/>
        <v>Moderate Wind</v>
      </c>
    </row>
    <row r="1044" spans="1:20" x14ac:dyDescent="0.25">
      <c r="A1044" s="7" t="s">
        <v>1108</v>
      </c>
      <c r="B1044" s="10">
        <v>45662</v>
      </c>
      <c r="C1044" s="11" t="s">
        <v>17</v>
      </c>
      <c r="D1044" s="11" t="s">
        <v>18</v>
      </c>
      <c r="E1044" s="7" t="s">
        <v>58</v>
      </c>
      <c r="F1044" s="9">
        <v>88.2</v>
      </c>
      <c r="G1044" s="9">
        <v>65.2</v>
      </c>
      <c r="H1044" s="9">
        <v>64.7</v>
      </c>
      <c r="I1044" s="9">
        <v>37.9</v>
      </c>
      <c r="J1044" s="9">
        <v>0.7</v>
      </c>
      <c r="K1044" s="9">
        <v>48.2</v>
      </c>
      <c r="L1044" s="7">
        <v>23</v>
      </c>
      <c r="M1044" s="7">
        <v>59.7</v>
      </c>
      <c r="N1044" s="7">
        <v>3</v>
      </c>
      <c r="O1044" s="7">
        <v>301</v>
      </c>
      <c r="P1044" s="7" t="s">
        <v>20</v>
      </c>
      <c r="Q1044" s="7" t="str">
        <f t="shared" si="64"/>
        <v>Moderate</v>
      </c>
      <c r="R1044" s="7" t="str">
        <f t="shared" si="65"/>
        <v>Normal</v>
      </c>
      <c r="S1044" s="7" t="str">
        <f t="shared" si="66"/>
        <v>Normal Humidity</v>
      </c>
      <c r="T1044" s="7" t="str">
        <f t="shared" si="67"/>
        <v>Moderate Wind</v>
      </c>
    </row>
    <row r="1045" spans="1:20" x14ac:dyDescent="0.25">
      <c r="A1045" s="7" t="s">
        <v>1109</v>
      </c>
      <c r="B1045" s="10">
        <v>45684</v>
      </c>
      <c r="C1045" s="11" t="s">
        <v>54</v>
      </c>
      <c r="D1045" s="11" t="s">
        <v>18</v>
      </c>
      <c r="E1045" s="7" t="s">
        <v>24</v>
      </c>
      <c r="F1045" s="9">
        <v>60.9</v>
      </c>
      <c r="G1045" s="9">
        <v>84.6</v>
      </c>
      <c r="H1045" s="9">
        <v>93.7</v>
      </c>
      <c r="I1045" s="9">
        <v>10.7</v>
      </c>
      <c r="J1045" s="9">
        <v>0.45</v>
      </c>
      <c r="K1045" s="9">
        <v>51.5</v>
      </c>
      <c r="L1045" s="7">
        <v>31.7</v>
      </c>
      <c r="M1045" s="7">
        <v>82.8</v>
      </c>
      <c r="N1045" s="7">
        <v>1.9</v>
      </c>
      <c r="O1045" s="7">
        <v>269</v>
      </c>
      <c r="P1045" s="7" t="s">
        <v>28</v>
      </c>
      <c r="Q1045" s="7" t="str">
        <f t="shared" si="64"/>
        <v>Moderate</v>
      </c>
      <c r="R1045" s="7" t="str">
        <f t="shared" si="65"/>
        <v>Hot</v>
      </c>
      <c r="S1045" s="7" t="str">
        <f t="shared" si="66"/>
        <v>High Humidity</v>
      </c>
      <c r="T1045" s="7" t="str">
        <f t="shared" si="67"/>
        <v>Low Wind</v>
      </c>
    </row>
    <row r="1046" spans="1:20" x14ac:dyDescent="0.25">
      <c r="A1046" s="7" t="s">
        <v>1110</v>
      </c>
      <c r="B1046" s="10">
        <v>45667</v>
      </c>
      <c r="C1046" s="11" t="s">
        <v>30</v>
      </c>
      <c r="D1046" s="11" t="s">
        <v>31</v>
      </c>
      <c r="E1046" s="7" t="s">
        <v>55</v>
      </c>
      <c r="F1046" s="9">
        <v>7.5</v>
      </c>
      <c r="G1046" s="9">
        <v>67.900000000000006</v>
      </c>
      <c r="H1046" s="9">
        <v>14</v>
      </c>
      <c r="I1046" s="9">
        <v>9</v>
      </c>
      <c r="J1046" s="9">
        <v>0.38</v>
      </c>
      <c r="K1046" s="9">
        <v>31.2</v>
      </c>
      <c r="L1046" s="7">
        <v>32</v>
      </c>
      <c r="M1046" s="7">
        <v>66.400000000000006</v>
      </c>
      <c r="N1046" s="7">
        <v>1.5</v>
      </c>
      <c r="O1046" s="7">
        <v>97</v>
      </c>
      <c r="P1046" s="7" t="s">
        <v>71</v>
      </c>
      <c r="Q1046" s="7" t="str">
        <f t="shared" si="64"/>
        <v>Moderate</v>
      </c>
      <c r="R1046" s="7" t="str">
        <f t="shared" si="65"/>
        <v>Hot</v>
      </c>
      <c r="S1046" s="7" t="str">
        <f t="shared" si="66"/>
        <v>High Humidity</v>
      </c>
      <c r="T1046" s="7" t="str">
        <f t="shared" si="67"/>
        <v>Low Wind</v>
      </c>
    </row>
    <row r="1047" spans="1:20" x14ac:dyDescent="0.25">
      <c r="A1047" s="7" t="s">
        <v>1111</v>
      </c>
      <c r="B1047" s="10">
        <v>45706</v>
      </c>
      <c r="C1047" s="11" t="s">
        <v>54</v>
      </c>
      <c r="D1047" s="11" t="s">
        <v>18</v>
      </c>
      <c r="E1047" s="7" t="s">
        <v>55</v>
      </c>
      <c r="F1047" s="9">
        <v>29.5</v>
      </c>
      <c r="G1047" s="9">
        <v>37.6</v>
      </c>
      <c r="H1047" s="9">
        <v>45.1</v>
      </c>
      <c r="I1047" s="9">
        <v>4.5999999999999996</v>
      </c>
      <c r="J1047" s="9">
        <v>0.27</v>
      </c>
      <c r="K1047" s="9">
        <v>47.2</v>
      </c>
      <c r="L1047" s="7">
        <v>22.7</v>
      </c>
      <c r="M1047" s="7">
        <v>62</v>
      </c>
      <c r="N1047" s="7">
        <v>1.4</v>
      </c>
      <c r="O1047" s="7">
        <v>139</v>
      </c>
      <c r="P1047" s="7" t="s">
        <v>33</v>
      </c>
      <c r="Q1047" s="7" t="str">
        <f t="shared" si="64"/>
        <v>Good</v>
      </c>
      <c r="R1047" s="7" t="str">
        <f t="shared" si="65"/>
        <v>Normal</v>
      </c>
      <c r="S1047" s="7" t="str">
        <f t="shared" si="66"/>
        <v>High Humidity</v>
      </c>
      <c r="T1047" s="7" t="str">
        <f t="shared" si="67"/>
        <v>Low Wind</v>
      </c>
    </row>
    <row r="1048" spans="1:20" x14ac:dyDescent="0.25">
      <c r="A1048" s="7" t="s">
        <v>1112</v>
      </c>
      <c r="B1048" s="10">
        <v>45815</v>
      </c>
      <c r="C1048" s="11" t="s">
        <v>26</v>
      </c>
      <c r="D1048" s="11" t="s">
        <v>23</v>
      </c>
      <c r="E1048" s="7" t="s">
        <v>61</v>
      </c>
      <c r="F1048" s="9">
        <v>11.2</v>
      </c>
      <c r="G1048" s="9">
        <v>100</v>
      </c>
      <c r="H1048" s="9">
        <v>96.4</v>
      </c>
      <c r="I1048" s="9">
        <v>6.4</v>
      </c>
      <c r="J1048" s="9">
        <v>1.01</v>
      </c>
      <c r="K1048" s="9">
        <v>39.200000000000003</v>
      </c>
      <c r="L1048" s="7">
        <v>18.399999999999999</v>
      </c>
      <c r="M1048" s="7">
        <v>33.799999999999997</v>
      </c>
      <c r="N1048" s="7">
        <v>1.4</v>
      </c>
      <c r="O1048" s="7">
        <v>207</v>
      </c>
      <c r="P1048" s="7" t="s">
        <v>28</v>
      </c>
      <c r="Q1048" s="7" t="str">
        <f t="shared" si="64"/>
        <v>Moderate</v>
      </c>
      <c r="R1048" s="7" t="str">
        <f t="shared" si="65"/>
        <v>Cool</v>
      </c>
      <c r="S1048" s="7" t="str">
        <f t="shared" si="66"/>
        <v>Normal Humidity</v>
      </c>
      <c r="T1048" s="7" t="str">
        <f t="shared" si="67"/>
        <v>Low Wind</v>
      </c>
    </row>
    <row r="1049" spans="1:20" x14ac:dyDescent="0.25">
      <c r="A1049" s="7" t="s">
        <v>1113</v>
      </c>
      <c r="B1049" s="10">
        <v>45807</v>
      </c>
      <c r="C1049" s="11" t="s">
        <v>77</v>
      </c>
      <c r="D1049" s="11" t="s">
        <v>39</v>
      </c>
      <c r="E1049" s="7" t="s">
        <v>58</v>
      </c>
      <c r="F1049" s="9">
        <v>63.9</v>
      </c>
      <c r="G1049" s="9">
        <v>101.9</v>
      </c>
      <c r="H1049" s="9">
        <v>45.7</v>
      </c>
      <c r="I1049" s="9">
        <v>9.1</v>
      </c>
      <c r="J1049" s="9">
        <v>0.48</v>
      </c>
      <c r="K1049" s="9">
        <v>14.2</v>
      </c>
      <c r="L1049" s="7">
        <v>23.8</v>
      </c>
      <c r="M1049" s="7">
        <v>88.8</v>
      </c>
      <c r="N1049" s="7">
        <v>1.4</v>
      </c>
      <c r="O1049" s="7">
        <v>230</v>
      </c>
      <c r="P1049" s="7" t="s">
        <v>28</v>
      </c>
      <c r="Q1049" s="7" t="str">
        <f t="shared" si="64"/>
        <v>Unhealthy</v>
      </c>
      <c r="R1049" s="7" t="str">
        <f t="shared" si="65"/>
        <v>Normal</v>
      </c>
      <c r="S1049" s="7" t="str">
        <f t="shared" si="66"/>
        <v>High Humidity</v>
      </c>
      <c r="T1049" s="7" t="str">
        <f t="shared" si="67"/>
        <v>Low Wind</v>
      </c>
    </row>
    <row r="1050" spans="1:20" x14ac:dyDescent="0.25">
      <c r="A1050" s="7" t="s">
        <v>1114</v>
      </c>
      <c r="B1050" s="10">
        <v>45787</v>
      </c>
      <c r="C1050" s="11" t="s">
        <v>64</v>
      </c>
      <c r="D1050" s="11" t="s">
        <v>36</v>
      </c>
      <c r="E1050" s="7" t="s">
        <v>58</v>
      </c>
      <c r="F1050" s="9">
        <v>54</v>
      </c>
      <c r="G1050" s="9">
        <v>107.6</v>
      </c>
      <c r="H1050" s="9">
        <v>13.9</v>
      </c>
      <c r="I1050" s="9">
        <v>10.6</v>
      </c>
      <c r="J1050" s="9">
        <v>1.2</v>
      </c>
      <c r="K1050" s="9">
        <v>26</v>
      </c>
      <c r="L1050" s="7">
        <v>29.2</v>
      </c>
      <c r="M1050" s="7">
        <v>79.5</v>
      </c>
      <c r="N1050" s="7">
        <v>3.7</v>
      </c>
      <c r="O1050" s="7">
        <v>217</v>
      </c>
      <c r="P1050" s="7" t="s">
        <v>28</v>
      </c>
      <c r="Q1050" s="7" t="str">
        <f t="shared" si="64"/>
        <v>Unhealthy</v>
      </c>
      <c r="R1050" s="7" t="str">
        <f t="shared" si="65"/>
        <v>Normal</v>
      </c>
      <c r="S1050" s="7" t="str">
        <f t="shared" si="66"/>
        <v>High Humidity</v>
      </c>
      <c r="T1050" s="7" t="str">
        <f t="shared" si="67"/>
        <v>Moderate Wind</v>
      </c>
    </row>
    <row r="1051" spans="1:20" x14ac:dyDescent="0.25">
      <c r="A1051" s="7" t="s">
        <v>1115</v>
      </c>
      <c r="B1051" s="10">
        <v>45992</v>
      </c>
      <c r="C1051" s="11" t="s">
        <v>35</v>
      </c>
      <c r="D1051" s="11" t="s">
        <v>36</v>
      </c>
      <c r="E1051" s="7" t="s">
        <v>27</v>
      </c>
      <c r="F1051" s="9">
        <v>48.5</v>
      </c>
      <c r="G1051" s="9">
        <v>145.19999999999999</v>
      </c>
      <c r="H1051" s="9">
        <v>39.9</v>
      </c>
      <c r="I1051" s="9">
        <v>37.299999999999997</v>
      </c>
      <c r="J1051" s="9">
        <v>0.62</v>
      </c>
      <c r="K1051" s="9">
        <v>11.9</v>
      </c>
      <c r="L1051" s="7">
        <v>23.6</v>
      </c>
      <c r="M1051" s="7">
        <v>81.900000000000006</v>
      </c>
      <c r="N1051" s="7">
        <v>2.4</v>
      </c>
      <c r="O1051" s="7">
        <v>251</v>
      </c>
      <c r="P1051" s="7" t="s">
        <v>28</v>
      </c>
      <c r="Q1051" s="7" t="str">
        <f t="shared" si="64"/>
        <v>Unhealthy</v>
      </c>
      <c r="R1051" s="7" t="str">
        <f t="shared" si="65"/>
        <v>Normal</v>
      </c>
      <c r="S1051" s="7" t="str">
        <f t="shared" si="66"/>
        <v>High Humidity</v>
      </c>
      <c r="T1051" s="7" t="str">
        <f t="shared" si="67"/>
        <v>Moderate Wind</v>
      </c>
    </row>
    <row r="1052" spans="1:20" x14ac:dyDescent="0.25">
      <c r="A1052" s="7" t="s">
        <v>1116</v>
      </c>
      <c r="B1052" s="10">
        <v>45863</v>
      </c>
      <c r="C1052" s="11" t="s">
        <v>67</v>
      </c>
      <c r="D1052" s="11" t="s">
        <v>18</v>
      </c>
      <c r="E1052" s="7" t="s">
        <v>27</v>
      </c>
      <c r="F1052" s="9">
        <v>11.9</v>
      </c>
      <c r="G1052" s="9">
        <v>35.299999999999997</v>
      </c>
      <c r="H1052" s="9">
        <v>67.900000000000006</v>
      </c>
      <c r="I1052" s="9">
        <v>16.3</v>
      </c>
      <c r="J1052" s="9">
        <v>0.71</v>
      </c>
      <c r="K1052" s="9">
        <v>35.5</v>
      </c>
      <c r="L1052" s="7">
        <v>29.7</v>
      </c>
      <c r="M1052" s="7">
        <v>53.3</v>
      </c>
      <c r="N1052" s="7">
        <v>1.1000000000000001</v>
      </c>
      <c r="O1052" s="7">
        <v>141</v>
      </c>
      <c r="P1052" s="7" t="s">
        <v>33</v>
      </c>
      <c r="Q1052" s="7" t="str">
        <f t="shared" si="64"/>
        <v>Good</v>
      </c>
      <c r="R1052" s="7" t="str">
        <f t="shared" si="65"/>
        <v>Normal</v>
      </c>
      <c r="S1052" s="7" t="str">
        <f t="shared" si="66"/>
        <v>Normal Humidity</v>
      </c>
      <c r="T1052" s="7" t="str">
        <f t="shared" si="67"/>
        <v>Low Wind</v>
      </c>
    </row>
    <row r="1053" spans="1:20" x14ac:dyDescent="0.25">
      <c r="A1053" s="7" t="s">
        <v>1117</v>
      </c>
      <c r="B1053" s="10">
        <v>45917</v>
      </c>
      <c r="C1053" s="11" t="s">
        <v>30</v>
      </c>
      <c r="D1053" s="11" t="s">
        <v>31</v>
      </c>
      <c r="E1053" s="7" t="s">
        <v>19</v>
      </c>
      <c r="F1053" s="9">
        <v>65.2</v>
      </c>
      <c r="G1053" s="9">
        <v>50.7</v>
      </c>
      <c r="H1053" s="9">
        <v>50.2</v>
      </c>
      <c r="I1053" s="9">
        <v>7.7</v>
      </c>
      <c r="J1053" s="9">
        <v>0.37</v>
      </c>
      <c r="K1053" s="9">
        <v>22.3</v>
      </c>
      <c r="L1053" s="7">
        <v>29.7</v>
      </c>
      <c r="M1053" s="7">
        <v>61.2</v>
      </c>
      <c r="N1053" s="7">
        <v>3.1</v>
      </c>
      <c r="O1053" s="7">
        <v>202</v>
      </c>
      <c r="P1053" s="7" t="s">
        <v>28</v>
      </c>
      <c r="Q1053" s="7" t="str">
        <f t="shared" si="64"/>
        <v>Moderate</v>
      </c>
      <c r="R1053" s="7" t="str">
        <f t="shared" si="65"/>
        <v>Normal</v>
      </c>
      <c r="S1053" s="7" t="str">
        <f t="shared" si="66"/>
        <v>High Humidity</v>
      </c>
      <c r="T1053" s="7" t="str">
        <f t="shared" si="67"/>
        <v>Moderate Wind</v>
      </c>
    </row>
    <row r="1054" spans="1:20" x14ac:dyDescent="0.25">
      <c r="A1054" s="7" t="s">
        <v>1118</v>
      </c>
      <c r="B1054" s="10">
        <v>45721</v>
      </c>
      <c r="C1054" s="11" t="s">
        <v>38</v>
      </c>
      <c r="D1054" s="11" t="s">
        <v>39</v>
      </c>
      <c r="E1054" s="7" t="s">
        <v>43</v>
      </c>
      <c r="F1054" s="9">
        <v>89.6</v>
      </c>
      <c r="G1054" s="9">
        <v>95.7</v>
      </c>
      <c r="H1054" s="9">
        <v>37.799999999999997</v>
      </c>
      <c r="I1054" s="9">
        <v>4</v>
      </c>
      <c r="J1054" s="9">
        <v>2.0299999999999998</v>
      </c>
      <c r="K1054" s="9">
        <v>33.200000000000003</v>
      </c>
      <c r="L1054" s="7">
        <v>38.5</v>
      </c>
      <c r="M1054" s="7">
        <v>56.8</v>
      </c>
      <c r="N1054" s="7">
        <v>2.2999999999999998</v>
      </c>
      <c r="O1054" s="7">
        <v>304</v>
      </c>
      <c r="P1054" s="7" t="s">
        <v>20</v>
      </c>
      <c r="Q1054" s="7" t="str">
        <f t="shared" si="64"/>
        <v>Moderate</v>
      </c>
      <c r="R1054" s="7" t="str">
        <f t="shared" si="65"/>
        <v>Hot</v>
      </c>
      <c r="S1054" s="7" t="str">
        <f t="shared" si="66"/>
        <v>Normal Humidity</v>
      </c>
      <c r="T1054" s="7" t="str">
        <f t="shared" si="67"/>
        <v>Moderate Wind</v>
      </c>
    </row>
    <row r="1055" spans="1:20" x14ac:dyDescent="0.25">
      <c r="A1055" s="7" t="s">
        <v>1119</v>
      </c>
      <c r="B1055" s="10">
        <v>45738</v>
      </c>
      <c r="C1055" s="11" t="s">
        <v>67</v>
      </c>
      <c r="D1055" s="11" t="s">
        <v>18</v>
      </c>
      <c r="E1055" s="7" t="s">
        <v>19</v>
      </c>
      <c r="F1055" s="9">
        <v>65.7</v>
      </c>
      <c r="G1055" s="9">
        <v>155.30000000000001</v>
      </c>
      <c r="H1055" s="9">
        <v>13</v>
      </c>
      <c r="I1055" s="9">
        <v>28.2</v>
      </c>
      <c r="J1055" s="9">
        <v>0.5</v>
      </c>
      <c r="K1055" s="9">
        <v>43.3</v>
      </c>
      <c r="L1055" s="7">
        <v>24.5</v>
      </c>
      <c r="M1055" s="7">
        <v>54.4</v>
      </c>
      <c r="N1055" s="7">
        <v>3.4</v>
      </c>
      <c r="O1055" s="7">
        <v>268</v>
      </c>
      <c r="P1055" s="7" t="s">
        <v>28</v>
      </c>
      <c r="Q1055" s="7" t="str">
        <f t="shared" si="64"/>
        <v>VeryUnhealthy</v>
      </c>
      <c r="R1055" s="7" t="str">
        <f t="shared" si="65"/>
        <v>Normal</v>
      </c>
      <c r="S1055" s="7" t="str">
        <f t="shared" si="66"/>
        <v>Normal Humidity</v>
      </c>
      <c r="T1055" s="7" t="str">
        <f t="shared" si="67"/>
        <v>Moderate Wind</v>
      </c>
    </row>
    <row r="1056" spans="1:20" x14ac:dyDescent="0.25">
      <c r="A1056" s="7" t="s">
        <v>1120</v>
      </c>
      <c r="B1056" s="10">
        <v>45749</v>
      </c>
      <c r="C1056" s="11" t="s">
        <v>99</v>
      </c>
      <c r="D1056" s="11" t="s">
        <v>36</v>
      </c>
      <c r="E1056" s="7" t="s">
        <v>45</v>
      </c>
      <c r="F1056" s="9">
        <v>30.8</v>
      </c>
      <c r="G1056" s="9">
        <v>94.3</v>
      </c>
      <c r="H1056" s="9">
        <v>18.899999999999999</v>
      </c>
      <c r="I1056" s="9">
        <v>4.3</v>
      </c>
      <c r="J1056" s="9">
        <v>0.57999999999999996</v>
      </c>
      <c r="K1056" s="9">
        <v>15</v>
      </c>
      <c r="L1056" s="7">
        <v>25.1</v>
      </c>
      <c r="M1056" s="7">
        <v>70.3</v>
      </c>
      <c r="N1056" s="7">
        <v>2.9</v>
      </c>
      <c r="O1056" s="7">
        <v>150</v>
      </c>
      <c r="P1056" s="7" t="s">
        <v>33</v>
      </c>
      <c r="Q1056" s="7" t="str">
        <f t="shared" si="64"/>
        <v>Moderate</v>
      </c>
      <c r="R1056" s="7" t="str">
        <f t="shared" si="65"/>
        <v>Normal</v>
      </c>
      <c r="S1056" s="7" t="str">
        <f t="shared" si="66"/>
        <v>High Humidity</v>
      </c>
      <c r="T1056" s="7" t="str">
        <f t="shared" si="67"/>
        <v>Moderate Wind</v>
      </c>
    </row>
    <row r="1057" spans="1:20" x14ac:dyDescent="0.25">
      <c r="A1057" s="7" t="s">
        <v>1121</v>
      </c>
      <c r="B1057" s="10">
        <v>45766</v>
      </c>
      <c r="C1057" s="11" t="s">
        <v>67</v>
      </c>
      <c r="D1057" s="11" t="s">
        <v>18</v>
      </c>
      <c r="E1057" s="7" t="s">
        <v>45</v>
      </c>
      <c r="F1057" s="9">
        <v>17.7</v>
      </c>
      <c r="G1057" s="9">
        <v>45.1</v>
      </c>
      <c r="H1057" s="9">
        <v>13.2</v>
      </c>
      <c r="I1057" s="9">
        <v>13.5</v>
      </c>
      <c r="J1057" s="9">
        <v>1.1599999999999999</v>
      </c>
      <c r="K1057" s="9">
        <v>10.8</v>
      </c>
      <c r="L1057" s="7">
        <v>29.1</v>
      </c>
      <c r="M1057" s="7">
        <v>72.400000000000006</v>
      </c>
      <c r="N1057" s="7">
        <v>2.4</v>
      </c>
      <c r="O1057" s="7">
        <v>112</v>
      </c>
      <c r="P1057" s="7" t="s">
        <v>33</v>
      </c>
      <c r="Q1057" s="7" t="str">
        <f t="shared" si="64"/>
        <v>Good</v>
      </c>
      <c r="R1057" s="7" t="str">
        <f t="shared" si="65"/>
        <v>Normal</v>
      </c>
      <c r="S1057" s="7" t="str">
        <f t="shared" si="66"/>
        <v>High Humidity</v>
      </c>
      <c r="T1057" s="7" t="str">
        <f t="shared" si="67"/>
        <v>Moderate Wind</v>
      </c>
    </row>
    <row r="1058" spans="1:20" x14ac:dyDescent="0.25">
      <c r="A1058" s="7" t="s">
        <v>1122</v>
      </c>
      <c r="B1058" s="10">
        <v>45922</v>
      </c>
      <c r="C1058" s="11" t="s">
        <v>64</v>
      </c>
      <c r="D1058" s="11" t="s">
        <v>36</v>
      </c>
      <c r="E1058" s="7" t="s">
        <v>68</v>
      </c>
      <c r="F1058" s="9">
        <v>16.5</v>
      </c>
      <c r="G1058" s="9">
        <v>128.9</v>
      </c>
      <c r="H1058" s="9">
        <v>21.7</v>
      </c>
      <c r="I1058" s="9">
        <v>4.9000000000000004</v>
      </c>
      <c r="J1058" s="9">
        <v>0.59</v>
      </c>
      <c r="K1058" s="9">
        <v>34.1</v>
      </c>
      <c r="L1058" s="7">
        <v>25.6</v>
      </c>
      <c r="M1058" s="7">
        <v>53.4</v>
      </c>
      <c r="N1058" s="7">
        <v>1.5</v>
      </c>
      <c r="O1058" s="7">
        <v>161</v>
      </c>
      <c r="P1058" s="7" t="s">
        <v>33</v>
      </c>
      <c r="Q1058" s="7" t="str">
        <f t="shared" si="64"/>
        <v>Unhealthy</v>
      </c>
      <c r="R1058" s="7" t="str">
        <f t="shared" si="65"/>
        <v>Normal</v>
      </c>
      <c r="S1058" s="7" t="str">
        <f t="shared" si="66"/>
        <v>Normal Humidity</v>
      </c>
      <c r="T1058" s="7" t="str">
        <f t="shared" si="67"/>
        <v>Low Wind</v>
      </c>
    </row>
    <row r="1059" spans="1:20" x14ac:dyDescent="0.25">
      <c r="A1059" s="7" t="s">
        <v>1123</v>
      </c>
      <c r="B1059" s="10">
        <v>45674</v>
      </c>
      <c r="C1059" s="11" t="s">
        <v>64</v>
      </c>
      <c r="D1059" s="11" t="s">
        <v>36</v>
      </c>
      <c r="E1059" s="7" t="s">
        <v>27</v>
      </c>
      <c r="F1059" s="9">
        <v>52.5</v>
      </c>
      <c r="G1059" s="9">
        <v>106.5</v>
      </c>
      <c r="H1059" s="9">
        <v>48</v>
      </c>
      <c r="I1059" s="9">
        <v>10.199999999999999</v>
      </c>
      <c r="J1059" s="9">
        <v>0.79</v>
      </c>
      <c r="K1059" s="9">
        <v>23.2</v>
      </c>
      <c r="L1059" s="7">
        <v>21.4</v>
      </c>
      <c r="M1059" s="7">
        <v>55</v>
      </c>
      <c r="N1059" s="7">
        <v>3.5</v>
      </c>
      <c r="O1059" s="7">
        <v>229</v>
      </c>
      <c r="P1059" s="7" t="s">
        <v>28</v>
      </c>
      <c r="Q1059" s="7" t="str">
        <f t="shared" si="64"/>
        <v>Unhealthy</v>
      </c>
      <c r="R1059" s="7" t="str">
        <f t="shared" si="65"/>
        <v>Normal</v>
      </c>
      <c r="S1059" s="7" t="str">
        <f t="shared" si="66"/>
        <v>Normal Humidity</v>
      </c>
      <c r="T1059" s="7" t="str">
        <f t="shared" si="67"/>
        <v>Moderate Wind</v>
      </c>
    </row>
    <row r="1060" spans="1:20" x14ac:dyDescent="0.25">
      <c r="A1060" s="7" t="s">
        <v>1124</v>
      </c>
      <c r="B1060" s="10">
        <v>45684</v>
      </c>
      <c r="C1060" s="11" t="s">
        <v>30</v>
      </c>
      <c r="D1060" s="11" t="s">
        <v>31</v>
      </c>
      <c r="E1060" s="7" t="s">
        <v>68</v>
      </c>
      <c r="F1060" s="9">
        <v>48.7</v>
      </c>
      <c r="G1060" s="9">
        <v>110</v>
      </c>
      <c r="H1060" s="9">
        <v>17.399999999999999</v>
      </c>
      <c r="I1060" s="9">
        <v>7.7</v>
      </c>
      <c r="J1060" s="9">
        <v>0.56000000000000005</v>
      </c>
      <c r="K1060" s="9">
        <v>67.900000000000006</v>
      </c>
      <c r="L1060" s="7">
        <v>27.8</v>
      </c>
      <c r="M1060" s="7">
        <v>40.799999999999997</v>
      </c>
      <c r="N1060" s="7">
        <v>2</v>
      </c>
      <c r="O1060" s="7">
        <v>213</v>
      </c>
      <c r="P1060" s="7" t="s">
        <v>28</v>
      </c>
      <c r="Q1060" s="7" t="str">
        <f t="shared" si="64"/>
        <v>Unhealthy</v>
      </c>
      <c r="R1060" s="7" t="str">
        <f t="shared" si="65"/>
        <v>Normal</v>
      </c>
      <c r="S1060" s="7" t="str">
        <f t="shared" si="66"/>
        <v>Normal Humidity</v>
      </c>
      <c r="T1060" s="7" t="str">
        <f t="shared" si="67"/>
        <v>Moderate Wind</v>
      </c>
    </row>
    <row r="1061" spans="1:20" x14ac:dyDescent="0.25">
      <c r="A1061" s="7" t="s">
        <v>1125</v>
      </c>
      <c r="B1061" s="10">
        <v>45892</v>
      </c>
      <c r="C1061" s="11" t="s">
        <v>54</v>
      </c>
      <c r="D1061" s="11" t="s">
        <v>18</v>
      </c>
      <c r="E1061" s="7" t="s">
        <v>74</v>
      </c>
      <c r="F1061" s="9">
        <v>24</v>
      </c>
      <c r="G1061" s="9">
        <v>148.9</v>
      </c>
      <c r="H1061" s="9">
        <v>38.5</v>
      </c>
      <c r="I1061" s="9">
        <v>5.7</v>
      </c>
      <c r="J1061" s="9">
        <v>1.1599999999999999</v>
      </c>
      <c r="K1061" s="9">
        <v>57</v>
      </c>
      <c r="L1061" s="7">
        <v>23.7</v>
      </c>
      <c r="M1061" s="7">
        <v>71.7</v>
      </c>
      <c r="N1061" s="7">
        <v>1.6</v>
      </c>
      <c r="O1061" s="7">
        <v>225</v>
      </c>
      <c r="P1061" s="7" t="s">
        <v>28</v>
      </c>
      <c r="Q1061" s="7" t="str">
        <f t="shared" si="64"/>
        <v>Unhealthy</v>
      </c>
      <c r="R1061" s="7" t="str">
        <f t="shared" si="65"/>
        <v>Normal</v>
      </c>
      <c r="S1061" s="7" t="str">
        <f t="shared" si="66"/>
        <v>High Humidity</v>
      </c>
      <c r="T1061" s="7" t="str">
        <f t="shared" si="67"/>
        <v>Low Wind</v>
      </c>
    </row>
    <row r="1062" spans="1:20" x14ac:dyDescent="0.25">
      <c r="A1062" s="7" t="s">
        <v>1126</v>
      </c>
      <c r="B1062" s="10">
        <v>45707</v>
      </c>
      <c r="C1062" s="11" t="s">
        <v>42</v>
      </c>
      <c r="D1062" s="11" t="s">
        <v>23</v>
      </c>
      <c r="E1062" s="7" t="s">
        <v>55</v>
      </c>
      <c r="F1062" s="9">
        <v>54.9</v>
      </c>
      <c r="G1062" s="9">
        <v>163.80000000000001</v>
      </c>
      <c r="H1062" s="9">
        <v>47.9</v>
      </c>
      <c r="I1062" s="9">
        <v>8.8000000000000007</v>
      </c>
      <c r="J1062" s="9">
        <v>0.34</v>
      </c>
      <c r="K1062" s="9">
        <v>56.1</v>
      </c>
      <c r="L1062" s="7">
        <v>27.1</v>
      </c>
      <c r="M1062" s="7">
        <v>70.7</v>
      </c>
      <c r="N1062" s="7">
        <v>0.5</v>
      </c>
      <c r="O1062" s="7">
        <v>273</v>
      </c>
      <c r="P1062" s="7" t="s">
        <v>28</v>
      </c>
      <c r="Q1062" s="7" t="str">
        <f t="shared" si="64"/>
        <v>VeryUnhealthy</v>
      </c>
      <c r="R1062" s="7" t="str">
        <f t="shared" si="65"/>
        <v>Normal</v>
      </c>
      <c r="S1062" s="7" t="str">
        <f t="shared" si="66"/>
        <v>High Humidity</v>
      </c>
      <c r="T1062" s="7" t="str">
        <f t="shared" si="67"/>
        <v>Low Wind</v>
      </c>
    </row>
    <row r="1063" spans="1:20" x14ac:dyDescent="0.25">
      <c r="A1063" s="7" t="s">
        <v>1127</v>
      </c>
      <c r="B1063" s="10">
        <v>46003</v>
      </c>
      <c r="C1063" s="11" t="s">
        <v>52</v>
      </c>
      <c r="D1063" s="11" t="s">
        <v>31</v>
      </c>
      <c r="E1063" s="7" t="s">
        <v>55</v>
      </c>
      <c r="F1063" s="9">
        <v>24.1</v>
      </c>
      <c r="G1063" s="9">
        <v>111.1</v>
      </c>
      <c r="H1063" s="9">
        <v>9.8000000000000007</v>
      </c>
      <c r="I1063" s="9">
        <v>8.6</v>
      </c>
      <c r="J1063" s="9">
        <v>2.13</v>
      </c>
      <c r="K1063" s="9">
        <v>23.7</v>
      </c>
      <c r="L1063" s="7">
        <v>28.6</v>
      </c>
      <c r="M1063" s="7">
        <v>62.1</v>
      </c>
      <c r="N1063" s="7">
        <v>1.8</v>
      </c>
      <c r="O1063" s="7">
        <v>189</v>
      </c>
      <c r="P1063" s="7" t="s">
        <v>33</v>
      </c>
      <c r="Q1063" s="7" t="str">
        <f t="shared" si="64"/>
        <v>Unhealthy</v>
      </c>
      <c r="R1063" s="7" t="str">
        <f t="shared" si="65"/>
        <v>Normal</v>
      </c>
      <c r="S1063" s="7" t="str">
        <f t="shared" si="66"/>
        <v>High Humidity</v>
      </c>
      <c r="T1063" s="7" t="str">
        <f t="shared" si="67"/>
        <v>Low Wind</v>
      </c>
    </row>
    <row r="1064" spans="1:20" x14ac:dyDescent="0.25">
      <c r="A1064" s="7" t="s">
        <v>1128</v>
      </c>
      <c r="B1064" s="10">
        <v>45667</v>
      </c>
      <c r="C1064" s="11" t="s">
        <v>99</v>
      </c>
      <c r="D1064" s="11" t="s">
        <v>36</v>
      </c>
      <c r="E1064" s="7" t="s">
        <v>91</v>
      </c>
      <c r="F1064" s="9">
        <v>54.8</v>
      </c>
      <c r="G1064" s="9">
        <v>64.5</v>
      </c>
      <c r="H1064" s="9">
        <v>38.799999999999997</v>
      </c>
      <c r="I1064" s="9">
        <v>3.1</v>
      </c>
      <c r="J1064" s="9">
        <v>1.51</v>
      </c>
      <c r="K1064" s="9">
        <v>22.9</v>
      </c>
      <c r="L1064" s="7">
        <v>26.2</v>
      </c>
      <c r="M1064" s="7">
        <v>64</v>
      </c>
      <c r="N1064" s="7">
        <v>1.4</v>
      </c>
      <c r="O1064" s="7">
        <v>211</v>
      </c>
      <c r="P1064" s="7" t="s">
        <v>28</v>
      </c>
      <c r="Q1064" s="7" t="str">
        <f t="shared" si="64"/>
        <v>Moderate</v>
      </c>
      <c r="R1064" s="7" t="str">
        <f t="shared" si="65"/>
        <v>Normal</v>
      </c>
      <c r="S1064" s="7" t="str">
        <f t="shared" si="66"/>
        <v>High Humidity</v>
      </c>
      <c r="T1064" s="7" t="str">
        <f t="shared" si="67"/>
        <v>Low Wind</v>
      </c>
    </row>
    <row r="1065" spans="1:20" x14ac:dyDescent="0.25">
      <c r="A1065" s="7" t="s">
        <v>1129</v>
      </c>
      <c r="B1065" s="10">
        <v>45892</v>
      </c>
      <c r="C1065" s="11" t="s">
        <v>17</v>
      </c>
      <c r="D1065" s="11" t="s">
        <v>18</v>
      </c>
      <c r="E1065" s="7" t="s">
        <v>74</v>
      </c>
      <c r="F1065" s="9">
        <v>90.1</v>
      </c>
      <c r="G1065" s="9">
        <v>72.3</v>
      </c>
      <c r="H1065" s="9">
        <v>34.6</v>
      </c>
      <c r="I1065" s="9">
        <v>22.9</v>
      </c>
      <c r="J1065" s="9">
        <v>1.49</v>
      </c>
      <c r="K1065" s="9">
        <v>41.1</v>
      </c>
      <c r="L1065" s="7">
        <v>26.8</v>
      </c>
      <c r="M1065" s="7">
        <v>49.1</v>
      </c>
      <c r="N1065" s="7">
        <v>2.4</v>
      </c>
      <c r="O1065" s="7">
        <v>291</v>
      </c>
      <c r="P1065" s="7" t="s">
        <v>28</v>
      </c>
      <c r="Q1065" s="7" t="str">
        <f t="shared" si="64"/>
        <v>Moderate</v>
      </c>
      <c r="R1065" s="7" t="str">
        <f t="shared" si="65"/>
        <v>Normal</v>
      </c>
      <c r="S1065" s="7" t="str">
        <f t="shared" si="66"/>
        <v>Normal Humidity</v>
      </c>
      <c r="T1065" s="7" t="str">
        <f t="shared" si="67"/>
        <v>Moderate Wind</v>
      </c>
    </row>
    <row r="1066" spans="1:20" x14ac:dyDescent="0.25">
      <c r="A1066" s="7" t="s">
        <v>1130</v>
      </c>
      <c r="B1066" s="10">
        <v>45803</v>
      </c>
      <c r="C1066" s="11" t="s">
        <v>50</v>
      </c>
      <c r="D1066" s="11" t="s">
        <v>31</v>
      </c>
      <c r="E1066" s="7" t="s">
        <v>32</v>
      </c>
      <c r="F1066" s="9">
        <v>41</v>
      </c>
      <c r="G1066" s="9">
        <v>109.4</v>
      </c>
      <c r="H1066" s="9">
        <v>13.7</v>
      </c>
      <c r="I1066" s="9">
        <v>14.7</v>
      </c>
      <c r="J1066" s="9">
        <v>0.52</v>
      </c>
      <c r="K1066" s="9">
        <v>28</v>
      </c>
      <c r="L1066" s="7">
        <v>24.1</v>
      </c>
      <c r="M1066" s="7">
        <v>63</v>
      </c>
      <c r="N1066" s="7">
        <v>0.8</v>
      </c>
      <c r="O1066" s="7">
        <v>184</v>
      </c>
      <c r="P1066" s="7" t="s">
        <v>33</v>
      </c>
      <c r="Q1066" s="7" t="str">
        <f t="shared" si="64"/>
        <v>Unhealthy</v>
      </c>
      <c r="R1066" s="7" t="str">
        <f t="shared" si="65"/>
        <v>Normal</v>
      </c>
      <c r="S1066" s="7" t="str">
        <f t="shared" si="66"/>
        <v>High Humidity</v>
      </c>
      <c r="T1066" s="7" t="str">
        <f t="shared" si="67"/>
        <v>Low Wind</v>
      </c>
    </row>
    <row r="1067" spans="1:20" x14ac:dyDescent="0.25">
      <c r="A1067" s="7" t="s">
        <v>1131</v>
      </c>
      <c r="B1067" s="10">
        <v>45933</v>
      </c>
      <c r="C1067" s="11" t="s">
        <v>22</v>
      </c>
      <c r="D1067" s="11" t="s">
        <v>23</v>
      </c>
      <c r="E1067" s="7" t="s">
        <v>32</v>
      </c>
      <c r="F1067" s="9">
        <v>82.5</v>
      </c>
      <c r="G1067" s="9">
        <v>85.6</v>
      </c>
      <c r="H1067" s="9">
        <v>34.6</v>
      </c>
      <c r="I1067" s="9">
        <v>8.4</v>
      </c>
      <c r="J1067" s="9">
        <v>0.38</v>
      </c>
      <c r="K1067" s="9">
        <v>42.3</v>
      </c>
      <c r="L1067" s="7">
        <v>25.1</v>
      </c>
      <c r="M1067" s="7">
        <v>69.599999999999994</v>
      </c>
      <c r="N1067" s="7">
        <v>2.8</v>
      </c>
      <c r="O1067" s="7">
        <v>250</v>
      </c>
      <c r="P1067" s="7" t="s">
        <v>28</v>
      </c>
      <c r="Q1067" s="7" t="str">
        <f t="shared" si="64"/>
        <v>Moderate</v>
      </c>
      <c r="R1067" s="7" t="str">
        <f t="shared" si="65"/>
        <v>Normal</v>
      </c>
      <c r="S1067" s="7" t="str">
        <f t="shared" si="66"/>
        <v>High Humidity</v>
      </c>
      <c r="T1067" s="7" t="str">
        <f t="shared" si="67"/>
        <v>Moderate Wind</v>
      </c>
    </row>
    <row r="1068" spans="1:20" x14ac:dyDescent="0.25">
      <c r="A1068" s="7" t="s">
        <v>1132</v>
      </c>
      <c r="B1068" s="10">
        <v>45988</v>
      </c>
      <c r="C1068" s="11" t="s">
        <v>30</v>
      </c>
      <c r="D1068" s="11" t="s">
        <v>31</v>
      </c>
      <c r="E1068" s="7" t="s">
        <v>43</v>
      </c>
      <c r="F1068" s="9">
        <v>72.400000000000006</v>
      </c>
      <c r="G1068" s="9">
        <v>45.1</v>
      </c>
      <c r="H1068" s="9">
        <v>54.9</v>
      </c>
      <c r="I1068" s="9">
        <v>16.2</v>
      </c>
      <c r="J1068" s="9">
        <v>0.36</v>
      </c>
      <c r="K1068" s="9">
        <v>60.2</v>
      </c>
      <c r="L1068" s="7">
        <v>28</v>
      </c>
      <c r="M1068" s="7">
        <v>50.7</v>
      </c>
      <c r="N1068" s="7">
        <v>2.2000000000000002</v>
      </c>
      <c r="O1068" s="7">
        <v>237</v>
      </c>
      <c r="P1068" s="7" t="s">
        <v>28</v>
      </c>
      <c r="Q1068" s="7" t="str">
        <f t="shared" si="64"/>
        <v>Good</v>
      </c>
      <c r="R1068" s="7" t="str">
        <f t="shared" si="65"/>
        <v>Normal</v>
      </c>
      <c r="S1068" s="7" t="str">
        <f t="shared" si="66"/>
        <v>Normal Humidity</v>
      </c>
      <c r="T1068" s="7" t="str">
        <f t="shared" si="67"/>
        <v>Moderate Wind</v>
      </c>
    </row>
    <row r="1069" spans="1:20" x14ac:dyDescent="0.25">
      <c r="A1069" s="7" t="s">
        <v>1133</v>
      </c>
      <c r="B1069" s="10">
        <v>45796</v>
      </c>
      <c r="C1069" s="11" t="s">
        <v>67</v>
      </c>
      <c r="D1069" s="11" t="s">
        <v>18</v>
      </c>
      <c r="E1069" s="7" t="s">
        <v>55</v>
      </c>
      <c r="F1069" s="9">
        <v>64.5</v>
      </c>
      <c r="G1069" s="9">
        <v>182.2</v>
      </c>
      <c r="H1069" s="9">
        <v>10.5</v>
      </c>
      <c r="I1069" s="9">
        <v>25.8</v>
      </c>
      <c r="J1069" s="9">
        <v>0.42</v>
      </c>
      <c r="K1069" s="9">
        <v>14.9</v>
      </c>
      <c r="L1069" s="7">
        <v>32.700000000000003</v>
      </c>
      <c r="M1069" s="7">
        <v>30.4</v>
      </c>
      <c r="N1069" s="7">
        <v>1.4</v>
      </c>
      <c r="O1069" s="7">
        <v>265</v>
      </c>
      <c r="P1069" s="7" t="s">
        <v>28</v>
      </c>
      <c r="Q1069" s="7" t="str">
        <f t="shared" si="64"/>
        <v>VeryUnhealthy</v>
      </c>
      <c r="R1069" s="7" t="str">
        <f t="shared" si="65"/>
        <v>Hot</v>
      </c>
      <c r="S1069" s="7" t="str">
        <f t="shared" si="66"/>
        <v>Normal Humidity</v>
      </c>
      <c r="T1069" s="7" t="str">
        <f t="shared" si="67"/>
        <v>Low Wind</v>
      </c>
    </row>
    <row r="1070" spans="1:20" x14ac:dyDescent="0.25">
      <c r="A1070" s="7" t="s">
        <v>1134</v>
      </c>
      <c r="B1070" s="10">
        <v>45882</v>
      </c>
      <c r="C1070" s="11" t="s">
        <v>22</v>
      </c>
      <c r="D1070" s="11" t="s">
        <v>23</v>
      </c>
      <c r="E1070" s="7" t="s">
        <v>97</v>
      </c>
      <c r="F1070" s="9">
        <v>63</v>
      </c>
      <c r="G1070" s="9">
        <v>62.6</v>
      </c>
      <c r="H1070" s="9">
        <v>3.8</v>
      </c>
      <c r="I1070" s="9">
        <v>23.8</v>
      </c>
      <c r="J1070" s="9">
        <v>0.85</v>
      </c>
      <c r="K1070" s="9">
        <v>34.799999999999997</v>
      </c>
      <c r="L1070" s="7">
        <v>28.7</v>
      </c>
      <c r="M1070" s="7">
        <v>74.3</v>
      </c>
      <c r="N1070" s="7">
        <v>2.2000000000000002</v>
      </c>
      <c r="O1070" s="7">
        <v>198</v>
      </c>
      <c r="P1070" s="7" t="s">
        <v>33</v>
      </c>
      <c r="Q1070" s="7" t="str">
        <f t="shared" si="64"/>
        <v>Moderate</v>
      </c>
      <c r="R1070" s="7" t="str">
        <f t="shared" si="65"/>
        <v>Normal</v>
      </c>
      <c r="S1070" s="7" t="str">
        <f t="shared" si="66"/>
        <v>High Humidity</v>
      </c>
      <c r="T1070" s="7" t="str">
        <f t="shared" si="67"/>
        <v>Moderate Wind</v>
      </c>
    </row>
    <row r="1071" spans="1:20" x14ac:dyDescent="0.25">
      <c r="A1071" s="7" t="s">
        <v>1135</v>
      </c>
      <c r="B1071" s="10">
        <v>45942</v>
      </c>
      <c r="C1071" s="11" t="s">
        <v>50</v>
      </c>
      <c r="D1071" s="11" t="s">
        <v>31</v>
      </c>
      <c r="E1071" s="7" t="s">
        <v>58</v>
      </c>
      <c r="F1071" s="9">
        <v>57.7</v>
      </c>
      <c r="G1071" s="9">
        <v>56</v>
      </c>
      <c r="H1071" s="9">
        <v>6.6</v>
      </c>
      <c r="I1071" s="9">
        <v>24.9</v>
      </c>
      <c r="J1071" s="9">
        <v>1.06</v>
      </c>
      <c r="K1071" s="9">
        <v>32.4</v>
      </c>
      <c r="L1071" s="7">
        <v>26.9</v>
      </c>
      <c r="M1071" s="7">
        <v>85</v>
      </c>
      <c r="N1071" s="7">
        <v>1.1000000000000001</v>
      </c>
      <c r="O1071" s="7">
        <v>193</v>
      </c>
      <c r="P1071" s="7" t="s">
        <v>33</v>
      </c>
      <c r="Q1071" s="7" t="str">
        <f t="shared" si="64"/>
        <v>Moderate</v>
      </c>
      <c r="R1071" s="7" t="str">
        <f t="shared" si="65"/>
        <v>Normal</v>
      </c>
      <c r="S1071" s="7" t="str">
        <f t="shared" si="66"/>
        <v>High Humidity</v>
      </c>
      <c r="T1071" s="7" t="str">
        <f t="shared" si="67"/>
        <v>Low Wind</v>
      </c>
    </row>
    <row r="1072" spans="1:20" x14ac:dyDescent="0.25">
      <c r="A1072" s="7" t="s">
        <v>1136</v>
      </c>
      <c r="B1072" s="10">
        <v>45828</v>
      </c>
      <c r="C1072" s="11" t="s">
        <v>42</v>
      </c>
      <c r="D1072" s="11" t="s">
        <v>23</v>
      </c>
      <c r="E1072" s="7" t="s">
        <v>40</v>
      </c>
      <c r="F1072" s="9">
        <v>58.4</v>
      </c>
      <c r="G1072" s="9">
        <v>167.4</v>
      </c>
      <c r="H1072" s="9">
        <v>110.2</v>
      </c>
      <c r="I1072" s="9">
        <v>11.3</v>
      </c>
      <c r="J1072" s="9">
        <v>1.42</v>
      </c>
      <c r="K1072" s="9">
        <v>56.6</v>
      </c>
      <c r="L1072" s="7">
        <v>21.8</v>
      </c>
      <c r="M1072" s="7">
        <v>47.6</v>
      </c>
      <c r="N1072" s="7">
        <v>2.2000000000000002</v>
      </c>
      <c r="O1072" s="7">
        <v>359</v>
      </c>
      <c r="P1072" s="7" t="s">
        <v>20</v>
      </c>
      <c r="Q1072" s="7" t="str">
        <f t="shared" si="64"/>
        <v>VeryUnhealthy</v>
      </c>
      <c r="R1072" s="7" t="str">
        <f t="shared" si="65"/>
        <v>Normal</v>
      </c>
      <c r="S1072" s="7" t="str">
        <f t="shared" si="66"/>
        <v>Normal Humidity</v>
      </c>
      <c r="T1072" s="7" t="str">
        <f t="shared" si="67"/>
        <v>Moderate Wind</v>
      </c>
    </row>
    <row r="1073" spans="1:20" x14ac:dyDescent="0.25">
      <c r="A1073" s="7" t="s">
        <v>1137</v>
      </c>
      <c r="B1073" s="10">
        <v>45836</v>
      </c>
      <c r="C1073" s="11" t="s">
        <v>22</v>
      </c>
      <c r="D1073" s="11" t="s">
        <v>23</v>
      </c>
      <c r="E1073" s="7" t="s">
        <v>43</v>
      </c>
      <c r="F1073" s="9">
        <v>27</v>
      </c>
      <c r="G1073" s="9">
        <v>36.5</v>
      </c>
      <c r="H1073" s="9">
        <v>5.9</v>
      </c>
      <c r="I1073" s="9">
        <v>11.3</v>
      </c>
      <c r="J1073" s="9">
        <v>0.77</v>
      </c>
      <c r="K1073" s="9">
        <v>33.6</v>
      </c>
      <c r="L1073" s="7">
        <v>20.9</v>
      </c>
      <c r="M1073" s="7">
        <v>61.2</v>
      </c>
      <c r="N1073" s="7">
        <v>1.5</v>
      </c>
      <c r="O1073" s="7">
        <v>114</v>
      </c>
      <c r="P1073" s="7" t="s">
        <v>33</v>
      </c>
      <c r="Q1073" s="7" t="str">
        <f t="shared" si="64"/>
        <v>Good</v>
      </c>
      <c r="R1073" s="7" t="str">
        <f t="shared" si="65"/>
        <v>Normal</v>
      </c>
      <c r="S1073" s="7" t="str">
        <f t="shared" si="66"/>
        <v>High Humidity</v>
      </c>
      <c r="T1073" s="7" t="str">
        <f t="shared" si="67"/>
        <v>Low Wind</v>
      </c>
    </row>
    <row r="1074" spans="1:20" x14ac:dyDescent="0.25">
      <c r="A1074" s="7" t="s">
        <v>1138</v>
      </c>
      <c r="B1074" s="10">
        <v>45796</v>
      </c>
      <c r="C1074" s="11" t="s">
        <v>64</v>
      </c>
      <c r="D1074" s="11" t="s">
        <v>36</v>
      </c>
      <c r="E1074" s="7" t="s">
        <v>91</v>
      </c>
      <c r="F1074" s="9">
        <v>26.7</v>
      </c>
      <c r="G1074" s="9">
        <v>65.2</v>
      </c>
      <c r="H1074" s="9">
        <v>23.3</v>
      </c>
      <c r="I1074" s="9">
        <v>27.9</v>
      </c>
      <c r="J1074" s="9">
        <v>0.14000000000000001</v>
      </c>
      <c r="K1074" s="9">
        <v>44.1</v>
      </c>
      <c r="L1074" s="7">
        <v>23.4</v>
      </c>
      <c r="M1074" s="7">
        <v>62.8</v>
      </c>
      <c r="N1074" s="7">
        <v>3.2</v>
      </c>
      <c r="O1074" s="7">
        <v>147</v>
      </c>
      <c r="P1074" s="7" t="s">
        <v>33</v>
      </c>
      <c r="Q1074" s="7" t="str">
        <f t="shared" si="64"/>
        <v>Moderate</v>
      </c>
      <c r="R1074" s="7" t="str">
        <f t="shared" si="65"/>
        <v>Normal</v>
      </c>
      <c r="S1074" s="7" t="str">
        <f t="shared" si="66"/>
        <v>High Humidity</v>
      </c>
      <c r="T1074" s="7" t="str">
        <f t="shared" si="67"/>
        <v>Moderate Wind</v>
      </c>
    </row>
    <row r="1075" spans="1:20" x14ac:dyDescent="0.25">
      <c r="A1075" s="7" t="s">
        <v>1139</v>
      </c>
      <c r="B1075" s="10">
        <v>45917</v>
      </c>
      <c r="C1075" s="11" t="s">
        <v>81</v>
      </c>
      <c r="D1075" s="11" t="s">
        <v>39</v>
      </c>
      <c r="E1075" s="7" t="s">
        <v>43</v>
      </c>
      <c r="F1075" s="9">
        <v>55.2</v>
      </c>
      <c r="G1075" s="9">
        <v>162.30000000000001</v>
      </c>
      <c r="H1075" s="9">
        <v>55</v>
      </c>
      <c r="I1075" s="9">
        <v>5.0999999999999996</v>
      </c>
      <c r="J1075" s="9">
        <v>0.72</v>
      </c>
      <c r="K1075" s="9">
        <v>38</v>
      </c>
      <c r="L1075" s="7">
        <v>21.6</v>
      </c>
      <c r="M1075" s="7">
        <v>42.4</v>
      </c>
      <c r="N1075" s="7">
        <v>1.4</v>
      </c>
      <c r="O1075" s="7">
        <v>276</v>
      </c>
      <c r="P1075" s="7" t="s">
        <v>28</v>
      </c>
      <c r="Q1075" s="7" t="str">
        <f t="shared" si="64"/>
        <v>VeryUnhealthy</v>
      </c>
      <c r="R1075" s="7" t="str">
        <f t="shared" si="65"/>
        <v>Normal</v>
      </c>
      <c r="S1075" s="7" t="str">
        <f t="shared" si="66"/>
        <v>Normal Humidity</v>
      </c>
      <c r="T1075" s="7" t="str">
        <f t="shared" si="67"/>
        <v>Low Wind</v>
      </c>
    </row>
    <row r="1076" spans="1:20" x14ac:dyDescent="0.25">
      <c r="A1076" s="7" t="s">
        <v>1140</v>
      </c>
      <c r="B1076" s="10">
        <v>46010</v>
      </c>
      <c r="C1076" s="11" t="s">
        <v>50</v>
      </c>
      <c r="D1076" s="11" t="s">
        <v>31</v>
      </c>
      <c r="E1076" s="7" t="s">
        <v>91</v>
      </c>
      <c r="F1076" s="9">
        <v>66.5</v>
      </c>
      <c r="G1076" s="9">
        <v>26.3</v>
      </c>
      <c r="H1076" s="9">
        <v>25.1</v>
      </c>
      <c r="I1076" s="9">
        <v>2.8</v>
      </c>
      <c r="J1076" s="9">
        <v>2.3199999999999998</v>
      </c>
      <c r="K1076" s="9">
        <v>25.9</v>
      </c>
      <c r="L1076" s="7">
        <v>22.4</v>
      </c>
      <c r="M1076" s="7">
        <v>65.8</v>
      </c>
      <c r="N1076" s="7">
        <v>2.7</v>
      </c>
      <c r="O1076" s="7">
        <v>215</v>
      </c>
      <c r="P1076" s="7" t="s">
        <v>28</v>
      </c>
      <c r="Q1076" s="7" t="str">
        <f t="shared" si="64"/>
        <v>Good</v>
      </c>
      <c r="R1076" s="7" t="str">
        <f t="shared" si="65"/>
        <v>Normal</v>
      </c>
      <c r="S1076" s="7" t="str">
        <f t="shared" si="66"/>
        <v>High Humidity</v>
      </c>
      <c r="T1076" s="7" t="str">
        <f t="shared" si="67"/>
        <v>Moderate Wind</v>
      </c>
    </row>
    <row r="1077" spans="1:20" x14ac:dyDescent="0.25">
      <c r="A1077" s="7" t="s">
        <v>1141</v>
      </c>
      <c r="B1077" s="10">
        <v>45752</v>
      </c>
      <c r="C1077" s="11" t="s">
        <v>42</v>
      </c>
      <c r="D1077" s="11" t="s">
        <v>23</v>
      </c>
      <c r="E1077" s="7" t="s">
        <v>27</v>
      </c>
      <c r="F1077" s="9">
        <v>18.2</v>
      </c>
      <c r="G1077" s="9">
        <v>79.099999999999994</v>
      </c>
      <c r="H1077" s="9">
        <v>23.9</v>
      </c>
      <c r="I1077" s="9">
        <v>5.7</v>
      </c>
      <c r="J1077" s="9">
        <v>0.34</v>
      </c>
      <c r="K1077" s="9">
        <v>35.799999999999997</v>
      </c>
      <c r="L1077" s="7">
        <v>22.4</v>
      </c>
      <c r="M1077" s="7">
        <v>69.2</v>
      </c>
      <c r="N1077" s="7">
        <v>0.7</v>
      </c>
      <c r="O1077" s="7">
        <v>128</v>
      </c>
      <c r="P1077" s="7" t="s">
        <v>33</v>
      </c>
      <c r="Q1077" s="7" t="str">
        <f t="shared" si="64"/>
        <v>Moderate</v>
      </c>
      <c r="R1077" s="7" t="str">
        <f t="shared" si="65"/>
        <v>Normal</v>
      </c>
      <c r="S1077" s="7" t="str">
        <f t="shared" si="66"/>
        <v>High Humidity</v>
      </c>
      <c r="T1077" s="7" t="str">
        <f t="shared" si="67"/>
        <v>Low Wind</v>
      </c>
    </row>
    <row r="1078" spans="1:20" x14ac:dyDescent="0.25">
      <c r="A1078" s="7" t="s">
        <v>1142</v>
      </c>
      <c r="B1078" s="10">
        <v>45759</v>
      </c>
      <c r="C1078" s="11" t="s">
        <v>26</v>
      </c>
      <c r="D1078" s="11" t="s">
        <v>23</v>
      </c>
      <c r="E1078" s="7" t="s">
        <v>40</v>
      </c>
      <c r="F1078" s="9">
        <v>11</v>
      </c>
      <c r="G1078" s="9">
        <v>104.6</v>
      </c>
      <c r="H1078" s="9">
        <v>24.2</v>
      </c>
      <c r="I1078" s="9">
        <v>5.4</v>
      </c>
      <c r="J1078" s="9">
        <v>0.3</v>
      </c>
      <c r="K1078" s="9">
        <v>56.7</v>
      </c>
      <c r="L1078" s="7">
        <v>21.9</v>
      </c>
      <c r="M1078" s="7">
        <v>66.7</v>
      </c>
      <c r="N1078" s="7">
        <v>1</v>
      </c>
      <c r="O1078" s="7">
        <v>142</v>
      </c>
      <c r="P1078" s="7" t="s">
        <v>33</v>
      </c>
      <c r="Q1078" s="7" t="str">
        <f t="shared" si="64"/>
        <v>Unhealthy</v>
      </c>
      <c r="R1078" s="7" t="str">
        <f t="shared" si="65"/>
        <v>Normal</v>
      </c>
      <c r="S1078" s="7" t="str">
        <f t="shared" si="66"/>
        <v>High Humidity</v>
      </c>
      <c r="T1078" s="7" t="str">
        <f t="shared" si="67"/>
        <v>Low Wind</v>
      </c>
    </row>
    <row r="1079" spans="1:20" x14ac:dyDescent="0.25">
      <c r="A1079" s="7" t="s">
        <v>1143</v>
      </c>
      <c r="B1079" s="10">
        <v>45915</v>
      </c>
      <c r="C1079" s="11" t="s">
        <v>52</v>
      </c>
      <c r="D1079" s="11" t="s">
        <v>31</v>
      </c>
      <c r="E1079" s="7" t="s">
        <v>24</v>
      </c>
      <c r="F1079" s="9">
        <v>46.6</v>
      </c>
      <c r="G1079" s="9">
        <v>55.1</v>
      </c>
      <c r="H1079" s="9">
        <v>23.4</v>
      </c>
      <c r="I1079" s="9">
        <v>2.9</v>
      </c>
      <c r="J1079" s="9">
        <v>0.41</v>
      </c>
      <c r="K1079" s="9">
        <v>65.5</v>
      </c>
      <c r="L1079" s="7">
        <v>28.9</v>
      </c>
      <c r="M1079" s="7">
        <v>21.8</v>
      </c>
      <c r="N1079" s="7">
        <v>0.1</v>
      </c>
      <c r="O1079" s="7">
        <v>171</v>
      </c>
      <c r="P1079" s="7" t="s">
        <v>33</v>
      </c>
      <c r="Q1079" s="7" t="str">
        <f t="shared" si="64"/>
        <v>Moderate</v>
      </c>
      <c r="R1079" s="7" t="str">
        <f t="shared" si="65"/>
        <v>Normal</v>
      </c>
      <c r="S1079" s="7" t="str">
        <f t="shared" si="66"/>
        <v>Low Humidity</v>
      </c>
      <c r="T1079" s="7" t="str">
        <f t="shared" si="67"/>
        <v>Low Wind</v>
      </c>
    </row>
    <row r="1080" spans="1:20" x14ac:dyDescent="0.25">
      <c r="A1080" s="7" t="s">
        <v>1144</v>
      </c>
      <c r="B1080" s="10">
        <v>45794</v>
      </c>
      <c r="C1080" s="11" t="s">
        <v>35</v>
      </c>
      <c r="D1080" s="11" t="s">
        <v>36</v>
      </c>
      <c r="E1080" s="7" t="s">
        <v>70</v>
      </c>
      <c r="F1080" s="9">
        <v>44</v>
      </c>
      <c r="G1080" s="9">
        <v>117.2</v>
      </c>
      <c r="H1080" s="9">
        <v>18.5</v>
      </c>
      <c r="I1080" s="9">
        <v>51.9</v>
      </c>
      <c r="J1080" s="9">
        <v>0.24</v>
      </c>
      <c r="K1080" s="9">
        <v>12</v>
      </c>
      <c r="L1080" s="7">
        <v>25.9</v>
      </c>
      <c r="M1080" s="7">
        <v>90.9</v>
      </c>
      <c r="N1080" s="7">
        <v>3.2</v>
      </c>
      <c r="O1080" s="7">
        <v>209</v>
      </c>
      <c r="P1080" s="7" t="s">
        <v>28</v>
      </c>
      <c r="Q1080" s="7" t="str">
        <f t="shared" si="64"/>
        <v>Unhealthy</v>
      </c>
      <c r="R1080" s="7" t="str">
        <f t="shared" si="65"/>
        <v>Normal</v>
      </c>
      <c r="S1080" s="7" t="str">
        <f t="shared" si="66"/>
        <v>High Humidity</v>
      </c>
      <c r="T1080" s="7" t="str">
        <f t="shared" si="67"/>
        <v>Moderate Wind</v>
      </c>
    </row>
    <row r="1081" spans="1:20" x14ac:dyDescent="0.25">
      <c r="A1081" s="7" t="s">
        <v>1145</v>
      </c>
      <c r="B1081" s="10">
        <v>45743</v>
      </c>
      <c r="C1081" s="11" t="s">
        <v>77</v>
      </c>
      <c r="D1081" s="11" t="s">
        <v>39</v>
      </c>
      <c r="E1081" s="7" t="s">
        <v>61</v>
      </c>
      <c r="F1081" s="9">
        <v>10.1</v>
      </c>
      <c r="G1081" s="9">
        <v>82.4</v>
      </c>
      <c r="H1081" s="9">
        <v>18.2</v>
      </c>
      <c r="I1081" s="9">
        <v>8.6</v>
      </c>
      <c r="J1081" s="9">
        <v>1.65</v>
      </c>
      <c r="K1081" s="9">
        <v>11.1</v>
      </c>
      <c r="L1081" s="7">
        <v>30.5</v>
      </c>
      <c r="M1081" s="7">
        <v>51.8</v>
      </c>
      <c r="N1081" s="7">
        <v>1.7</v>
      </c>
      <c r="O1081" s="7">
        <v>137</v>
      </c>
      <c r="P1081" s="7" t="s">
        <v>33</v>
      </c>
      <c r="Q1081" s="7" t="str">
        <f t="shared" si="64"/>
        <v>Moderate</v>
      </c>
      <c r="R1081" s="7" t="str">
        <f t="shared" si="65"/>
        <v>Hot</v>
      </c>
      <c r="S1081" s="7" t="str">
        <f t="shared" si="66"/>
        <v>Normal Humidity</v>
      </c>
      <c r="T1081" s="7" t="str">
        <f t="shared" si="67"/>
        <v>Low Wind</v>
      </c>
    </row>
    <row r="1082" spans="1:20" x14ac:dyDescent="0.25">
      <c r="A1082" s="7" t="s">
        <v>1146</v>
      </c>
      <c r="B1082" s="10">
        <v>45681</v>
      </c>
      <c r="C1082" s="11" t="s">
        <v>99</v>
      </c>
      <c r="D1082" s="11" t="s">
        <v>36</v>
      </c>
      <c r="E1082" s="7" t="s">
        <v>91</v>
      </c>
      <c r="F1082" s="9">
        <v>112.8</v>
      </c>
      <c r="G1082" s="9">
        <v>49.5</v>
      </c>
      <c r="H1082" s="9">
        <v>18.899999999999999</v>
      </c>
      <c r="I1082" s="9">
        <v>24.9</v>
      </c>
      <c r="J1082" s="9">
        <v>0.88</v>
      </c>
      <c r="K1082" s="9">
        <v>26.3</v>
      </c>
      <c r="L1082" s="7">
        <v>31.7</v>
      </c>
      <c r="M1082" s="7">
        <v>55.8</v>
      </c>
      <c r="N1082" s="7">
        <v>1.9</v>
      </c>
      <c r="O1082" s="7">
        <v>279</v>
      </c>
      <c r="P1082" s="7" t="s">
        <v>28</v>
      </c>
      <c r="Q1082" s="7" t="str">
        <f t="shared" si="64"/>
        <v>Good</v>
      </c>
      <c r="R1082" s="7" t="str">
        <f t="shared" si="65"/>
        <v>Hot</v>
      </c>
      <c r="S1082" s="7" t="str">
        <f t="shared" si="66"/>
        <v>Normal Humidity</v>
      </c>
      <c r="T1082" s="7" t="str">
        <f t="shared" si="67"/>
        <v>Low Wind</v>
      </c>
    </row>
    <row r="1083" spans="1:20" x14ac:dyDescent="0.25">
      <c r="A1083" s="7" t="s">
        <v>1147</v>
      </c>
      <c r="B1083" s="10">
        <v>45780</v>
      </c>
      <c r="C1083" s="11" t="s">
        <v>77</v>
      </c>
      <c r="D1083" s="11" t="s">
        <v>39</v>
      </c>
      <c r="E1083" s="7" t="s">
        <v>55</v>
      </c>
      <c r="F1083" s="9">
        <v>35.200000000000003</v>
      </c>
      <c r="G1083" s="9">
        <v>115.8</v>
      </c>
      <c r="H1083" s="9">
        <v>38.799999999999997</v>
      </c>
      <c r="I1083" s="9">
        <v>18.8</v>
      </c>
      <c r="J1083" s="9">
        <v>0.56999999999999995</v>
      </c>
      <c r="K1083" s="9">
        <v>31.3</v>
      </c>
      <c r="L1083" s="7">
        <v>23.1</v>
      </c>
      <c r="M1083" s="7">
        <v>72</v>
      </c>
      <c r="N1083" s="7">
        <v>1.6</v>
      </c>
      <c r="O1083" s="7">
        <v>204</v>
      </c>
      <c r="P1083" s="7" t="s">
        <v>28</v>
      </c>
      <c r="Q1083" s="7" t="str">
        <f t="shared" si="64"/>
        <v>Unhealthy</v>
      </c>
      <c r="R1083" s="7" t="str">
        <f t="shared" si="65"/>
        <v>Normal</v>
      </c>
      <c r="S1083" s="7" t="str">
        <f t="shared" si="66"/>
        <v>High Humidity</v>
      </c>
      <c r="T1083" s="7" t="str">
        <f t="shared" si="67"/>
        <v>Low Wind</v>
      </c>
    </row>
    <row r="1084" spans="1:20" x14ac:dyDescent="0.25">
      <c r="A1084" s="7" t="s">
        <v>1148</v>
      </c>
      <c r="B1084" s="10">
        <v>45841</v>
      </c>
      <c r="C1084" s="11" t="s">
        <v>35</v>
      </c>
      <c r="D1084" s="11" t="s">
        <v>36</v>
      </c>
      <c r="E1084" s="7" t="s">
        <v>40</v>
      </c>
      <c r="F1084" s="9">
        <v>56</v>
      </c>
      <c r="G1084" s="9">
        <v>28.3</v>
      </c>
      <c r="H1084" s="9">
        <v>44.7</v>
      </c>
      <c r="I1084" s="9">
        <v>3.8</v>
      </c>
      <c r="J1084" s="9">
        <v>0.6</v>
      </c>
      <c r="K1084" s="9">
        <v>13</v>
      </c>
      <c r="L1084" s="7">
        <v>34.5</v>
      </c>
      <c r="M1084" s="7">
        <v>59.6</v>
      </c>
      <c r="N1084" s="7">
        <v>1.7</v>
      </c>
      <c r="O1084" s="7">
        <v>167</v>
      </c>
      <c r="P1084" s="7" t="s">
        <v>33</v>
      </c>
      <c r="Q1084" s="7" t="str">
        <f t="shared" si="64"/>
        <v>Good</v>
      </c>
      <c r="R1084" s="7" t="str">
        <f t="shared" si="65"/>
        <v>Hot</v>
      </c>
      <c r="S1084" s="7" t="str">
        <f t="shared" si="66"/>
        <v>Normal Humidity</v>
      </c>
      <c r="T1084" s="7" t="str">
        <f t="shared" si="67"/>
        <v>Low Wind</v>
      </c>
    </row>
    <row r="1085" spans="1:20" x14ac:dyDescent="0.25">
      <c r="A1085" s="7" t="s">
        <v>1149</v>
      </c>
      <c r="B1085" s="10">
        <v>45761</v>
      </c>
      <c r="C1085" s="11" t="s">
        <v>17</v>
      </c>
      <c r="D1085" s="11" t="s">
        <v>18</v>
      </c>
      <c r="E1085" s="7" t="s">
        <v>24</v>
      </c>
      <c r="F1085" s="9">
        <v>124.5</v>
      </c>
      <c r="G1085" s="9">
        <v>15.6</v>
      </c>
      <c r="H1085" s="9">
        <v>27.6</v>
      </c>
      <c r="I1085" s="9">
        <v>12.9</v>
      </c>
      <c r="J1085" s="9">
        <v>0.87</v>
      </c>
      <c r="K1085" s="9">
        <v>15.2</v>
      </c>
      <c r="L1085" s="7">
        <v>27.3</v>
      </c>
      <c r="M1085" s="7">
        <v>33.200000000000003</v>
      </c>
      <c r="N1085" s="7">
        <v>1.9</v>
      </c>
      <c r="O1085" s="7">
        <v>269</v>
      </c>
      <c r="P1085" s="7" t="s">
        <v>28</v>
      </c>
      <c r="Q1085" s="7" t="str">
        <f t="shared" si="64"/>
        <v>Good</v>
      </c>
      <c r="R1085" s="7" t="str">
        <f t="shared" si="65"/>
        <v>Normal</v>
      </c>
      <c r="S1085" s="7" t="str">
        <f t="shared" si="66"/>
        <v>Normal Humidity</v>
      </c>
      <c r="T1085" s="7" t="str">
        <f t="shared" si="67"/>
        <v>Low Wind</v>
      </c>
    </row>
    <row r="1086" spans="1:20" x14ac:dyDescent="0.25">
      <c r="A1086" s="7" t="s">
        <v>1150</v>
      </c>
      <c r="B1086" s="10">
        <v>45918</v>
      </c>
      <c r="C1086" s="11" t="s">
        <v>42</v>
      </c>
      <c r="D1086" s="11" t="s">
        <v>23</v>
      </c>
      <c r="E1086" s="7" t="s">
        <v>97</v>
      </c>
      <c r="F1086" s="9">
        <v>30.9</v>
      </c>
      <c r="G1086" s="9">
        <v>63.8</v>
      </c>
      <c r="H1086" s="9">
        <v>10.4</v>
      </c>
      <c r="I1086" s="9">
        <v>2</v>
      </c>
      <c r="J1086" s="9">
        <v>1.49</v>
      </c>
      <c r="K1086" s="9">
        <v>53.5</v>
      </c>
      <c r="L1086" s="7">
        <v>32.4</v>
      </c>
      <c r="M1086" s="7">
        <v>76.599999999999994</v>
      </c>
      <c r="N1086" s="7">
        <v>2.9</v>
      </c>
      <c r="O1086" s="7">
        <v>162</v>
      </c>
      <c r="P1086" s="7" t="s">
        <v>33</v>
      </c>
      <c r="Q1086" s="7" t="str">
        <f t="shared" si="64"/>
        <v>Moderate</v>
      </c>
      <c r="R1086" s="7" t="str">
        <f t="shared" si="65"/>
        <v>Hot</v>
      </c>
      <c r="S1086" s="7" t="str">
        <f t="shared" si="66"/>
        <v>High Humidity</v>
      </c>
      <c r="T1086" s="7" t="str">
        <f t="shared" si="67"/>
        <v>Moderate Wind</v>
      </c>
    </row>
    <row r="1087" spans="1:20" x14ac:dyDescent="0.25">
      <c r="A1087" s="7" t="s">
        <v>1151</v>
      </c>
      <c r="B1087" s="10">
        <v>45817</v>
      </c>
      <c r="C1087" s="11" t="s">
        <v>50</v>
      </c>
      <c r="D1087" s="11" t="s">
        <v>31</v>
      </c>
      <c r="E1087" s="7" t="s">
        <v>43</v>
      </c>
      <c r="F1087" s="9">
        <v>84</v>
      </c>
      <c r="G1087" s="9">
        <v>63.3</v>
      </c>
      <c r="H1087" s="9">
        <v>24.3</v>
      </c>
      <c r="I1087" s="9">
        <v>36</v>
      </c>
      <c r="J1087" s="9">
        <v>0.33</v>
      </c>
      <c r="K1087" s="9">
        <v>83.1</v>
      </c>
      <c r="L1087" s="7">
        <v>30</v>
      </c>
      <c r="M1087" s="7">
        <v>33.1</v>
      </c>
      <c r="N1087" s="7">
        <v>2</v>
      </c>
      <c r="O1087" s="7">
        <v>266</v>
      </c>
      <c r="P1087" s="7" t="s">
        <v>28</v>
      </c>
      <c r="Q1087" s="7" t="str">
        <f t="shared" si="64"/>
        <v>Moderate</v>
      </c>
      <c r="R1087" s="7" t="str">
        <f t="shared" si="65"/>
        <v>Normal</v>
      </c>
      <c r="S1087" s="7" t="str">
        <f t="shared" si="66"/>
        <v>Normal Humidity</v>
      </c>
      <c r="T1087" s="7" t="str">
        <f t="shared" si="67"/>
        <v>Moderate Wind</v>
      </c>
    </row>
    <row r="1088" spans="1:20" x14ac:dyDescent="0.25">
      <c r="A1088" s="7" t="s">
        <v>1152</v>
      </c>
      <c r="B1088" s="10">
        <v>45777</v>
      </c>
      <c r="C1088" s="11" t="s">
        <v>99</v>
      </c>
      <c r="D1088" s="11" t="s">
        <v>36</v>
      </c>
      <c r="E1088" s="7" t="s">
        <v>43</v>
      </c>
      <c r="F1088" s="9">
        <v>33.799999999999997</v>
      </c>
      <c r="G1088" s="9">
        <v>73.099999999999994</v>
      </c>
      <c r="H1088" s="9">
        <v>59.5</v>
      </c>
      <c r="I1088" s="9">
        <v>8.4</v>
      </c>
      <c r="J1088" s="9">
        <v>0.41</v>
      </c>
      <c r="K1088" s="9">
        <v>38.299999999999997</v>
      </c>
      <c r="L1088" s="7">
        <v>27.5</v>
      </c>
      <c r="M1088" s="7">
        <v>52.5</v>
      </c>
      <c r="N1088" s="7">
        <v>3.1</v>
      </c>
      <c r="O1088" s="7">
        <v>183</v>
      </c>
      <c r="P1088" s="7" t="s">
        <v>33</v>
      </c>
      <c r="Q1088" s="7" t="str">
        <f t="shared" si="64"/>
        <v>Moderate</v>
      </c>
      <c r="R1088" s="7" t="str">
        <f t="shared" si="65"/>
        <v>Normal</v>
      </c>
      <c r="S1088" s="7" t="str">
        <f t="shared" si="66"/>
        <v>Normal Humidity</v>
      </c>
      <c r="T1088" s="7" t="str">
        <f t="shared" si="67"/>
        <v>Moderate Wind</v>
      </c>
    </row>
    <row r="1089" spans="1:20" x14ac:dyDescent="0.25">
      <c r="A1089" s="7" t="s">
        <v>1153</v>
      </c>
      <c r="B1089" s="10">
        <v>45736</v>
      </c>
      <c r="C1089" s="11" t="s">
        <v>42</v>
      </c>
      <c r="D1089" s="11" t="s">
        <v>23</v>
      </c>
      <c r="E1089" s="7" t="s">
        <v>19</v>
      </c>
      <c r="F1089" s="9">
        <v>78.900000000000006</v>
      </c>
      <c r="G1089" s="9">
        <v>97.3</v>
      </c>
      <c r="H1089" s="9">
        <v>15.8</v>
      </c>
      <c r="I1089" s="9">
        <v>24.4</v>
      </c>
      <c r="J1089" s="9">
        <v>0.51</v>
      </c>
      <c r="K1089" s="9">
        <v>19.399999999999999</v>
      </c>
      <c r="L1089" s="7">
        <v>27.4</v>
      </c>
      <c r="M1089" s="7">
        <v>78.099999999999994</v>
      </c>
      <c r="N1089" s="7">
        <v>2.7</v>
      </c>
      <c r="O1089" s="7">
        <v>241</v>
      </c>
      <c r="P1089" s="7" t="s">
        <v>28</v>
      </c>
      <c r="Q1089" s="7" t="str">
        <f t="shared" si="64"/>
        <v>Moderate</v>
      </c>
      <c r="R1089" s="7" t="str">
        <f t="shared" si="65"/>
        <v>Normal</v>
      </c>
      <c r="S1089" s="7" t="str">
        <f t="shared" si="66"/>
        <v>High Humidity</v>
      </c>
      <c r="T1089" s="7" t="str">
        <f t="shared" si="67"/>
        <v>Moderate Wind</v>
      </c>
    </row>
    <row r="1090" spans="1:20" x14ac:dyDescent="0.25">
      <c r="A1090" s="7" t="s">
        <v>1154</v>
      </c>
      <c r="B1090" s="10">
        <v>45805</v>
      </c>
      <c r="C1090" s="11" t="s">
        <v>54</v>
      </c>
      <c r="D1090" s="11" t="s">
        <v>18</v>
      </c>
      <c r="E1090" s="7" t="s">
        <v>32</v>
      </c>
      <c r="F1090" s="9">
        <v>51.2</v>
      </c>
      <c r="G1090" s="9">
        <v>44.4</v>
      </c>
      <c r="H1090" s="9">
        <v>37.799999999999997</v>
      </c>
      <c r="I1090" s="9">
        <v>10.8</v>
      </c>
      <c r="J1090" s="9">
        <v>0.66</v>
      </c>
      <c r="K1090" s="9">
        <v>95.1</v>
      </c>
      <c r="L1090" s="7">
        <v>33.4</v>
      </c>
      <c r="M1090" s="7">
        <v>72</v>
      </c>
      <c r="N1090" s="7">
        <v>2.8</v>
      </c>
      <c r="O1090" s="7">
        <v>208</v>
      </c>
      <c r="P1090" s="7" t="s">
        <v>28</v>
      </c>
      <c r="Q1090" s="7" t="str">
        <f t="shared" si="64"/>
        <v>Good</v>
      </c>
      <c r="R1090" s="7" t="str">
        <f t="shared" si="65"/>
        <v>Hot</v>
      </c>
      <c r="S1090" s="7" t="str">
        <f t="shared" si="66"/>
        <v>High Humidity</v>
      </c>
      <c r="T1090" s="7" t="str">
        <f t="shared" si="67"/>
        <v>Moderate Wind</v>
      </c>
    </row>
    <row r="1091" spans="1:20" x14ac:dyDescent="0.25">
      <c r="A1091" s="7" t="s">
        <v>1155</v>
      </c>
      <c r="B1091" s="10">
        <v>45878</v>
      </c>
      <c r="C1091" s="11" t="s">
        <v>50</v>
      </c>
      <c r="D1091" s="11" t="s">
        <v>31</v>
      </c>
      <c r="E1091" s="7" t="s">
        <v>32</v>
      </c>
      <c r="F1091" s="9">
        <v>33.5</v>
      </c>
      <c r="G1091" s="9">
        <v>19.5</v>
      </c>
      <c r="H1091" s="9">
        <v>36.200000000000003</v>
      </c>
      <c r="I1091" s="9">
        <v>2.2000000000000002</v>
      </c>
      <c r="J1091" s="9">
        <v>1.1200000000000001</v>
      </c>
      <c r="K1091" s="9">
        <v>31.4</v>
      </c>
      <c r="L1091" s="7">
        <v>36.200000000000003</v>
      </c>
      <c r="M1091" s="7">
        <v>73.2</v>
      </c>
      <c r="N1091" s="7">
        <v>2.2999999999999998</v>
      </c>
      <c r="O1091" s="7">
        <v>139</v>
      </c>
      <c r="P1091" s="7" t="s">
        <v>33</v>
      </c>
      <c r="Q1091" s="7" t="str">
        <f t="shared" ref="Q1091:Q1154" si="68">IF(G1091&lt;50,"Good",IF(G1091&lt;=100,"Moderate",IF(G1091&lt;=150,"Unhealthy","VeryUnhealthy")))</f>
        <v>Good</v>
      </c>
      <c r="R1091" s="7" t="str">
        <f t="shared" ref="R1091:R1154" si="69">IF(L1091&lt;20,"Cool",IF(L1091&lt;=30,"Normal","Hot"))</f>
        <v>Hot</v>
      </c>
      <c r="S1091" s="7" t="str">
        <f t="shared" ref="S1091:S1154" si="70">IF(M1091&lt;30,"Low Humidity",IF(M1091&lt;=60,"Normal Humidity","High Humidity"))</f>
        <v>High Humidity</v>
      </c>
      <c r="T1091" s="7" t="str">
        <f t="shared" ref="T1091:T1154" si="71">IF(N1091&lt;2,"Low Wind",IF(N1091&lt;=5,"Moderate Wind","High Wind"))</f>
        <v>Moderate Wind</v>
      </c>
    </row>
    <row r="1092" spans="1:20" x14ac:dyDescent="0.25">
      <c r="A1092" s="7" t="s">
        <v>1156</v>
      </c>
      <c r="B1092" s="10">
        <v>45876</v>
      </c>
      <c r="C1092" s="11" t="s">
        <v>22</v>
      </c>
      <c r="D1092" s="11" t="s">
        <v>23</v>
      </c>
      <c r="E1092" s="7" t="s">
        <v>19</v>
      </c>
      <c r="F1092" s="9">
        <v>44.7</v>
      </c>
      <c r="G1092" s="9">
        <v>41.9</v>
      </c>
      <c r="H1092" s="9">
        <v>18.8</v>
      </c>
      <c r="I1092" s="9">
        <v>32.9</v>
      </c>
      <c r="J1092" s="9">
        <v>0.66</v>
      </c>
      <c r="K1092" s="9">
        <v>42.9</v>
      </c>
      <c r="L1092" s="7">
        <v>25.6</v>
      </c>
      <c r="M1092" s="7">
        <v>55</v>
      </c>
      <c r="N1092" s="7">
        <v>1.4</v>
      </c>
      <c r="O1092" s="7">
        <v>173</v>
      </c>
      <c r="P1092" s="7" t="s">
        <v>33</v>
      </c>
      <c r="Q1092" s="7" t="str">
        <f t="shared" si="68"/>
        <v>Good</v>
      </c>
      <c r="R1092" s="7" t="str">
        <f t="shared" si="69"/>
        <v>Normal</v>
      </c>
      <c r="S1092" s="7" t="str">
        <f t="shared" si="70"/>
        <v>Normal Humidity</v>
      </c>
      <c r="T1092" s="7" t="str">
        <f t="shared" si="71"/>
        <v>Low Wind</v>
      </c>
    </row>
    <row r="1093" spans="1:20" x14ac:dyDescent="0.25">
      <c r="A1093" s="7" t="s">
        <v>1157</v>
      </c>
      <c r="B1093" s="10">
        <v>45893</v>
      </c>
      <c r="C1093" s="11" t="s">
        <v>81</v>
      </c>
      <c r="D1093" s="11" t="s">
        <v>39</v>
      </c>
      <c r="E1093" s="7" t="s">
        <v>97</v>
      </c>
      <c r="F1093" s="9">
        <v>63.9</v>
      </c>
      <c r="G1093" s="9">
        <v>117.7</v>
      </c>
      <c r="H1093" s="9">
        <v>5.9</v>
      </c>
      <c r="I1093" s="9">
        <v>6.5</v>
      </c>
      <c r="J1093" s="9">
        <v>1.23</v>
      </c>
      <c r="K1093" s="9">
        <v>47.7</v>
      </c>
      <c r="L1093" s="7">
        <v>23.4</v>
      </c>
      <c r="M1093" s="7">
        <v>58.5</v>
      </c>
      <c r="N1093" s="7">
        <v>2.8</v>
      </c>
      <c r="O1093" s="7">
        <v>240</v>
      </c>
      <c r="P1093" s="7" t="s">
        <v>28</v>
      </c>
      <c r="Q1093" s="7" t="str">
        <f t="shared" si="68"/>
        <v>Unhealthy</v>
      </c>
      <c r="R1093" s="7" t="str">
        <f t="shared" si="69"/>
        <v>Normal</v>
      </c>
      <c r="S1093" s="7" t="str">
        <f t="shared" si="70"/>
        <v>Normal Humidity</v>
      </c>
      <c r="T1093" s="7" t="str">
        <f t="shared" si="71"/>
        <v>Moderate Wind</v>
      </c>
    </row>
    <row r="1094" spans="1:20" x14ac:dyDescent="0.25">
      <c r="A1094" s="7" t="s">
        <v>1158</v>
      </c>
      <c r="B1094" s="10">
        <v>45796</v>
      </c>
      <c r="C1094" s="11" t="s">
        <v>22</v>
      </c>
      <c r="D1094" s="11" t="s">
        <v>23</v>
      </c>
      <c r="E1094" s="7" t="s">
        <v>40</v>
      </c>
      <c r="F1094" s="9">
        <v>92.5</v>
      </c>
      <c r="G1094" s="9">
        <v>156.80000000000001</v>
      </c>
      <c r="H1094" s="9">
        <v>11.9</v>
      </c>
      <c r="I1094" s="9">
        <v>4.7</v>
      </c>
      <c r="J1094" s="9">
        <v>1.53</v>
      </c>
      <c r="K1094" s="9">
        <v>65.099999999999994</v>
      </c>
      <c r="L1094" s="7">
        <v>26.4</v>
      </c>
      <c r="M1094" s="7">
        <v>82.3</v>
      </c>
      <c r="N1094" s="7">
        <v>1.9</v>
      </c>
      <c r="O1094" s="7">
        <v>330</v>
      </c>
      <c r="P1094" s="7" t="s">
        <v>20</v>
      </c>
      <c r="Q1094" s="7" t="str">
        <f t="shared" si="68"/>
        <v>VeryUnhealthy</v>
      </c>
      <c r="R1094" s="7" t="str">
        <f t="shared" si="69"/>
        <v>Normal</v>
      </c>
      <c r="S1094" s="7" t="str">
        <f t="shared" si="70"/>
        <v>High Humidity</v>
      </c>
      <c r="T1094" s="7" t="str">
        <f t="shared" si="71"/>
        <v>Low Wind</v>
      </c>
    </row>
    <row r="1095" spans="1:20" x14ac:dyDescent="0.25">
      <c r="A1095" s="7" t="s">
        <v>1159</v>
      </c>
      <c r="B1095" s="10">
        <v>45741</v>
      </c>
      <c r="C1095" s="11" t="s">
        <v>93</v>
      </c>
      <c r="D1095" s="11" t="s">
        <v>36</v>
      </c>
      <c r="E1095" s="7" t="s">
        <v>27</v>
      </c>
      <c r="F1095" s="9">
        <v>42.7</v>
      </c>
      <c r="G1095" s="9">
        <v>46.5</v>
      </c>
      <c r="H1095" s="9">
        <v>27.9</v>
      </c>
      <c r="I1095" s="9">
        <v>20</v>
      </c>
      <c r="J1095" s="9">
        <v>0.22</v>
      </c>
      <c r="K1095" s="9">
        <v>170.2</v>
      </c>
      <c r="L1095" s="7">
        <v>17.7</v>
      </c>
      <c r="M1095" s="7">
        <v>70.599999999999994</v>
      </c>
      <c r="N1095" s="7">
        <v>1.6</v>
      </c>
      <c r="O1095" s="7">
        <v>217</v>
      </c>
      <c r="P1095" s="7" t="s">
        <v>28</v>
      </c>
      <c r="Q1095" s="7" t="str">
        <f t="shared" si="68"/>
        <v>Good</v>
      </c>
      <c r="R1095" s="7" t="str">
        <f t="shared" si="69"/>
        <v>Cool</v>
      </c>
      <c r="S1095" s="7" t="str">
        <f t="shared" si="70"/>
        <v>High Humidity</v>
      </c>
      <c r="T1095" s="7" t="str">
        <f t="shared" si="71"/>
        <v>Low Wind</v>
      </c>
    </row>
    <row r="1096" spans="1:20" x14ac:dyDescent="0.25">
      <c r="A1096" s="7" t="s">
        <v>1160</v>
      </c>
      <c r="B1096" s="10">
        <v>46020</v>
      </c>
      <c r="C1096" s="11" t="s">
        <v>64</v>
      </c>
      <c r="D1096" s="11" t="s">
        <v>36</v>
      </c>
      <c r="E1096" s="7" t="s">
        <v>91</v>
      </c>
      <c r="F1096" s="9">
        <v>102.6</v>
      </c>
      <c r="G1096" s="9">
        <v>56.8</v>
      </c>
      <c r="H1096" s="9">
        <v>37.299999999999997</v>
      </c>
      <c r="I1096" s="9">
        <v>6.1</v>
      </c>
      <c r="J1096" s="9">
        <v>0.35</v>
      </c>
      <c r="K1096" s="9">
        <v>45</v>
      </c>
      <c r="L1096" s="7">
        <v>25.3</v>
      </c>
      <c r="M1096" s="7">
        <v>60.4</v>
      </c>
      <c r="N1096" s="7">
        <v>2.8</v>
      </c>
      <c r="O1096" s="7">
        <v>264</v>
      </c>
      <c r="P1096" s="7" t="s">
        <v>28</v>
      </c>
      <c r="Q1096" s="7" t="str">
        <f t="shared" si="68"/>
        <v>Moderate</v>
      </c>
      <c r="R1096" s="7" t="str">
        <f t="shared" si="69"/>
        <v>Normal</v>
      </c>
      <c r="S1096" s="7" t="str">
        <f t="shared" si="70"/>
        <v>High Humidity</v>
      </c>
      <c r="T1096" s="7" t="str">
        <f t="shared" si="71"/>
        <v>Moderate Wind</v>
      </c>
    </row>
    <row r="1097" spans="1:20" x14ac:dyDescent="0.25">
      <c r="A1097" s="7" t="s">
        <v>1161</v>
      </c>
      <c r="B1097" s="10">
        <v>45939</v>
      </c>
      <c r="C1097" s="11" t="s">
        <v>35</v>
      </c>
      <c r="D1097" s="11" t="s">
        <v>36</v>
      </c>
      <c r="E1097" s="7" t="s">
        <v>32</v>
      </c>
      <c r="F1097" s="9">
        <v>18.399999999999999</v>
      </c>
      <c r="G1097" s="9">
        <v>54.7</v>
      </c>
      <c r="H1097" s="9">
        <v>21.4</v>
      </c>
      <c r="I1097" s="9">
        <v>6.4</v>
      </c>
      <c r="J1097" s="9">
        <v>0.54</v>
      </c>
      <c r="K1097" s="9">
        <v>19.600000000000001</v>
      </c>
      <c r="L1097" s="7">
        <v>36</v>
      </c>
      <c r="M1097" s="7">
        <v>69.3</v>
      </c>
      <c r="N1097" s="7">
        <v>2.8</v>
      </c>
      <c r="O1097" s="7">
        <v>109</v>
      </c>
      <c r="P1097" s="7" t="s">
        <v>33</v>
      </c>
      <c r="Q1097" s="7" t="str">
        <f t="shared" si="68"/>
        <v>Moderate</v>
      </c>
      <c r="R1097" s="7" t="str">
        <f t="shared" si="69"/>
        <v>Hot</v>
      </c>
      <c r="S1097" s="7" t="str">
        <f t="shared" si="70"/>
        <v>High Humidity</v>
      </c>
      <c r="T1097" s="7" t="str">
        <f t="shared" si="71"/>
        <v>Moderate Wind</v>
      </c>
    </row>
    <row r="1098" spans="1:20" x14ac:dyDescent="0.25">
      <c r="A1098" s="7" t="s">
        <v>1162</v>
      </c>
      <c r="B1098" s="10">
        <v>45986</v>
      </c>
      <c r="C1098" s="11" t="s">
        <v>67</v>
      </c>
      <c r="D1098" s="11" t="s">
        <v>18</v>
      </c>
      <c r="E1098" s="7" t="s">
        <v>91</v>
      </c>
      <c r="F1098" s="9">
        <v>75.2</v>
      </c>
      <c r="G1098" s="9">
        <v>113.5</v>
      </c>
      <c r="H1098" s="9">
        <v>22.1</v>
      </c>
      <c r="I1098" s="9">
        <v>13.2</v>
      </c>
      <c r="J1098" s="9">
        <v>1.28</v>
      </c>
      <c r="K1098" s="9">
        <v>27.6</v>
      </c>
      <c r="L1098" s="7">
        <v>28.8</v>
      </c>
      <c r="M1098" s="7">
        <v>62.8</v>
      </c>
      <c r="N1098" s="7">
        <v>3.5</v>
      </c>
      <c r="O1098" s="7">
        <v>265</v>
      </c>
      <c r="P1098" s="7" t="s">
        <v>28</v>
      </c>
      <c r="Q1098" s="7" t="str">
        <f t="shared" si="68"/>
        <v>Unhealthy</v>
      </c>
      <c r="R1098" s="7" t="str">
        <f t="shared" si="69"/>
        <v>Normal</v>
      </c>
      <c r="S1098" s="7" t="str">
        <f t="shared" si="70"/>
        <v>High Humidity</v>
      </c>
      <c r="T1098" s="7" t="str">
        <f t="shared" si="71"/>
        <v>Moderate Wind</v>
      </c>
    </row>
    <row r="1099" spans="1:20" x14ac:dyDescent="0.25">
      <c r="A1099" s="7" t="s">
        <v>1163</v>
      </c>
      <c r="B1099" s="10">
        <v>45900</v>
      </c>
      <c r="C1099" s="11" t="s">
        <v>81</v>
      </c>
      <c r="D1099" s="11" t="s">
        <v>39</v>
      </c>
      <c r="E1099" s="7" t="s">
        <v>45</v>
      </c>
      <c r="F1099" s="9">
        <v>62</v>
      </c>
      <c r="G1099" s="9">
        <v>71.5</v>
      </c>
      <c r="H1099" s="9">
        <v>20.399999999999999</v>
      </c>
      <c r="I1099" s="9">
        <v>44.5</v>
      </c>
      <c r="J1099" s="9">
        <v>0.9</v>
      </c>
      <c r="K1099" s="9">
        <v>52.8</v>
      </c>
      <c r="L1099" s="7">
        <v>25.3</v>
      </c>
      <c r="M1099" s="7">
        <v>74.3</v>
      </c>
      <c r="N1099" s="7">
        <v>1.6</v>
      </c>
      <c r="O1099" s="7">
        <v>239</v>
      </c>
      <c r="P1099" s="7" t="s">
        <v>28</v>
      </c>
      <c r="Q1099" s="7" t="str">
        <f t="shared" si="68"/>
        <v>Moderate</v>
      </c>
      <c r="R1099" s="7" t="str">
        <f t="shared" si="69"/>
        <v>Normal</v>
      </c>
      <c r="S1099" s="7" t="str">
        <f t="shared" si="70"/>
        <v>High Humidity</v>
      </c>
      <c r="T1099" s="7" t="str">
        <f t="shared" si="71"/>
        <v>Low Wind</v>
      </c>
    </row>
    <row r="1100" spans="1:20" x14ac:dyDescent="0.25">
      <c r="A1100" s="7" t="s">
        <v>1164</v>
      </c>
      <c r="B1100" s="10">
        <v>45953</v>
      </c>
      <c r="C1100" s="11" t="s">
        <v>99</v>
      </c>
      <c r="D1100" s="11" t="s">
        <v>36</v>
      </c>
      <c r="E1100" s="7" t="s">
        <v>58</v>
      </c>
      <c r="F1100" s="9">
        <v>32.1</v>
      </c>
      <c r="G1100" s="9">
        <v>81.900000000000006</v>
      </c>
      <c r="H1100" s="9">
        <v>7.2</v>
      </c>
      <c r="I1100" s="9">
        <v>12</v>
      </c>
      <c r="J1100" s="9">
        <v>2.0699999999999998</v>
      </c>
      <c r="K1100" s="9">
        <v>34.1</v>
      </c>
      <c r="L1100" s="7">
        <v>26</v>
      </c>
      <c r="M1100" s="7">
        <v>55.7</v>
      </c>
      <c r="N1100" s="7">
        <v>2.2000000000000002</v>
      </c>
      <c r="O1100" s="7">
        <v>186</v>
      </c>
      <c r="P1100" s="7" t="s">
        <v>33</v>
      </c>
      <c r="Q1100" s="7" t="str">
        <f t="shared" si="68"/>
        <v>Moderate</v>
      </c>
      <c r="R1100" s="7" t="str">
        <f t="shared" si="69"/>
        <v>Normal</v>
      </c>
      <c r="S1100" s="7" t="str">
        <f t="shared" si="70"/>
        <v>Normal Humidity</v>
      </c>
      <c r="T1100" s="7" t="str">
        <f t="shared" si="71"/>
        <v>Moderate Wind</v>
      </c>
    </row>
    <row r="1101" spans="1:20" x14ac:dyDescent="0.25">
      <c r="A1101" s="7" t="s">
        <v>1165</v>
      </c>
      <c r="B1101" s="10">
        <v>46007</v>
      </c>
      <c r="C1101" s="11" t="s">
        <v>17</v>
      </c>
      <c r="D1101" s="11" t="s">
        <v>18</v>
      </c>
      <c r="E1101" s="7" t="s">
        <v>45</v>
      </c>
      <c r="F1101" s="9">
        <v>39.200000000000003</v>
      </c>
      <c r="G1101" s="9">
        <v>117.7</v>
      </c>
      <c r="H1101" s="9">
        <v>8.3000000000000007</v>
      </c>
      <c r="I1101" s="9">
        <v>5.9</v>
      </c>
      <c r="J1101" s="9">
        <v>1.67</v>
      </c>
      <c r="K1101" s="9">
        <v>64.8</v>
      </c>
      <c r="L1101" s="7">
        <v>25.4</v>
      </c>
      <c r="M1101" s="7">
        <v>67.3</v>
      </c>
      <c r="N1101" s="7">
        <v>2</v>
      </c>
      <c r="O1101" s="7">
        <v>221</v>
      </c>
      <c r="P1101" s="7" t="s">
        <v>28</v>
      </c>
      <c r="Q1101" s="7" t="str">
        <f t="shared" si="68"/>
        <v>Unhealthy</v>
      </c>
      <c r="R1101" s="7" t="str">
        <f t="shared" si="69"/>
        <v>Normal</v>
      </c>
      <c r="S1101" s="7" t="str">
        <f t="shared" si="70"/>
        <v>High Humidity</v>
      </c>
      <c r="T1101" s="7" t="str">
        <f t="shared" si="71"/>
        <v>Moderate Wind</v>
      </c>
    </row>
    <row r="1102" spans="1:20" x14ac:dyDescent="0.25">
      <c r="A1102" s="7" t="s">
        <v>1166</v>
      </c>
      <c r="B1102" s="10">
        <v>45771</v>
      </c>
      <c r="C1102" s="11" t="s">
        <v>26</v>
      </c>
      <c r="D1102" s="11" t="s">
        <v>23</v>
      </c>
      <c r="E1102" s="7" t="s">
        <v>58</v>
      </c>
      <c r="F1102" s="9">
        <v>14.4</v>
      </c>
      <c r="G1102" s="9">
        <v>110.9</v>
      </c>
      <c r="H1102" s="9">
        <v>18.7</v>
      </c>
      <c r="I1102" s="9">
        <v>28</v>
      </c>
      <c r="J1102" s="9">
        <v>0.36</v>
      </c>
      <c r="K1102" s="9">
        <v>52.3</v>
      </c>
      <c r="L1102" s="7">
        <v>27</v>
      </c>
      <c r="M1102" s="7">
        <v>88.1</v>
      </c>
      <c r="N1102" s="7">
        <v>0.8</v>
      </c>
      <c r="O1102" s="7">
        <v>162</v>
      </c>
      <c r="P1102" s="7" t="s">
        <v>33</v>
      </c>
      <c r="Q1102" s="7" t="str">
        <f t="shared" si="68"/>
        <v>Unhealthy</v>
      </c>
      <c r="R1102" s="7" t="str">
        <f t="shared" si="69"/>
        <v>Normal</v>
      </c>
      <c r="S1102" s="7" t="str">
        <f t="shared" si="70"/>
        <v>High Humidity</v>
      </c>
      <c r="T1102" s="7" t="str">
        <f t="shared" si="71"/>
        <v>Low Wind</v>
      </c>
    </row>
    <row r="1103" spans="1:20" x14ac:dyDescent="0.25">
      <c r="A1103" s="7" t="s">
        <v>1167</v>
      </c>
      <c r="B1103" s="10">
        <v>45973</v>
      </c>
      <c r="C1103" s="11" t="s">
        <v>54</v>
      </c>
      <c r="D1103" s="11" t="s">
        <v>18</v>
      </c>
      <c r="E1103" s="7" t="s">
        <v>68</v>
      </c>
      <c r="F1103" s="9">
        <v>32.700000000000003</v>
      </c>
      <c r="G1103" s="9">
        <v>23.7</v>
      </c>
      <c r="H1103" s="9">
        <v>13.3</v>
      </c>
      <c r="I1103" s="9">
        <v>8.5</v>
      </c>
      <c r="J1103" s="9">
        <v>1.71</v>
      </c>
      <c r="K1103" s="9">
        <v>65.099999999999994</v>
      </c>
      <c r="L1103" s="7">
        <v>35</v>
      </c>
      <c r="M1103" s="7">
        <v>57.1</v>
      </c>
      <c r="N1103" s="7">
        <v>3.2</v>
      </c>
      <c r="O1103" s="7">
        <v>156</v>
      </c>
      <c r="P1103" s="7" t="s">
        <v>33</v>
      </c>
      <c r="Q1103" s="7" t="str">
        <f t="shared" si="68"/>
        <v>Good</v>
      </c>
      <c r="R1103" s="7" t="str">
        <f t="shared" si="69"/>
        <v>Hot</v>
      </c>
      <c r="S1103" s="7" t="str">
        <f t="shared" si="70"/>
        <v>Normal Humidity</v>
      </c>
      <c r="T1103" s="7" t="str">
        <f t="shared" si="71"/>
        <v>Moderate Wind</v>
      </c>
    </row>
    <row r="1104" spans="1:20" x14ac:dyDescent="0.25">
      <c r="A1104" s="7" t="s">
        <v>1168</v>
      </c>
      <c r="B1104" s="10">
        <v>45869</v>
      </c>
      <c r="C1104" s="11" t="s">
        <v>26</v>
      </c>
      <c r="D1104" s="11" t="s">
        <v>23</v>
      </c>
      <c r="E1104" s="7" t="s">
        <v>58</v>
      </c>
      <c r="F1104" s="9">
        <v>108.2</v>
      </c>
      <c r="G1104" s="9">
        <v>115.5</v>
      </c>
      <c r="H1104" s="9">
        <v>10.3</v>
      </c>
      <c r="I1104" s="9">
        <v>3.7</v>
      </c>
      <c r="J1104" s="9">
        <v>0.94</v>
      </c>
      <c r="K1104" s="9">
        <v>8.6</v>
      </c>
      <c r="L1104" s="7">
        <v>28.7</v>
      </c>
      <c r="M1104" s="7">
        <v>79.400000000000006</v>
      </c>
      <c r="N1104" s="7">
        <v>1.9</v>
      </c>
      <c r="O1104" s="7">
        <v>286</v>
      </c>
      <c r="P1104" s="7" t="s">
        <v>28</v>
      </c>
      <c r="Q1104" s="7" t="str">
        <f t="shared" si="68"/>
        <v>Unhealthy</v>
      </c>
      <c r="R1104" s="7" t="str">
        <f t="shared" si="69"/>
        <v>Normal</v>
      </c>
      <c r="S1104" s="7" t="str">
        <f t="shared" si="70"/>
        <v>High Humidity</v>
      </c>
      <c r="T1104" s="7" t="str">
        <f t="shared" si="71"/>
        <v>Low Wind</v>
      </c>
    </row>
    <row r="1105" spans="1:20" x14ac:dyDescent="0.25">
      <c r="A1105" s="7" t="s">
        <v>1169</v>
      </c>
      <c r="B1105" s="10">
        <v>46003</v>
      </c>
      <c r="C1105" s="11" t="s">
        <v>42</v>
      </c>
      <c r="D1105" s="11" t="s">
        <v>23</v>
      </c>
      <c r="E1105" s="7" t="s">
        <v>32</v>
      </c>
      <c r="F1105" s="9">
        <v>26.6</v>
      </c>
      <c r="G1105" s="9">
        <v>128</v>
      </c>
      <c r="H1105" s="9">
        <v>7.5</v>
      </c>
      <c r="I1105" s="9">
        <v>8.8000000000000007</v>
      </c>
      <c r="J1105" s="9">
        <v>2.35</v>
      </c>
      <c r="K1105" s="9">
        <v>9.9</v>
      </c>
      <c r="L1105" s="7">
        <v>29.8</v>
      </c>
      <c r="M1105" s="7">
        <v>80.8</v>
      </c>
      <c r="N1105" s="7">
        <v>3</v>
      </c>
      <c r="O1105" s="7">
        <v>201</v>
      </c>
      <c r="P1105" s="7" t="s">
        <v>28</v>
      </c>
      <c r="Q1105" s="7" t="str">
        <f t="shared" si="68"/>
        <v>Unhealthy</v>
      </c>
      <c r="R1105" s="7" t="str">
        <f t="shared" si="69"/>
        <v>Normal</v>
      </c>
      <c r="S1105" s="7" t="str">
        <f t="shared" si="70"/>
        <v>High Humidity</v>
      </c>
      <c r="T1105" s="7" t="str">
        <f t="shared" si="71"/>
        <v>Moderate Wind</v>
      </c>
    </row>
    <row r="1106" spans="1:20" x14ac:dyDescent="0.25">
      <c r="A1106" s="7" t="s">
        <v>1170</v>
      </c>
      <c r="B1106" s="10">
        <v>46002</v>
      </c>
      <c r="C1106" s="11" t="s">
        <v>26</v>
      </c>
      <c r="D1106" s="11" t="s">
        <v>23</v>
      </c>
      <c r="E1106" s="7" t="s">
        <v>19</v>
      </c>
      <c r="F1106" s="9">
        <v>33.4</v>
      </c>
      <c r="G1106" s="9">
        <v>70</v>
      </c>
      <c r="H1106" s="9">
        <v>35.1</v>
      </c>
      <c r="I1106" s="9">
        <v>19.2</v>
      </c>
      <c r="J1106" s="9">
        <v>0.17</v>
      </c>
      <c r="K1106" s="9">
        <v>31.3</v>
      </c>
      <c r="L1106" s="7">
        <v>20</v>
      </c>
      <c r="M1106" s="7">
        <v>30.9</v>
      </c>
      <c r="N1106" s="7">
        <v>1.7</v>
      </c>
      <c r="O1106" s="7">
        <v>159</v>
      </c>
      <c r="P1106" s="7" t="s">
        <v>33</v>
      </c>
      <c r="Q1106" s="7" t="str">
        <f t="shared" si="68"/>
        <v>Moderate</v>
      </c>
      <c r="R1106" s="7" t="str">
        <f t="shared" si="69"/>
        <v>Normal</v>
      </c>
      <c r="S1106" s="7" t="str">
        <f t="shared" si="70"/>
        <v>Normal Humidity</v>
      </c>
      <c r="T1106" s="7" t="str">
        <f t="shared" si="71"/>
        <v>Low Wind</v>
      </c>
    </row>
    <row r="1107" spans="1:20" x14ac:dyDescent="0.25">
      <c r="A1107" s="7" t="s">
        <v>1171</v>
      </c>
      <c r="B1107" s="10">
        <v>45994</v>
      </c>
      <c r="C1107" s="11" t="s">
        <v>38</v>
      </c>
      <c r="D1107" s="11" t="s">
        <v>39</v>
      </c>
      <c r="E1107" s="7" t="s">
        <v>27</v>
      </c>
      <c r="F1107" s="9">
        <v>62.5</v>
      </c>
      <c r="G1107" s="9">
        <v>21.3</v>
      </c>
      <c r="H1107" s="9">
        <v>8.5</v>
      </c>
      <c r="I1107" s="9">
        <v>11.2</v>
      </c>
      <c r="J1107" s="9">
        <v>0.33</v>
      </c>
      <c r="K1107" s="9">
        <v>12.6</v>
      </c>
      <c r="L1107" s="7">
        <v>19.600000000000001</v>
      </c>
      <c r="M1107" s="7">
        <v>36.299999999999997</v>
      </c>
      <c r="N1107" s="7">
        <v>3.8</v>
      </c>
      <c r="O1107" s="7">
        <v>142</v>
      </c>
      <c r="P1107" s="7" t="s">
        <v>33</v>
      </c>
      <c r="Q1107" s="7" t="str">
        <f t="shared" si="68"/>
        <v>Good</v>
      </c>
      <c r="R1107" s="7" t="str">
        <f t="shared" si="69"/>
        <v>Cool</v>
      </c>
      <c r="S1107" s="7" t="str">
        <f t="shared" si="70"/>
        <v>Normal Humidity</v>
      </c>
      <c r="T1107" s="7" t="str">
        <f t="shared" si="71"/>
        <v>Moderate Wind</v>
      </c>
    </row>
    <row r="1108" spans="1:20" x14ac:dyDescent="0.25">
      <c r="A1108" s="7" t="s">
        <v>1172</v>
      </c>
      <c r="B1108" s="10">
        <v>45995</v>
      </c>
      <c r="C1108" s="11" t="s">
        <v>67</v>
      </c>
      <c r="D1108" s="11" t="s">
        <v>18</v>
      </c>
      <c r="E1108" s="7" t="s">
        <v>61</v>
      </c>
      <c r="F1108" s="9">
        <v>76.099999999999994</v>
      </c>
      <c r="G1108" s="9">
        <v>37.200000000000003</v>
      </c>
      <c r="H1108" s="9">
        <v>26.7</v>
      </c>
      <c r="I1108" s="9">
        <v>20.7</v>
      </c>
      <c r="J1108" s="9">
        <v>0.69</v>
      </c>
      <c r="K1108" s="9">
        <v>63.4</v>
      </c>
      <c r="L1108" s="7">
        <v>24.3</v>
      </c>
      <c r="M1108" s="7">
        <v>38.799999999999997</v>
      </c>
      <c r="N1108" s="7">
        <v>2</v>
      </c>
      <c r="O1108" s="7">
        <v>228</v>
      </c>
      <c r="P1108" s="7" t="s">
        <v>28</v>
      </c>
      <c r="Q1108" s="7" t="str">
        <f t="shared" si="68"/>
        <v>Good</v>
      </c>
      <c r="R1108" s="7" t="str">
        <f t="shared" si="69"/>
        <v>Normal</v>
      </c>
      <c r="S1108" s="7" t="str">
        <f t="shared" si="70"/>
        <v>Normal Humidity</v>
      </c>
      <c r="T1108" s="7" t="str">
        <f t="shared" si="71"/>
        <v>Moderate Wind</v>
      </c>
    </row>
    <row r="1109" spans="1:20" x14ac:dyDescent="0.25">
      <c r="A1109" s="7" t="s">
        <v>1173</v>
      </c>
      <c r="B1109" s="10">
        <v>45988</v>
      </c>
      <c r="C1109" s="11" t="s">
        <v>17</v>
      </c>
      <c r="D1109" s="11" t="s">
        <v>18</v>
      </c>
      <c r="E1109" s="7" t="s">
        <v>40</v>
      </c>
      <c r="F1109" s="9">
        <v>45.5</v>
      </c>
      <c r="G1109" s="9">
        <v>97.6</v>
      </c>
      <c r="H1109" s="9">
        <v>46.1</v>
      </c>
      <c r="I1109" s="9">
        <v>12.9</v>
      </c>
      <c r="J1109" s="9">
        <v>0.25</v>
      </c>
      <c r="K1109" s="9">
        <v>54</v>
      </c>
      <c r="L1109" s="7">
        <v>32.4</v>
      </c>
      <c r="M1109" s="7">
        <v>51.3</v>
      </c>
      <c r="N1109" s="7">
        <v>2.5</v>
      </c>
      <c r="O1109" s="7">
        <v>213</v>
      </c>
      <c r="P1109" s="7" t="s">
        <v>28</v>
      </c>
      <c r="Q1109" s="7" t="str">
        <f t="shared" si="68"/>
        <v>Moderate</v>
      </c>
      <c r="R1109" s="7" t="str">
        <f t="shared" si="69"/>
        <v>Hot</v>
      </c>
      <c r="S1109" s="7" t="str">
        <f t="shared" si="70"/>
        <v>Normal Humidity</v>
      </c>
      <c r="T1109" s="7" t="str">
        <f t="shared" si="71"/>
        <v>Moderate Wind</v>
      </c>
    </row>
    <row r="1110" spans="1:20" x14ac:dyDescent="0.25">
      <c r="A1110" s="7" t="s">
        <v>1174</v>
      </c>
      <c r="B1110" s="10">
        <v>45902</v>
      </c>
      <c r="C1110" s="11" t="s">
        <v>42</v>
      </c>
      <c r="D1110" s="11" t="s">
        <v>23</v>
      </c>
      <c r="E1110" s="7" t="s">
        <v>19</v>
      </c>
      <c r="F1110" s="9">
        <v>72.8</v>
      </c>
      <c r="G1110" s="9">
        <v>51.3</v>
      </c>
      <c r="H1110" s="9">
        <v>28.9</v>
      </c>
      <c r="I1110" s="9">
        <v>1.3</v>
      </c>
      <c r="J1110" s="9">
        <v>0.89</v>
      </c>
      <c r="K1110" s="9">
        <v>28.8</v>
      </c>
      <c r="L1110" s="7">
        <v>27.9</v>
      </c>
      <c r="M1110" s="7">
        <v>53.2</v>
      </c>
      <c r="N1110" s="7">
        <v>1</v>
      </c>
      <c r="O1110" s="7">
        <v>209</v>
      </c>
      <c r="P1110" s="7" t="s">
        <v>28</v>
      </c>
      <c r="Q1110" s="7" t="str">
        <f t="shared" si="68"/>
        <v>Moderate</v>
      </c>
      <c r="R1110" s="7" t="str">
        <f t="shared" si="69"/>
        <v>Normal</v>
      </c>
      <c r="S1110" s="7" t="str">
        <f t="shared" si="70"/>
        <v>Normal Humidity</v>
      </c>
      <c r="T1110" s="7" t="str">
        <f t="shared" si="71"/>
        <v>Low Wind</v>
      </c>
    </row>
    <row r="1111" spans="1:20" x14ac:dyDescent="0.25">
      <c r="A1111" s="7" t="s">
        <v>1175</v>
      </c>
      <c r="B1111" s="10">
        <v>46017</v>
      </c>
      <c r="C1111" s="11" t="s">
        <v>77</v>
      </c>
      <c r="D1111" s="11" t="s">
        <v>39</v>
      </c>
      <c r="E1111" s="7" t="s">
        <v>74</v>
      </c>
      <c r="F1111" s="9">
        <v>40.700000000000003</v>
      </c>
      <c r="G1111" s="9">
        <v>133.80000000000001</v>
      </c>
      <c r="H1111" s="9">
        <v>64.099999999999994</v>
      </c>
      <c r="I1111" s="9">
        <v>13.2</v>
      </c>
      <c r="J1111" s="9">
        <v>1</v>
      </c>
      <c r="K1111" s="9">
        <v>49.4</v>
      </c>
      <c r="L1111" s="7">
        <v>30.1</v>
      </c>
      <c r="M1111" s="7">
        <v>86.4</v>
      </c>
      <c r="N1111" s="7">
        <v>2.9</v>
      </c>
      <c r="O1111" s="7">
        <v>260</v>
      </c>
      <c r="P1111" s="7" t="s">
        <v>28</v>
      </c>
      <c r="Q1111" s="7" t="str">
        <f t="shared" si="68"/>
        <v>Unhealthy</v>
      </c>
      <c r="R1111" s="7" t="str">
        <f t="shared" si="69"/>
        <v>Hot</v>
      </c>
      <c r="S1111" s="7" t="str">
        <f t="shared" si="70"/>
        <v>High Humidity</v>
      </c>
      <c r="T1111" s="7" t="str">
        <f t="shared" si="71"/>
        <v>Moderate Wind</v>
      </c>
    </row>
    <row r="1112" spans="1:20" x14ac:dyDescent="0.25">
      <c r="A1112" s="7" t="s">
        <v>1176</v>
      </c>
      <c r="B1112" s="10">
        <v>45992</v>
      </c>
      <c r="C1112" s="11" t="s">
        <v>67</v>
      </c>
      <c r="D1112" s="11" t="s">
        <v>18</v>
      </c>
      <c r="E1112" s="7" t="s">
        <v>32</v>
      </c>
      <c r="F1112" s="9">
        <v>27.9</v>
      </c>
      <c r="G1112" s="9">
        <v>72.599999999999994</v>
      </c>
      <c r="H1112" s="9">
        <v>81.099999999999994</v>
      </c>
      <c r="I1112" s="9">
        <v>10.9</v>
      </c>
      <c r="J1112" s="9">
        <v>1.18</v>
      </c>
      <c r="K1112" s="9">
        <v>41.7</v>
      </c>
      <c r="L1112" s="7">
        <v>25.4</v>
      </c>
      <c r="M1112" s="7">
        <v>72</v>
      </c>
      <c r="N1112" s="7">
        <v>2.7</v>
      </c>
      <c r="O1112" s="7">
        <v>213</v>
      </c>
      <c r="P1112" s="7" t="s">
        <v>28</v>
      </c>
      <c r="Q1112" s="7" t="str">
        <f t="shared" si="68"/>
        <v>Moderate</v>
      </c>
      <c r="R1112" s="7" t="str">
        <f t="shared" si="69"/>
        <v>Normal</v>
      </c>
      <c r="S1112" s="7" t="str">
        <f t="shared" si="70"/>
        <v>High Humidity</v>
      </c>
      <c r="T1112" s="7" t="str">
        <f t="shared" si="71"/>
        <v>Moderate Wind</v>
      </c>
    </row>
    <row r="1113" spans="1:20" x14ac:dyDescent="0.25">
      <c r="A1113" s="7" t="s">
        <v>1177</v>
      </c>
      <c r="B1113" s="10">
        <v>46006</v>
      </c>
      <c r="C1113" s="11" t="s">
        <v>17</v>
      </c>
      <c r="D1113" s="11" t="s">
        <v>18</v>
      </c>
      <c r="E1113" s="7" t="s">
        <v>58</v>
      </c>
      <c r="F1113" s="9">
        <v>72</v>
      </c>
      <c r="G1113" s="9">
        <v>118.7</v>
      </c>
      <c r="H1113" s="9">
        <v>16.2</v>
      </c>
      <c r="I1113" s="9">
        <v>16</v>
      </c>
      <c r="J1113" s="9">
        <v>0.37</v>
      </c>
      <c r="K1113" s="9">
        <v>31.1</v>
      </c>
      <c r="L1113" s="7">
        <v>31.8</v>
      </c>
      <c r="M1113" s="7">
        <v>58.3</v>
      </c>
      <c r="N1113" s="7">
        <v>1.5</v>
      </c>
      <c r="O1113" s="7">
        <v>240</v>
      </c>
      <c r="P1113" s="7" t="s">
        <v>28</v>
      </c>
      <c r="Q1113" s="7" t="str">
        <f t="shared" si="68"/>
        <v>Unhealthy</v>
      </c>
      <c r="R1113" s="7" t="str">
        <f t="shared" si="69"/>
        <v>Hot</v>
      </c>
      <c r="S1113" s="7" t="str">
        <f t="shared" si="70"/>
        <v>Normal Humidity</v>
      </c>
      <c r="T1113" s="7" t="str">
        <f t="shared" si="71"/>
        <v>Low Wind</v>
      </c>
    </row>
    <row r="1114" spans="1:20" x14ac:dyDescent="0.25">
      <c r="A1114" s="7" t="s">
        <v>1178</v>
      </c>
      <c r="B1114" s="10">
        <v>45846</v>
      </c>
      <c r="C1114" s="11" t="s">
        <v>64</v>
      </c>
      <c r="D1114" s="11" t="s">
        <v>36</v>
      </c>
      <c r="E1114" s="7" t="s">
        <v>61</v>
      </c>
      <c r="F1114" s="9">
        <v>28.8</v>
      </c>
      <c r="G1114" s="9">
        <v>145.5</v>
      </c>
      <c r="H1114" s="9">
        <v>34.1</v>
      </c>
      <c r="I1114" s="9">
        <v>15.5</v>
      </c>
      <c r="J1114" s="9">
        <v>0.56999999999999995</v>
      </c>
      <c r="K1114" s="9">
        <v>4.9000000000000004</v>
      </c>
      <c r="L1114" s="7">
        <v>28.9</v>
      </c>
      <c r="M1114" s="7">
        <v>49.4</v>
      </c>
      <c r="N1114" s="7">
        <v>1.7</v>
      </c>
      <c r="O1114" s="7">
        <v>195</v>
      </c>
      <c r="P1114" s="7" t="s">
        <v>33</v>
      </c>
      <c r="Q1114" s="7" t="str">
        <f t="shared" si="68"/>
        <v>Unhealthy</v>
      </c>
      <c r="R1114" s="7" t="str">
        <f t="shared" si="69"/>
        <v>Normal</v>
      </c>
      <c r="S1114" s="7" t="str">
        <f t="shared" si="70"/>
        <v>Normal Humidity</v>
      </c>
      <c r="T1114" s="7" t="str">
        <f t="shared" si="71"/>
        <v>Low Wind</v>
      </c>
    </row>
    <row r="1115" spans="1:20" x14ac:dyDescent="0.25">
      <c r="A1115" s="7" t="s">
        <v>1179</v>
      </c>
      <c r="B1115" s="10">
        <v>45788</v>
      </c>
      <c r="C1115" s="11" t="s">
        <v>77</v>
      </c>
      <c r="D1115" s="11" t="s">
        <v>39</v>
      </c>
      <c r="E1115" s="7" t="s">
        <v>55</v>
      </c>
      <c r="F1115" s="9">
        <v>36</v>
      </c>
      <c r="G1115" s="9">
        <v>101.3</v>
      </c>
      <c r="H1115" s="9">
        <v>39.700000000000003</v>
      </c>
      <c r="I1115" s="9">
        <v>10.3</v>
      </c>
      <c r="J1115" s="9">
        <v>0.46</v>
      </c>
      <c r="K1115" s="9">
        <v>26.9</v>
      </c>
      <c r="L1115" s="7">
        <v>37.700000000000003</v>
      </c>
      <c r="M1115" s="7">
        <v>46.1</v>
      </c>
      <c r="N1115" s="7">
        <v>2.7</v>
      </c>
      <c r="O1115" s="7">
        <v>186</v>
      </c>
      <c r="P1115" s="7" t="s">
        <v>33</v>
      </c>
      <c r="Q1115" s="7" t="str">
        <f t="shared" si="68"/>
        <v>Unhealthy</v>
      </c>
      <c r="R1115" s="7" t="str">
        <f t="shared" si="69"/>
        <v>Hot</v>
      </c>
      <c r="S1115" s="7" t="str">
        <f t="shared" si="70"/>
        <v>Normal Humidity</v>
      </c>
      <c r="T1115" s="7" t="str">
        <f t="shared" si="71"/>
        <v>Moderate Wind</v>
      </c>
    </row>
    <row r="1116" spans="1:20" x14ac:dyDescent="0.25">
      <c r="A1116" s="7" t="s">
        <v>1180</v>
      </c>
      <c r="B1116" s="10">
        <v>45720</v>
      </c>
      <c r="C1116" s="11" t="s">
        <v>35</v>
      </c>
      <c r="D1116" s="11" t="s">
        <v>36</v>
      </c>
      <c r="E1116" s="7" t="s">
        <v>55</v>
      </c>
      <c r="F1116" s="9">
        <v>60.7</v>
      </c>
      <c r="G1116" s="9">
        <v>124</v>
      </c>
      <c r="H1116" s="9">
        <v>23.5</v>
      </c>
      <c r="I1116" s="9">
        <v>14.1</v>
      </c>
      <c r="J1116" s="9">
        <v>0.71</v>
      </c>
      <c r="K1116" s="9">
        <v>34.9</v>
      </c>
      <c r="L1116" s="7">
        <v>32.5</v>
      </c>
      <c r="M1116" s="7">
        <v>72.599999999999994</v>
      </c>
      <c r="N1116" s="7">
        <v>0.1</v>
      </c>
      <c r="O1116" s="7">
        <v>240</v>
      </c>
      <c r="P1116" s="7" t="s">
        <v>28</v>
      </c>
      <c r="Q1116" s="7" t="str">
        <f t="shared" si="68"/>
        <v>Unhealthy</v>
      </c>
      <c r="R1116" s="7" t="str">
        <f t="shared" si="69"/>
        <v>Hot</v>
      </c>
      <c r="S1116" s="7" t="str">
        <f t="shared" si="70"/>
        <v>High Humidity</v>
      </c>
      <c r="T1116" s="7" t="str">
        <f t="shared" si="71"/>
        <v>Low Wind</v>
      </c>
    </row>
    <row r="1117" spans="1:20" x14ac:dyDescent="0.25">
      <c r="A1117" s="7" t="s">
        <v>1181</v>
      </c>
      <c r="B1117" s="10">
        <v>45706</v>
      </c>
      <c r="C1117" s="11" t="s">
        <v>93</v>
      </c>
      <c r="D1117" s="11" t="s">
        <v>36</v>
      </c>
      <c r="E1117" s="7" t="s">
        <v>19</v>
      </c>
      <c r="F1117" s="9">
        <v>43.5</v>
      </c>
      <c r="G1117" s="9">
        <v>81.5</v>
      </c>
      <c r="H1117" s="9">
        <v>21.4</v>
      </c>
      <c r="I1117" s="9">
        <v>12.6</v>
      </c>
      <c r="J1117" s="9">
        <v>0.98</v>
      </c>
      <c r="K1117" s="9">
        <v>50.5</v>
      </c>
      <c r="L1117" s="7">
        <v>25.8</v>
      </c>
      <c r="M1117" s="7">
        <v>60.2</v>
      </c>
      <c r="N1117" s="7">
        <v>1.9</v>
      </c>
      <c r="O1117" s="7">
        <v>196</v>
      </c>
      <c r="P1117" s="7" t="s">
        <v>33</v>
      </c>
      <c r="Q1117" s="7" t="str">
        <f t="shared" si="68"/>
        <v>Moderate</v>
      </c>
      <c r="R1117" s="7" t="str">
        <f t="shared" si="69"/>
        <v>Normal</v>
      </c>
      <c r="S1117" s="7" t="str">
        <f t="shared" si="70"/>
        <v>High Humidity</v>
      </c>
      <c r="T1117" s="7" t="str">
        <f t="shared" si="71"/>
        <v>Low Wind</v>
      </c>
    </row>
    <row r="1118" spans="1:20" x14ac:dyDescent="0.25">
      <c r="A1118" s="7" t="s">
        <v>1182</v>
      </c>
      <c r="B1118" s="10">
        <v>45903</v>
      </c>
      <c r="C1118" s="11" t="s">
        <v>54</v>
      </c>
      <c r="D1118" s="11" t="s">
        <v>18</v>
      </c>
      <c r="E1118" s="7" t="s">
        <v>97</v>
      </c>
      <c r="F1118" s="9">
        <v>79.3</v>
      </c>
      <c r="G1118" s="9">
        <v>126.8</v>
      </c>
      <c r="H1118" s="9">
        <v>66.2</v>
      </c>
      <c r="I1118" s="9">
        <v>16.7</v>
      </c>
      <c r="J1118" s="9">
        <v>0.5</v>
      </c>
      <c r="K1118" s="9">
        <v>43.3</v>
      </c>
      <c r="L1118" s="7">
        <v>27.9</v>
      </c>
      <c r="M1118" s="7">
        <v>58.4</v>
      </c>
      <c r="N1118" s="7">
        <v>3.2</v>
      </c>
      <c r="O1118" s="7">
        <v>306</v>
      </c>
      <c r="P1118" s="7" t="s">
        <v>20</v>
      </c>
      <c r="Q1118" s="7" t="str">
        <f t="shared" si="68"/>
        <v>Unhealthy</v>
      </c>
      <c r="R1118" s="7" t="str">
        <f t="shared" si="69"/>
        <v>Normal</v>
      </c>
      <c r="S1118" s="7" t="str">
        <f t="shared" si="70"/>
        <v>Normal Humidity</v>
      </c>
      <c r="T1118" s="7" t="str">
        <f t="shared" si="71"/>
        <v>Moderate Wind</v>
      </c>
    </row>
    <row r="1119" spans="1:20" x14ac:dyDescent="0.25">
      <c r="A1119" s="7" t="s">
        <v>1183</v>
      </c>
      <c r="B1119" s="10">
        <v>45997</v>
      </c>
      <c r="C1119" s="11" t="s">
        <v>81</v>
      </c>
      <c r="D1119" s="11" t="s">
        <v>39</v>
      </c>
      <c r="E1119" s="7" t="s">
        <v>97</v>
      </c>
      <c r="F1119" s="9">
        <v>78.3</v>
      </c>
      <c r="G1119" s="9">
        <v>19.3</v>
      </c>
      <c r="H1119" s="9">
        <v>37</v>
      </c>
      <c r="I1119" s="9">
        <v>21.4</v>
      </c>
      <c r="J1119" s="9">
        <v>2.42</v>
      </c>
      <c r="K1119" s="9">
        <v>54.3</v>
      </c>
      <c r="L1119" s="7">
        <v>31.9</v>
      </c>
      <c r="M1119" s="7">
        <v>61.9</v>
      </c>
      <c r="N1119" s="7">
        <v>1.5</v>
      </c>
      <c r="O1119" s="7">
        <v>267</v>
      </c>
      <c r="P1119" s="7" t="s">
        <v>28</v>
      </c>
      <c r="Q1119" s="7" t="str">
        <f t="shared" si="68"/>
        <v>Good</v>
      </c>
      <c r="R1119" s="7" t="str">
        <f t="shared" si="69"/>
        <v>Hot</v>
      </c>
      <c r="S1119" s="7" t="str">
        <f t="shared" si="70"/>
        <v>High Humidity</v>
      </c>
      <c r="T1119" s="7" t="str">
        <f t="shared" si="71"/>
        <v>Low Wind</v>
      </c>
    </row>
    <row r="1120" spans="1:20" x14ac:dyDescent="0.25">
      <c r="A1120" s="7" t="s">
        <v>1184</v>
      </c>
      <c r="B1120" s="10">
        <v>45897</v>
      </c>
      <c r="C1120" s="11" t="s">
        <v>38</v>
      </c>
      <c r="D1120" s="11" t="s">
        <v>39</v>
      </c>
      <c r="E1120" s="7" t="s">
        <v>74</v>
      </c>
      <c r="F1120" s="9">
        <v>41.7</v>
      </c>
      <c r="G1120" s="9">
        <v>106.7</v>
      </c>
      <c r="H1120" s="9">
        <v>19.100000000000001</v>
      </c>
      <c r="I1120" s="9">
        <v>11.6</v>
      </c>
      <c r="J1120" s="9">
        <v>1.04</v>
      </c>
      <c r="K1120" s="9">
        <v>30</v>
      </c>
      <c r="L1120" s="7">
        <v>31.7</v>
      </c>
      <c r="M1120" s="7">
        <v>51.9</v>
      </c>
      <c r="N1120" s="7">
        <v>0.1</v>
      </c>
      <c r="O1120" s="7">
        <v>199</v>
      </c>
      <c r="P1120" s="7" t="s">
        <v>33</v>
      </c>
      <c r="Q1120" s="7" t="str">
        <f t="shared" si="68"/>
        <v>Unhealthy</v>
      </c>
      <c r="R1120" s="7" t="str">
        <f t="shared" si="69"/>
        <v>Hot</v>
      </c>
      <c r="S1120" s="7" t="str">
        <f t="shared" si="70"/>
        <v>Normal Humidity</v>
      </c>
      <c r="T1120" s="7" t="str">
        <f t="shared" si="71"/>
        <v>Low Wind</v>
      </c>
    </row>
    <row r="1121" spans="1:20" x14ac:dyDescent="0.25">
      <c r="A1121" s="7" t="s">
        <v>1185</v>
      </c>
      <c r="B1121" s="10">
        <v>45772</v>
      </c>
      <c r="C1121" s="11" t="s">
        <v>81</v>
      </c>
      <c r="D1121" s="11" t="s">
        <v>39</v>
      </c>
      <c r="E1121" s="7" t="s">
        <v>70</v>
      </c>
      <c r="F1121" s="9">
        <v>29.2</v>
      </c>
      <c r="G1121" s="9">
        <v>34.6</v>
      </c>
      <c r="H1121" s="9">
        <v>43.9</v>
      </c>
      <c r="I1121" s="9">
        <v>10.9</v>
      </c>
      <c r="J1121" s="9">
        <v>0.28999999999999998</v>
      </c>
      <c r="K1121" s="9">
        <v>52.7</v>
      </c>
      <c r="L1121" s="7">
        <v>25.5</v>
      </c>
      <c r="M1121" s="7">
        <v>62.5</v>
      </c>
      <c r="N1121" s="7">
        <v>2.7</v>
      </c>
      <c r="O1121" s="7">
        <v>143</v>
      </c>
      <c r="P1121" s="7" t="s">
        <v>33</v>
      </c>
      <c r="Q1121" s="7" t="str">
        <f t="shared" si="68"/>
        <v>Good</v>
      </c>
      <c r="R1121" s="7" t="str">
        <f t="shared" si="69"/>
        <v>Normal</v>
      </c>
      <c r="S1121" s="7" t="str">
        <f t="shared" si="70"/>
        <v>High Humidity</v>
      </c>
      <c r="T1121" s="7" t="str">
        <f t="shared" si="71"/>
        <v>Moderate Wind</v>
      </c>
    </row>
    <row r="1122" spans="1:20" x14ac:dyDescent="0.25">
      <c r="A1122" s="7" t="s">
        <v>1186</v>
      </c>
      <c r="B1122" s="10">
        <v>45726</v>
      </c>
      <c r="C1122" s="11" t="s">
        <v>93</v>
      </c>
      <c r="D1122" s="11" t="s">
        <v>36</v>
      </c>
      <c r="E1122" s="7" t="s">
        <v>43</v>
      </c>
      <c r="F1122" s="9">
        <v>62.6</v>
      </c>
      <c r="G1122" s="9">
        <v>70.5</v>
      </c>
      <c r="H1122" s="9">
        <v>30.7</v>
      </c>
      <c r="I1122" s="9">
        <v>14.5</v>
      </c>
      <c r="J1122" s="9">
        <v>0.05</v>
      </c>
      <c r="K1122" s="9">
        <v>21</v>
      </c>
      <c r="L1122" s="7">
        <v>30.4</v>
      </c>
      <c r="M1122" s="7">
        <v>78.099999999999994</v>
      </c>
      <c r="N1122" s="7">
        <v>2.7</v>
      </c>
      <c r="O1122" s="7">
        <v>191</v>
      </c>
      <c r="P1122" s="7" t="s">
        <v>33</v>
      </c>
      <c r="Q1122" s="7" t="str">
        <f t="shared" si="68"/>
        <v>Moderate</v>
      </c>
      <c r="R1122" s="7" t="str">
        <f t="shared" si="69"/>
        <v>Hot</v>
      </c>
      <c r="S1122" s="7" t="str">
        <f t="shared" si="70"/>
        <v>High Humidity</v>
      </c>
      <c r="T1122" s="7" t="str">
        <f t="shared" si="71"/>
        <v>Moderate Wind</v>
      </c>
    </row>
    <row r="1123" spans="1:20" x14ac:dyDescent="0.25">
      <c r="A1123" s="7" t="s">
        <v>1187</v>
      </c>
      <c r="B1123" s="10">
        <v>45973</v>
      </c>
      <c r="C1123" s="11" t="s">
        <v>54</v>
      </c>
      <c r="D1123" s="11" t="s">
        <v>18</v>
      </c>
      <c r="E1123" s="7" t="s">
        <v>27</v>
      </c>
      <c r="F1123" s="9">
        <v>82.1</v>
      </c>
      <c r="G1123" s="9">
        <v>72.599999999999994</v>
      </c>
      <c r="H1123" s="9">
        <v>42.6</v>
      </c>
      <c r="I1123" s="9">
        <v>15</v>
      </c>
      <c r="J1123" s="9">
        <v>0.24</v>
      </c>
      <c r="K1123" s="9">
        <v>17.8</v>
      </c>
      <c r="L1123" s="7">
        <v>33.1</v>
      </c>
      <c r="M1123" s="7">
        <v>44.6</v>
      </c>
      <c r="N1123" s="7">
        <v>2.2999999999999998</v>
      </c>
      <c r="O1123" s="7">
        <v>237</v>
      </c>
      <c r="P1123" s="7" t="s">
        <v>28</v>
      </c>
      <c r="Q1123" s="7" t="str">
        <f t="shared" si="68"/>
        <v>Moderate</v>
      </c>
      <c r="R1123" s="7" t="str">
        <f t="shared" si="69"/>
        <v>Hot</v>
      </c>
      <c r="S1123" s="7" t="str">
        <f t="shared" si="70"/>
        <v>Normal Humidity</v>
      </c>
      <c r="T1123" s="7" t="str">
        <f t="shared" si="71"/>
        <v>Moderate Wind</v>
      </c>
    </row>
    <row r="1124" spans="1:20" x14ac:dyDescent="0.25">
      <c r="A1124" s="7" t="s">
        <v>1188</v>
      </c>
      <c r="B1124" s="10">
        <v>45673</v>
      </c>
      <c r="C1124" s="11" t="s">
        <v>77</v>
      </c>
      <c r="D1124" s="11" t="s">
        <v>39</v>
      </c>
      <c r="E1124" s="7" t="s">
        <v>61</v>
      </c>
      <c r="F1124" s="9">
        <v>52.9</v>
      </c>
      <c r="G1124" s="9">
        <v>119.4</v>
      </c>
      <c r="H1124" s="9">
        <v>16.399999999999999</v>
      </c>
      <c r="I1124" s="9">
        <v>4.4000000000000004</v>
      </c>
      <c r="J1124" s="9">
        <v>1.57</v>
      </c>
      <c r="K1124" s="9">
        <v>39.299999999999997</v>
      </c>
      <c r="L1124" s="7">
        <v>31.1</v>
      </c>
      <c r="M1124" s="7">
        <v>55.4</v>
      </c>
      <c r="N1124" s="7">
        <v>2.8</v>
      </c>
      <c r="O1124" s="7">
        <v>235</v>
      </c>
      <c r="P1124" s="7" t="s">
        <v>28</v>
      </c>
      <c r="Q1124" s="7" t="str">
        <f t="shared" si="68"/>
        <v>Unhealthy</v>
      </c>
      <c r="R1124" s="7" t="str">
        <f t="shared" si="69"/>
        <v>Hot</v>
      </c>
      <c r="S1124" s="7" t="str">
        <f t="shared" si="70"/>
        <v>Normal Humidity</v>
      </c>
      <c r="T1124" s="7" t="str">
        <f t="shared" si="71"/>
        <v>Moderate Wind</v>
      </c>
    </row>
    <row r="1125" spans="1:20" x14ac:dyDescent="0.25">
      <c r="A1125" s="7" t="s">
        <v>1189</v>
      </c>
      <c r="B1125" s="10">
        <v>46021</v>
      </c>
      <c r="C1125" s="11" t="s">
        <v>35</v>
      </c>
      <c r="D1125" s="11" t="s">
        <v>36</v>
      </c>
      <c r="E1125" s="7" t="s">
        <v>58</v>
      </c>
      <c r="F1125" s="9">
        <v>119.8</v>
      </c>
      <c r="G1125" s="9">
        <v>155.80000000000001</v>
      </c>
      <c r="H1125" s="9">
        <v>25</v>
      </c>
      <c r="I1125" s="9">
        <v>40.9</v>
      </c>
      <c r="J1125" s="9">
        <v>1.29</v>
      </c>
      <c r="K1125" s="9">
        <v>17.600000000000001</v>
      </c>
      <c r="L1125" s="7">
        <v>22.5</v>
      </c>
      <c r="M1125" s="7">
        <v>65.2</v>
      </c>
      <c r="N1125" s="7">
        <v>1.9</v>
      </c>
      <c r="O1125" s="7">
        <v>382</v>
      </c>
      <c r="P1125" s="7" t="s">
        <v>20</v>
      </c>
      <c r="Q1125" s="7" t="str">
        <f t="shared" si="68"/>
        <v>VeryUnhealthy</v>
      </c>
      <c r="R1125" s="7" t="str">
        <f t="shared" si="69"/>
        <v>Normal</v>
      </c>
      <c r="S1125" s="7" t="str">
        <f t="shared" si="70"/>
        <v>High Humidity</v>
      </c>
      <c r="T1125" s="7" t="str">
        <f t="shared" si="71"/>
        <v>Low Wind</v>
      </c>
    </row>
    <row r="1126" spans="1:20" x14ac:dyDescent="0.25">
      <c r="A1126" s="7" t="s">
        <v>1190</v>
      </c>
      <c r="B1126" s="10">
        <v>45722</v>
      </c>
      <c r="C1126" s="11" t="s">
        <v>77</v>
      </c>
      <c r="D1126" s="11" t="s">
        <v>39</v>
      </c>
      <c r="E1126" s="7" t="s">
        <v>19</v>
      </c>
      <c r="F1126" s="9">
        <v>53.9</v>
      </c>
      <c r="G1126" s="9">
        <v>118.7</v>
      </c>
      <c r="H1126" s="9">
        <v>4.5999999999999996</v>
      </c>
      <c r="I1126" s="9">
        <v>5</v>
      </c>
      <c r="J1126" s="9">
        <v>1.43</v>
      </c>
      <c r="K1126" s="9">
        <v>93.9</v>
      </c>
      <c r="L1126" s="7">
        <v>22.1</v>
      </c>
      <c r="M1126" s="7">
        <v>41.5</v>
      </c>
      <c r="N1126" s="7">
        <v>3.4</v>
      </c>
      <c r="O1126" s="7">
        <v>249</v>
      </c>
      <c r="P1126" s="7" t="s">
        <v>28</v>
      </c>
      <c r="Q1126" s="7" t="str">
        <f t="shared" si="68"/>
        <v>Unhealthy</v>
      </c>
      <c r="R1126" s="7" t="str">
        <f t="shared" si="69"/>
        <v>Normal</v>
      </c>
      <c r="S1126" s="7" t="str">
        <f t="shared" si="70"/>
        <v>Normal Humidity</v>
      </c>
      <c r="T1126" s="7" t="str">
        <f t="shared" si="71"/>
        <v>Moderate Wind</v>
      </c>
    </row>
    <row r="1127" spans="1:20" x14ac:dyDescent="0.25">
      <c r="A1127" s="7" t="s">
        <v>1191</v>
      </c>
      <c r="B1127" s="10">
        <v>45884</v>
      </c>
      <c r="C1127" s="11" t="s">
        <v>93</v>
      </c>
      <c r="D1127" s="11" t="s">
        <v>36</v>
      </c>
      <c r="E1127" s="7" t="s">
        <v>45</v>
      </c>
      <c r="F1127" s="9">
        <v>23</v>
      </c>
      <c r="G1127" s="9">
        <v>247.3</v>
      </c>
      <c r="H1127" s="9">
        <v>18.7</v>
      </c>
      <c r="I1127" s="9">
        <v>5.3</v>
      </c>
      <c r="J1127" s="9">
        <v>0.4</v>
      </c>
      <c r="K1127" s="9">
        <v>66.8</v>
      </c>
      <c r="L1127" s="7">
        <v>26.6</v>
      </c>
      <c r="M1127" s="7">
        <v>65.7</v>
      </c>
      <c r="N1127" s="7">
        <v>3.9</v>
      </c>
      <c r="O1127" s="7">
        <v>256</v>
      </c>
      <c r="P1127" s="7" t="s">
        <v>28</v>
      </c>
      <c r="Q1127" s="7" t="str">
        <f t="shared" si="68"/>
        <v>VeryUnhealthy</v>
      </c>
      <c r="R1127" s="7" t="str">
        <f t="shared" si="69"/>
        <v>Normal</v>
      </c>
      <c r="S1127" s="7" t="str">
        <f t="shared" si="70"/>
        <v>High Humidity</v>
      </c>
      <c r="T1127" s="7" t="str">
        <f t="shared" si="71"/>
        <v>Moderate Wind</v>
      </c>
    </row>
    <row r="1128" spans="1:20" x14ac:dyDescent="0.25">
      <c r="A1128" s="7" t="s">
        <v>1192</v>
      </c>
      <c r="B1128" s="10">
        <v>45964</v>
      </c>
      <c r="C1128" s="11" t="s">
        <v>38</v>
      </c>
      <c r="D1128" s="11" t="s">
        <v>39</v>
      </c>
      <c r="E1128" s="7" t="s">
        <v>24</v>
      </c>
      <c r="F1128" s="9">
        <v>45.5</v>
      </c>
      <c r="G1128" s="9">
        <v>137.80000000000001</v>
      </c>
      <c r="H1128" s="9">
        <v>88.6</v>
      </c>
      <c r="I1128" s="9">
        <v>19</v>
      </c>
      <c r="J1128" s="9">
        <v>0.6</v>
      </c>
      <c r="K1128" s="9">
        <v>56.8</v>
      </c>
      <c r="L1128" s="7">
        <v>20.3</v>
      </c>
      <c r="M1128" s="7">
        <v>74.5</v>
      </c>
      <c r="N1128" s="7">
        <v>3.1</v>
      </c>
      <c r="O1128" s="7">
        <v>287</v>
      </c>
      <c r="P1128" s="7" t="s">
        <v>28</v>
      </c>
      <c r="Q1128" s="7" t="str">
        <f t="shared" si="68"/>
        <v>Unhealthy</v>
      </c>
      <c r="R1128" s="7" t="str">
        <f t="shared" si="69"/>
        <v>Normal</v>
      </c>
      <c r="S1128" s="7" t="str">
        <f t="shared" si="70"/>
        <v>High Humidity</v>
      </c>
      <c r="T1128" s="7" t="str">
        <f t="shared" si="71"/>
        <v>Moderate Wind</v>
      </c>
    </row>
    <row r="1129" spans="1:20" x14ac:dyDescent="0.25">
      <c r="A1129" s="7" t="s">
        <v>1193</v>
      </c>
      <c r="B1129" s="10">
        <v>45762</v>
      </c>
      <c r="C1129" s="11" t="s">
        <v>52</v>
      </c>
      <c r="D1129" s="11" t="s">
        <v>31</v>
      </c>
      <c r="E1129" s="7" t="s">
        <v>61</v>
      </c>
      <c r="F1129" s="9">
        <v>39.1</v>
      </c>
      <c r="G1129" s="9">
        <v>76.7</v>
      </c>
      <c r="H1129" s="9">
        <v>48.6</v>
      </c>
      <c r="I1129" s="9">
        <v>15.4</v>
      </c>
      <c r="J1129" s="9">
        <v>0.44</v>
      </c>
      <c r="K1129" s="9">
        <v>17.399999999999999</v>
      </c>
      <c r="L1129" s="7">
        <v>32.1</v>
      </c>
      <c r="M1129" s="7">
        <v>53.8</v>
      </c>
      <c r="N1129" s="7">
        <v>1.7</v>
      </c>
      <c r="O1129" s="7">
        <v>181</v>
      </c>
      <c r="P1129" s="7" t="s">
        <v>33</v>
      </c>
      <c r="Q1129" s="7" t="str">
        <f t="shared" si="68"/>
        <v>Moderate</v>
      </c>
      <c r="R1129" s="7" t="str">
        <f t="shared" si="69"/>
        <v>Hot</v>
      </c>
      <c r="S1129" s="7" t="str">
        <f t="shared" si="70"/>
        <v>Normal Humidity</v>
      </c>
      <c r="T1129" s="7" t="str">
        <f t="shared" si="71"/>
        <v>Low Wind</v>
      </c>
    </row>
    <row r="1130" spans="1:20" x14ac:dyDescent="0.25">
      <c r="A1130" s="7" t="s">
        <v>1194</v>
      </c>
      <c r="B1130" s="10">
        <v>45682</v>
      </c>
      <c r="C1130" s="11" t="s">
        <v>17</v>
      </c>
      <c r="D1130" s="11" t="s">
        <v>18</v>
      </c>
      <c r="E1130" s="7" t="s">
        <v>40</v>
      </c>
      <c r="F1130" s="9">
        <v>24.3</v>
      </c>
      <c r="G1130" s="9">
        <v>41.6</v>
      </c>
      <c r="H1130" s="9">
        <v>14.5</v>
      </c>
      <c r="I1130" s="9">
        <v>9.1999999999999993</v>
      </c>
      <c r="J1130" s="9">
        <v>0.51</v>
      </c>
      <c r="K1130" s="9">
        <v>67.900000000000006</v>
      </c>
      <c r="L1130" s="7">
        <v>30.3</v>
      </c>
      <c r="M1130" s="7">
        <v>98</v>
      </c>
      <c r="N1130" s="7">
        <v>3.1</v>
      </c>
      <c r="O1130" s="7">
        <v>127</v>
      </c>
      <c r="P1130" s="7" t="s">
        <v>33</v>
      </c>
      <c r="Q1130" s="7" t="str">
        <f t="shared" si="68"/>
        <v>Good</v>
      </c>
      <c r="R1130" s="7" t="str">
        <f t="shared" si="69"/>
        <v>Hot</v>
      </c>
      <c r="S1130" s="7" t="str">
        <f t="shared" si="70"/>
        <v>High Humidity</v>
      </c>
      <c r="T1130" s="7" t="str">
        <f t="shared" si="71"/>
        <v>Moderate Wind</v>
      </c>
    </row>
    <row r="1131" spans="1:20" x14ac:dyDescent="0.25">
      <c r="A1131" s="7" t="s">
        <v>1195</v>
      </c>
      <c r="B1131" s="10">
        <v>45900</v>
      </c>
      <c r="C1131" s="11" t="s">
        <v>99</v>
      </c>
      <c r="D1131" s="11" t="s">
        <v>36</v>
      </c>
      <c r="E1131" s="7" t="s">
        <v>55</v>
      </c>
      <c r="F1131" s="9">
        <v>38.9</v>
      </c>
      <c r="G1131" s="9">
        <v>171.5</v>
      </c>
      <c r="H1131" s="9">
        <v>30</v>
      </c>
      <c r="I1131" s="9">
        <v>4.5</v>
      </c>
      <c r="J1131" s="9">
        <v>1.35</v>
      </c>
      <c r="K1131" s="9">
        <v>40.4</v>
      </c>
      <c r="L1131" s="7">
        <v>38.6</v>
      </c>
      <c r="M1131" s="7">
        <v>76.900000000000006</v>
      </c>
      <c r="N1131" s="7">
        <v>1.4</v>
      </c>
      <c r="O1131" s="7">
        <v>253</v>
      </c>
      <c r="P1131" s="7" t="s">
        <v>28</v>
      </c>
      <c r="Q1131" s="7" t="str">
        <f t="shared" si="68"/>
        <v>VeryUnhealthy</v>
      </c>
      <c r="R1131" s="7" t="str">
        <f t="shared" si="69"/>
        <v>Hot</v>
      </c>
      <c r="S1131" s="7" t="str">
        <f t="shared" si="70"/>
        <v>High Humidity</v>
      </c>
      <c r="T1131" s="7" t="str">
        <f t="shared" si="71"/>
        <v>Low Wind</v>
      </c>
    </row>
    <row r="1132" spans="1:20" x14ac:dyDescent="0.25">
      <c r="A1132" s="7" t="s">
        <v>1196</v>
      </c>
      <c r="B1132" s="10">
        <v>45986</v>
      </c>
      <c r="C1132" s="11" t="s">
        <v>52</v>
      </c>
      <c r="D1132" s="11" t="s">
        <v>31</v>
      </c>
      <c r="E1132" s="7" t="s">
        <v>97</v>
      </c>
      <c r="F1132" s="9">
        <v>25.3</v>
      </c>
      <c r="G1132" s="9">
        <v>52.8</v>
      </c>
      <c r="H1132" s="9">
        <v>100.2</v>
      </c>
      <c r="I1132" s="9">
        <v>31.4</v>
      </c>
      <c r="J1132" s="9">
        <v>1.4</v>
      </c>
      <c r="K1132" s="9">
        <v>48.5</v>
      </c>
      <c r="L1132" s="7">
        <v>22.4</v>
      </c>
      <c r="M1132" s="7">
        <v>56.5</v>
      </c>
      <c r="N1132" s="7">
        <v>2.1</v>
      </c>
      <c r="O1132" s="7">
        <v>234</v>
      </c>
      <c r="P1132" s="7" t="s">
        <v>28</v>
      </c>
      <c r="Q1132" s="7" t="str">
        <f t="shared" si="68"/>
        <v>Moderate</v>
      </c>
      <c r="R1132" s="7" t="str">
        <f t="shared" si="69"/>
        <v>Normal</v>
      </c>
      <c r="S1132" s="7" t="str">
        <f t="shared" si="70"/>
        <v>Normal Humidity</v>
      </c>
      <c r="T1132" s="7" t="str">
        <f t="shared" si="71"/>
        <v>Moderate Wind</v>
      </c>
    </row>
    <row r="1133" spans="1:20" x14ac:dyDescent="0.25">
      <c r="A1133" s="7" t="s">
        <v>1197</v>
      </c>
      <c r="B1133" s="10">
        <v>45966</v>
      </c>
      <c r="C1133" s="11" t="s">
        <v>38</v>
      </c>
      <c r="D1133" s="11" t="s">
        <v>39</v>
      </c>
      <c r="E1133" s="7" t="s">
        <v>74</v>
      </c>
      <c r="F1133" s="9">
        <v>67.400000000000006</v>
      </c>
      <c r="G1133" s="9">
        <v>105.7</v>
      </c>
      <c r="H1133" s="9">
        <v>12.6</v>
      </c>
      <c r="I1133" s="9">
        <v>2.2000000000000002</v>
      </c>
      <c r="J1133" s="9">
        <v>0.24</v>
      </c>
      <c r="K1133" s="9">
        <v>66.599999999999994</v>
      </c>
      <c r="L1133" s="7">
        <v>26.5</v>
      </c>
      <c r="M1133" s="7">
        <v>71.099999999999994</v>
      </c>
      <c r="N1133" s="7">
        <v>2.5</v>
      </c>
      <c r="O1133" s="7">
        <v>224</v>
      </c>
      <c r="P1133" s="7" t="s">
        <v>28</v>
      </c>
      <c r="Q1133" s="7" t="str">
        <f t="shared" si="68"/>
        <v>Unhealthy</v>
      </c>
      <c r="R1133" s="7" t="str">
        <f t="shared" si="69"/>
        <v>Normal</v>
      </c>
      <c r="S1133" s="7" t="str">
        <f t="shared" si="70"/>
        <v>High Humidity</v>
      </c>
      <c r="T1133" s="7" t="str">
        <f t="shared" si="71"/>
        <v>Moderate Wind</v>
      </c>
    </row>
    <row r="1134" spans="1:20" x14ac:dyDescent="0.25">
      <c r="A1134" s="7" t="s">
        <v>1198</v>
      </c>
      <c r="B1134" s="10">
        <v>45812</v>
      </c>
      <c r="C1134" s="11" t="s">
        <v>42</v>
      </c>
      <c r="D1134" s="11" t="s">
        <v>23</v>
      </c>
      <c r="E1134" s="7" t="s">
        <v>58</v>
      </c>
      <c r="F1134" s="9">
        <v>83.7</v>
      </c>
      <c r="G1134" s="9">
        <v>84.5</v>
      </c>
      <c r="H1134" s="9">
        <v>13.6</v>
      </c>
      <c r="I1134" s="9">
        <v>8.9</v>
      </c>
      <c r="J1134" s="9">
        <v>0.17</v>
      </c>
      <c r="K1134" s="9">
        <v>14.3</v>
      </c>
      <c r="L1134" s="7">
        <v>29.9</v>
      </c>
      <c r="M1134" s="7">
        <v>61</v>
      </c>
      <c r="N1134" s="7">
        <v>2.7</v>
      </c>
      <c r="O1134" s="7">
        <v>217</v>
      </c>
      <c r="P1134" s="7" t="s">
        <v>28</v>
      </c>
      <c r="Q1134" s="7" t="str">
        <f t="shared" si="68"/>
        <v>Moderate</v>
      </c>
      <c r="R1134" s="7" t="str">
        <f t="shared" si="69"/>
        <v>Normal</v>
      </c>
      <c r="S1134" s="7" t="str">
        <f t="shared" si="70"/>
        <v>High Humidity</v>
      </c>
      <c r="T1134" s="7" t="str">
        <f t="shared" si="71"/>
        <v>Moderate Wind</v>
      </c>
    </row>
    <row r="1135" spans="1:20" x14ac:dyDescent="0.25">
      <c r="A1135" s="7" t="s">
        <v>1199</v>
      </c>
      <c r="B1135" s="10">
        <v>45720</v>
      </c>
      <c r="C1135" s="11" t="s">
        <v>67</v>
      </c>
      <c r="D1135" s="11" t="s">
        <v>18</v>
      </c>
      <c r="E1135" s="7" t="s">
        <v>70</v>
      </c>
      <c r="F1135" s="9">
        <v>54.8</v>
      </c>
      <c r="G1135" s="9">
        <v>53.5</v>
      </c>
      <c r="H1135" s="9">
        <v>3.1</v>
      </c>
      <c r="I1135" s="9">
        <v>20.3</v>
      </c>
      <c r="J1135" s="9">
        <v>2.21</v>
      </c>
      <c r="K1135" s="9">
        <v>12.3</v>
      </c>
      <c r="L1135" s="7">
        <v>11.2</v>
      </c>
      <c r="M1135" s="7">
        <v>48.8</v>
      </c>
      <c r="N1135" s="7">
        <v>3.3</v>
      </c>
      <c r="O1135" s="7">
        <v>200</v>
      </c>
      <c r="P1135" s="7" t="s">
        <v>33</v>
      </c>
      <c r="Q1135" s="7" t="str">
        <f t="shared" si="68"/>
        <v>Moderate</v>
      </c>
      <c r="R1135" s="7" t="str">
        <f t="shared" si="69"/>
        <v>Cool</v>
      </c>
      <c r="S1135" s="7" t="str">
        <f t="shared" si="70"/>
        <v>Normal Humidity</v>
      </c>
      <c r="T1135" s="7" t="str">
        <f t="shared" si="71"/>
        <v>Moderate Wind</v>
      </c>
    </row>
    <row r="1136" spans="1:20" x14ac:dyDescent="0.25">
      <c r="A1136" s="7" t="s">
        <v>1200</v>
      </c>
      <c r="B1136" s="10">
        <v>45728</v>
      </c>
      <c r="C1136" s="11" t="s">
        <v>17</v>
      </c>
      <c r="D1136" s="11" t="s">
        <v>18</v>
      </c>
      <c r="E1136" s="7" t="s">
        <v>27</v>
      </c>
      <c r="F1136" s="9">
        <v>39.9</v>
      </c>
      <c r="G1136" s="9">
        <v>90.1</v>
      </c>
      <c r="H1136" s="9">
        <v>22.8</v>
      </c>
      <c r="I1136" s="9">
        <v>22.1</v>
      </c>
      <c r="J1136" s="9">
        <v>0.77</v>
      </c>
      <c r="K1136" s="9">
        <v>22.8</v>
      </c>
      <c r="L1136" s="7">
        <v>23.7</v>
      </c>
      <c r="M1136" s="7">
        <v>41.7</v>
      </c>
      <c r="N1136" s="7">
        <v>1.9</v>
      </c>
      <c r="O1136" s="7">
        <v>186</v>
      </c>
      <c r="P1136" s="7" t="s">
        <v>33</v>
      </c>
      <c r="Q1136" s="7" t="str">
        <f t="shared" si="68"/>
        <v>Moderate</v>
      </c>
      <c r="R1136" s="7" t="str">
        <f t="shared" si="69"/>
        <v>Normal</v>
      </c>
      <c r="S1136" s="7" t="str">
        <f t="shared" si="70"/>
        <v>Normal Humidity</v>
      </c>
      <c r="T1136" s="7" t="str">
        <f t="shared" si="71"/>
        <v>Low Wind</v>
      </c>
    </row>
    <row r="1137" spans="1:20" x14ac:dyDescent="0.25">
      <c r="A1137" s="7" t="s">
        <v>1201</v>
      </c>
      <c r="B1137" s="10">
        <v>45978</v>
      </c>
      <c r="C1137" s="11" t="s">
        <v>30</v>
      </c>
      <c r="D1137" s="11" t="s">
        <v>31</v>
      </c>
      <c r="E1137" s="7" t="s">
        <v>27</v>
      </c>
      <c r="F1137" s="9">
        <v>48.6</v>
      </c>
      <c r="G1137" s="9">
        <v>128.9</v>
      </c>
      <c r="H1137" s="9">
        <v>48.5</v>
      </c>
      <c r="I1137" s="9">
        <v>10.9</v>
      </c>
      <c r="J1137" s="9">
        <v>2.33</v>
      </c>
      <c r="K1137" s="9">
        <v>8.6999999999999993</v>
      </c>
      <c r="L1137" s="7">
        <v>22.4</v>
      </c>
      <c r="M1137" s="7">
        <v>58.6</v>
      </c>
      <c r="N1137" s="7">
        <v>2.4</v>
      </c>
      <c r="O1137" s="7">
        <v>270</v>
      </c>
      <c r="P1137" s="7" t="s">
        <v>28</v>
      </c>
      <c r="Q1137" s="7" t="str">
        <f t="shared" si="68"/>
        <v>Unhealthy</v>
      </c>
      <c r="R1137" s="7" t="str">
        <f t="shared" si="69"/>
        <v>Normal</v>
      </c>
      <c r="S1137" s="7" t="str">
        <f t="shared" si="70"/>
        <v>Normal Humidity</v>
      </c>
      <c r="T1137" s="7" t="str">
        <f t="shared" si="71"/>
        <v>Moderate Wind</v>
      </c>
    </row>
    <row r="1138" spans="1:20" x14ac:dyDescent="0.25">
      <c r="A1138" s="7" t="s">
        <v>1202</v>
      </c>
      <c r="B1138" s="10">
        <v>45851</v>
      </c>
      <c r="C1138" s="11" t="s">
        <v>26</v>
      </c>
      <c r="D1138" s="11" t="s">
        <v>23</v>
      </c>
      <c r="E1138" s="7" t="s">
        <v>32</v>
      </c>
      <c r="F1138" s="9">
        <v>107.5</v>
      </c>
      <c r="G1138" s="9">
        <v>144.1</v>
      </c>
      <c r="H1138" s="9">
        <v>26</v>
      </c>
      <c r="I1138" s="9">
        <v>13.6</v>
      </c>
      <c r="J1138" s="9">
        <v>0.98</v>
      </c>
      <c r="K1138" s="9">
        <v>20.6</v>
      </c>
      <c r="L1138" s="7">
        <v>36.299999999999997</v>
      </c>
      <c r="M1138" s="7">
        <v>62</v>
      </c>
      <c r="N1138" s="7">
        <v>2.5</v>
      </c>
      <c r="O1138" s="7">
        <v>330</v>
      </c>
      <c r="P1138" s="7" t="s">
        <v>20</v>
      </c>
      <c r="Q1138" s="7" t="str">
        <f t="shared" si="68"/>
        <v>Unhealthy</v>
      </c>
      <c r="R1138" s="7" t="str">
        <f t="shared" si="69"/>
        <v>Hot</v>
      </c>
      <c r="S1138" s="7" t="str">
        <f t="shared" si="70"/>
        <v>High Humidity</v>
      </c>
      <c r="T1138" s="7" t="str">
        <f t="shared" si="71"/>
        <v>Moderate Wind</v>
      </c>
    </row>
    <row r="1139" spans="1:20" x14ac:dyDescent="0.25">
      <c r="A1139" s="7" t="s">
        <v>1203</v>
      </c>
      <c r="B1139" s="10">
        <v>45920</v>
      </c>
      <c r="C1139" s="11" t="s">
        <v>30</v>
      </c>
      <c r="D1139" s="11" t="s">
        <v>31</v>
      </c>
      <c r="E1139" s="7" t="s">
        <v>24</v>
      </c>
      <c r="F1139" s="9">
        <v>20.6</v>
      </c>
      <c r="G1139" s="9">
        <v>115.2</v>
      </c>
      <c r="H1139" s="9">
        <v>13.7</v>
      </c>
      <c r="I1139" s="9">
        <v>7.4</v>
      </c>
      <c r="J1139" s="9">
        <v>0.99</v>
      </c>
      <c r="K1139" s="9">
        <v>15.7</v>
      </c>
      <c r="L1139" s="7">
        <v>27.6</v>
      </c>
      <c r="M1139" s="7">
        <v>52.1</v>
      </c>
      <c r="N1139" s="7">
        <v>3.1</v>
      </c>
      <c r="O1139" s="7">
        <v>156</v>
      </c>
      <c r="P1139" s="7" t="s">
        <v>33</v>
      </c>
      <c r="Q1139" s="7" t="str">
        <f t="shared" si="68"/>
        <v>Unhealthy</v>
      </c>
      <c r="R1139" s="7" t="str">
        <f t="shared" si="69"/>
        <v>Normal</v>
      </c>
      <c r="S1139" s="7" t="str">
        <f t="shared" si="70"/>
        <v>Normal Humidity</v>
      </c>
      <c r="T1139" s="7" t="str">
        <f t="shared" si="71"/>
        <v>Moderate Wind</v>
      </c>
    </row>
    <row r="1140" spans="1:20" x14ac:dyDescent="0.25">
      <c r="A1140" s="7" t="s">
        <v>1204</v>
      </c>
      <c r="B1140" s="10">
        <v>45952</v>
      </c>
      <c r="C1140" s="11" t="s">
        <v>93</v>
      </c>
      <c r="D1140" s="11" t="s">
        <v>36</v>
      </c>
      <c r="E1140" s="7" t="s">
        <v>24</v>
      </c>
      <c r="F1140" s="9">
        <v>31.3</v>
      </c>
      <c r="G1140" s="9">
        <v>105.5</v>
      </c>
      <c r="H1140" s="9">
        <v>20</v>
      </c>
      <c r="I1140" s="9">
        <v>31</v>
      </c>
      <c r="J1140" s="9">
        <v>0.35</v>
      </c>
      <c r="K1140" s="9">
        <v>21.8</v>
      </c>
      <c r="L1140" s="7">
        <v>24.5</v>
      </c>
      <c r="M1140" s="7">
        <v>79.400000000000006</v>
      </c>
      <c r="N1140" s="7">
        <v>1</v>
      </c>
      <c r="O1140" s="7">
        <v>175</v>
      </c>
      <c r="P1140" s="7" t="s">
        <v>33</v>
      </c>
      <c r="Q1140" s="7" t="str">
        <f t="shared" si="68"/>
        <v>Unhealthy</v>
      </c>
      <c r="R1140" s="7" t="str">
        <f t="shared" si="69"/>
        <v>Normal</v>
      </c>
      <c r="S1140" s="7" t="str">
        <f t="shared" si="70"/>
        <v>High Humidity</v>
      </c>
      <c r="T1140" s="7" t="str">
        <f t="shared" si="71"/>
        <v>Low Wind</v>
      </c>
    </row>
    <row r="1141" spans="1:20" x14ac:dyDescent="0.25">
      <c r="A1141" s="7" t="s">
        <v>1206</v>
      </c>
      <c r="B1141" s="10">
        <v>45994</v>
      </c>
      <c r="C1141" s="11" t="s">
        <v>54</v>
      </c>
      <c r="D1141" s="11" t="s">
        <v>18</v>
      </c>
      <c r="E1141" s="7" t="s">
        <v>43</v>
      </c>
      <c r="F1141" s="9">
        <v>28.6</v>
      </c>
      <c r="G1141" s="9">
        <v>38.5</v>
      </c>
      <c r="H1141" s="9">
        <v>21.7</v>
      </c>
      <c r="I1141" s="9">
        <v>7</v>
      </c>
      <c r="J1141" s="9">
        <v>1.2</v>
      </c>
      <c r="K1141" s="9">
        <v>63.3</v>
      </c>
      <c r="L1141" s="7">
        <v>19.399999999999999</v>
      </c>
      <c r="M1141" s="7">
        <v>54.5</v>
      </c>
      <c r="N1141" s="7">
        <v>0.9</v>
      </c>
      <c r="O1141" s="7">
        <v>152</v>
      </c>
      <c r="P1141" s="7" t="s">
        <v>33</v>
      </c>
      <c r="Q1141" s="7" t="str">
        <f t="shared" si="68"/>
        <v>Good</v>
      </c>
      <c r="R1141" s="7" t="str">
        <f t="shared" si="69"/>
        <v>Cool</v>
      </c>
      <c r="S1141" s="7" t="str">
        <f t="shared" si="70"/>
        <v>Normal Humidity</v>
      </c>
      <c r="T1141" s="7" t="str">
        <f t="shared" si="71"/>
        <v>Low Wind</v>
      </c>
    </row>
    <row r="1142" spans="1:20" x14ac:dyDescent="0.25">
      <c r="A1142" s="7" t="s">
        <v>1207</v>
      </c>
      <c r="B1142" s="10">
        <v>45761</v>
      </c>
      <c r="C1142" s="11" t="s">
        <v>42</v>
      </c>
      <c r="D1142" s="11" t="s">
        <v>23</v>
      </c>
      <c r="E1142" s="7" t="s">
        <v>70</v>
      </c>
      <c r="F1142" s="9">
        <v>61.9</v>
      </c>
      <c r="G1142" s="9">
        <v>106.3</v>
      </c>
      <c r="H1142" s="9">
        <v>55.2</v>
      </c>
      <c r="I1142" s="9">
        <v>5.6</v>
      </c>
      <c r="J1142" s="9">
        <v>0.27</v>
      </c>
      <c r="K1142" s="9">
        <v>64.3</v>
      </c>
      <c r="L1142" s="7">
        <v>36.5</v>
      </c>
      <c r="M1142" s="7">
        <v>65.3</v>
      </c>
      <c r="N1142" s="7">
        <v>3.1</v>
      </c>
      <c r="O1142" s="7">
        <v>252</v>
      </c>
      <c r="P1142" s="7" t="s">
        <v>28</v>
      </c>
      <c r="Q1142" s="7" t="str">
        <f t="shared" si="68"/>
        <v>Unhealthy</v>
      </c>
      <c r="R1142" s="7" t="str">
        <f t="shared" si="69"/>
        <v>Hot</v>
      </c>
      <c r="S1142" s="7" t="str">
        <f t="shared" si="70"/>
        <v>High Humidity</v>
      </c>
      <c r="T1142" s="7" t="str">
        <f t="shared" si="71"/>
        <v>Moderate Wind</v>
      </c>
    </row>
    <row r="1143" spans="1:20" x14ac:dyDescent="0.25">
      <c r="A1143" s="7" t="s">
        <v>1208</v>
      </c>
      <c r="B1143" s="10">
        <v>45784</v>
      </c>
      <c r="C1143" s="11" t="s">
        <v>52</v>
      </c>
      <c r="D1143" s="11" t="s">
        <v>31</v>
      </c>
      <c r="E1143" s="7" t="s">
        <v>58</v>
      </c>
      <c r="F1143" s="9">
        <v>54</v>
      </c>
      <c r="G1143" s="9">
        <v>141.80000000000001</v>
      </c>
      <c r="H1143" s="9">
        <v>46.5</v>
      </c>
      <c r="I1143" s="9">
        <v>11.2</v>
      </c>
      <c r="J1143" s="9">
        <v>1.1399999999999999</v>
      </c>
      <c r="K1143" s="9">
        <v>32.1</v>
      </c>
      <c r="L1143" s="7">
        <v>19.3</v>
      </c>
      <c r="M1143" s="7">
        <v>34.700000000000003</v>
      </c>
      <c r="N1143" s="7">
        <v>2.2000000000000002</v>
      </c>
      <c r="O1143" s="7">
        <v>267</v>
      </c>
      <c r="P1143" s="7" t="s">
        <v>28</v>
      </c>
      <c r="Q1143" s="7" t="str">
        <f t="shared" si="68"/>
        <v>Unhealthy</v>
      </c>
      <c r="R1143" s="7" t="str">
        <f t="shared" si="69"/>
        <v>Cool</v>
      </c>
      <c r="S1143" s="7" t="str">
        <f t="shared" si="70"/>
        <v>Normal Humidity</v>
      </c>
      <c r="T1143" s="7" t="str">
        <f t="shared" si="71"/>
        <v>Moderate Wind</v>
      </c>
    </row>
    <row r="1144" spans="1:20" x14ac:dyDescent="0.25">
      <c r="A1144" s="7" t="s">
        <v>1209</v>
      </c>
      <c r="B1144" s="10">
        <v>45877</v>
      </c>
      <c r="C1144" s="11" t="s">
        <v>99</v>
      </c>
      <c r="D1144" s="11" t="s">
        <v>36</v>
      </c>
      <c r="E1144" s="7" t="s">
        <v>40</v>
      </c>
      <c r="F1144" s="9">
        <v>22.8</v>
      </c>
      <c r="G1144" s="9">
        <v>87.1</v>
      </c>
      <c r="H1144" s="9">
        <v>24.9</v>
      </c>
      <c r="I1144" s="9">
        <v>21.8</v>
      </c>
      <c r="J1144" s="9">
        <v>0.19</v>
      </c>
      <c r="K1144" s="9">
        <v>33.799999999999997</v>
      </c>
      <c r="L1144" s="7">
        <v>22.5</v>
      </c>
      <c r="M1144" s="7">
        <v>54.6</v>
      </c>
      <c r="N1144" s="7">
        <v>2</v>
      </c>
      <c r="O1144" s="7">
        <v>148</v>
      </c>
      <c r="P1144" s="7" t="s">
        <v>33</v>
      </c>
      <c r="Q1144" s="7" t="str">
        <f t="shared" si="68"/>
        <v>Moderate</v>
      </c>
      <c r="R1144" s="7" t="str">
        <f t="shared" si="69"/>
        <v>Normal</v>
      </c>
      <c r="S1144" s="7" t="str">
        <f t="shared" si="70"/>
        <v>Normal Humidity</v>
      </c>
      <c r="T1144" s="7" t="str">
        <f t="shared" si="71"/>
        <v>Moderate Wind</v>
      </c>
    </row>
    <row r="1145" spans="1:20" x14ac:dyDescent="0.25">
      <c r="A1145" s="7" t="s">
        <v>1210</v>
      </c>
      <c r="B1145" s="10">
        <v>45990</v>
      </c>
      <c r="C1145" s="11" t="s">
        <v>67</v>
      </c>
      <c r="D1145" s="11" t="s">
        <v>18</v>
      </c>
      <c r="E1145" s="7" t="s">
        <v>19</v>
      </c>
      <c r="F1145" s="9">
        <v>79.8</v>
      </c>
      <c r="G1145" s="9">
        <v>148.30000000000001</v>
      </c>
      <c r="H1145" s="9">
        <v>68.7</v>
      </c>
      <c r="I1145" s="9">
        <v>7.8</v>
      </c>
      <c r="J1145" s="9">
        <v>0.19</v>
      </c>
      <c r="K1145" s="9">
        <v>49.7</v>
      </c>
      <c r="L1145" s="7">
        <v>27</v>
      </c>
      <c r="M1145" s="7">
        <v>56.7</v>
      </c>
      <c r="N1145" s="7">
        <v>1.9</v>
      </c>
      <c r="O1145" s="7">
        <v>312</v>
      </c>
      <c r="P1145" s="7" t="s">
        <v>20</v>
      </c>
      <c r="Q1145" s="7" t="str">
        <f t="shared" si="68"/>
        <v>Unhealthy</v>
      </c>
      <c r="R1145" s="7" t="str">
        <f t="shared" si="69"/>
        <v>Normal</v>
      </c>
      <c r="S1145" s="7" t="str">
        <f t="shared" si="70"/>
        <v>Normal Humidity</v>
      </c>
      <c r="T1145" s="7" t="str">
        <f t="shared" si="71"/>
        <v>Low Wind</v>
      </c>
    </row>
    <row r="1146" spans="1:20" x14ac:dyDescent="0.25">
      <c r="A1146" s="7" t="s">
        <v>1211</v>
      </c>
      <c r="B1146" s="10">
        <v>45963</v>
      </c>
      <c r="C1146" s="11" t="s">
        <v>50</v>
      </c>
      <c r="D1146" s="11" t="s">
        <v>31</v>
      </c>
      <c r="E1146" s="7" t="s">
        <v>68</v>
      </c>
      <c r="F1146" s="9">
        <v>9.1</v>
      </c>
      <c r="G1146" s="9">
        <v>32.700000000000003</v>
      </c>
      <c r="H1146" s="9">
        <v>43.8</v>
      </c>
      <c r="I1146" s="9">
        <v>1.2</v>
      </c>
      <c r="J1146" s="9">
        <v>0.52</v>
      </c>
      <c r="K1146" s="9">
        <v>44.6</v>
      </c>
      <c r="L1146" s="7">
        <v>24.9</v>
      </c>
      <c r="M1146" s="7">
        <v>52.2</v>
      </c>
      <c r="N1146" s="7">
        <v>2.9</v>
      </c>
      <c r="O1146" s="7">
        <v>105</v>
      </c>
      <c r="P1146" s="7" t="s">
        <v>33</v>
      </c>
      <c r="Q1146" s="7" t="str">
        <f t="shared" si="68"/>
        <v>Good</v>
      </c>
      <c r="R1146" s="7" t="str">
        <f t="shared" si="69"/>
        <v>Normal</v>
      </c>
      <c r="S1146" s="7" t="str">
        <f t="shared" si="70"/>
        <v>Normal Humidity</v>
      </c>
      <c r="T1146" s="7" t="str">
        <f t="shared" si="71"/>
        <v>Moderate Wind</v>
      </c>
    </row>
    <row r="1147" spans="1:20" x14ac:dyDescent="0.25">
      <c r="A1147" s="7" t="s">
        <v>1212</v>
      </c>
      <c r="B1147" s="10">
        <v>45725</v>
      </c>
      <c r="C1147" s="11" t="s">
        <v>30</v>
      </c>
      <c r="D1147" s="11" t="s">
        <v>31</v>
      </c>
      <c r="E1147" s="7" t="s">
        <v>68</v>
      </c>
      <c r="F1147" s="9">
        <v>40</v>
      </c>
      <c r="G1147" s="9">
        <v>64</v>
      </c>
      <c r="H1147" s="9">
        <v>8.9</v>
      </c>
      <c r="I1147" s="9">
        <v>17.5</v>
      </c>
      <c r="J1147" s="9">
        <v>1.71</v>
      </c>
      <c r="K1147" s="9">
        <v>20.100000000000001</v>
      </c>
      <c r="L1147" s="7">
        <v>28.6</v>
      </c>
      <c r="M1147" s="7">
        <v>56.2</v>
      </c>
      <c r="N1147" s="7">
        <v>1.8</v>
      </c>
      <c r="O1147" s="7">
        <v>177</v>
      </c>
      <c r="P1147" s="7" t="s">
        <v>33</v>
      </c>
      <c r="Q1147" s="7" t="str">
        <f t="shared" si="68"/>
        <v>Moderate</v>
      </c>
      <c r="R1147" s="7" t="str">
        <f t="shared" si="69"/>
        <v>Normal</v>
      </c>
      <c r="S1147" s="7" t="str">
        <f t="shared" si="70"/>
        <v>Normal Humidity</v>
      </c>
      <c r="T1147" s="7" t="str">
        <f t="shared" si="71"/>
        <v>Low Wind</v>
      </c>
    </row>
    <row r="1148" spans="1:20" x14ac:dyDescent="0.25">
      <c r="A1148" s="7" t="s">
        <v>1213</v>
      </c>
      <c r="B1148" s="10">
        <v>45980</v>
      </c>
      <c r="C1148" s="11" t="s">
        <v>81</v>
      </c>
      <c r="D1148" s="11" t="s">
        <v>39</v>
      </c>
      <c r="E1148" s="7" t="s">
        <v>55</v>
      </c>
      <c r="F1148" s="9">
        <v>68.400000000000006</v>
      </c>
      <c r="G1148" s="9">
        <v>88.9</v>
      </c>
      <c r="H1148" s="9">
        <v>15.7</v>
      </c>
      <c r="I1148" s="9">
        <v>8.3000000000000007</v>
      </c>
      <c r="J1148" s="9">
        <v>0.45</v>
      </c>
      <c r="K1148" s="9">
        <v>94.3</v>
      </c>
      <c r="L1148" s="7">
        <v>27.5</v>
      </c>
      <c r="M1148" s="7">
        <v>79.3</v>
      </c>
      <c r="N1148" s="7">
        <v>3.3</v>
      </c>
      <c r="O1148" s="7">
        <v>239</v>
      </c>
      <c r="P1148" s="7" t="s">
        <v>28</v>
      </c>
      <c r="Q1148" s="7" t="str">
        <f t="shared" si="68"/>
        <v>Moderate</v>
      </c>
      <c r="R1148" s="7" t="str">
        <f t="shared" si="69"/>
        <v>Normal</v>
      </c>
      <c r="S1148" s="7" t="str">
        <f t="shared" si="70"/>
        <v>High Humidity</v>
      </c>
      <c r="T1148" s="7" t="str">
        <f t="shared" si="71"/>
        <v>Moderate Wind</v>
      </c>
    </row>
    <row r="1149" spans="1:20" x14ac:dyDescent="0.25">
      <c r="A1149" s="7" t="s">
        <v>1214</v>
      </c>
      <c r="B1149" s="10">
        <v>45923</v>
      </c>
      <c r="C1149" s="11" t="s">
        <v>77</v>
      </c>
      <c r="D1149" s="11" t="s">
        <v>39</v>
      </c>
      <c r="E1149" s="7" t="s">
        <v>58</v>
      </c>
      <c r="F1149" s="9">
        <v>58</v>
      </c>
      <c r="G1149" s="9">
        <v>36.1</v>
      </c>
      <c r="H1149" s="9">
        <v>13.7</v>
      </c>
      <c r="I1149" s="9">
        <v>7.6</v>
      </c>
      <c r="J1149" s="9">
        <v>0.85</v>
      </c>
      <c r="K1149" s="9">
        <v>25.1</v>
      </c>
      <c r="L1149" s="7">
        <v>29.2</v>
      </c>
      <c r="M1149" s="7">
        <v>79.2</v>
      </c>
      <c r="N1149" s="7">
        <v>2.5</v>
      </c>
      <c r="O1149" s="7">
        <v>165</v>
      </c>
      <c r="P1149" s="7" t="s">
        <v>33</v>
      </c>
      <c r="Q1149" s="7" t="str">
        <f t="shared" si="68"/>
        <v>Good</v>
      </c>
      <c r="R1149" s="7" t="str">
        <f t="shared" si="69"/>
        <v>Normal</v>
      </c>
      <c r="S1149" s="7" t="str">
        <f t="shared" si="70"/>
        <v>High Humidity</v>
      </c>
      <c r="T1149" s="7" t="str">
        <f t="shared" si="71"/>
        <v>Moderate Wind</v>
      </c>
    </row>
    <row r="1150" spans="1:20" x14ac:dyDescent="0.25">
      <c r="A1150" s="7" t="s">
        <v>1215</v>
      </c>
      <c r="B1150" s="10">
        <v>45959</v>
      </c>
      <c r="C1150" s="11" t="s">
        <v>77</v>
      </c>
      <c r="D1150" s="11" t="s">
        <v>39</v>
      </c>
      <c r="E1150" s="7" t="s">
        <v>58</v>
      </c>
      <c r="F1150" s="9">
        <v>49.9</v>
      </c>
      <c r="G1150" s="9">
        <v>110.2</v>
      </c>
      <c r="H1150" s="9">
        <v>63.5</v>
      </c>
      <c r="I1150" s="9">
        <v>9</v>
      </c>
      <c r="J1150" s="9">
        <v>0.7</v>
      </c>
      <c r="K1150" s="9">
        <v>13.4</v>
      </c>
      <c r="L1150" s="7">
        <v>31.7</v>
      </c>
      <c r="M1150" s="7">
        <v>87.4</v>
      </c>
      <c r="N1150" s="7">
        <v>1.5</v>
      </c>
      <c r="O1150" s="7">
        <v>232</v>
      </c>
      <c r="P1150" s="7" t="s">
        <v>28</v>
      </c>
      <c r="Q1150" s="7" t="str">
        <f t="shared" si="68"/>
        <v>Unhealthy</v>
      </c>
      <c r="R1150" s="7" t="str">
        <f t="shared" si="69"/>
        <v>Hot</v>
      </c>
      <c r="S1150" s="7" t="str">
        <f t="shared" si="70"/>
        <v>High Humidity</v>
      </c>
      <c r="T1150" s="7" t="str">
        <f t="shared" si="71"/>
        <v>Low Wind</v>
      </c>
    </row>
    <row r="1151" spans="1:20" x14ac:dyDescent="0.25">
      <c r="A1151" s="7" t="s">
        <v>1216</v>
      </c>
      <c r="B1151" s="10">
        <v>45997</v>
      </c>
      <c r="C1151" s="11" t="s">
        <v>64</v>
      </c>
      <c r="D1151" s="11" t="s">
        <v>36</v>
      </c>
      <c r="E1151" s="7" t="s">
        <v>91</v>
      </c>
      <c r="F1151" s="9">
        <v>31.8</v>
      </c>
      <c r="G1151" s="9">
        <v>95.6</v>
      </c>
      <c r="H1151" s="9">
        <v>41.2</v>
      </c>
      <c r="I1151" s="9">
        <v>37</v>
      </c>
      <c r="J1151" s="9">
        <v>0.31</v>
      </c>
      <c r="K1151" s="9">
        <v>26.1</v>
      </c>
      <c r="L1151" s="7">
        <v>35.6</v>
      </c>
      <c r="M1151" s="7">
        <v>65</v>
      </c>
      <c r="N1151" s="7">
        <v>2.4</v>
      </c>
      <c r="O1151" s="7">
        <v>191</v>
      </c>
      <c r="P1151" s="7" t="s">
        <v>33</v>
      </c>
      <c r="Q1151" s="7" t="str">
        <f t="shared" si="68"/>
        <v>Moderate</v>
      </c>
      <c r="R1151" s="7" t="str">
        <f t="shared" si="69"/>
        <v>Hot</v>
      </c>
      <c r="S1151" s="7" t="str">
        <f t="shared" si="70"/>
        <v>High Humidity</v>
      </c>
      <c r="T1151" s="7" t="str">
        <f t="shared" si="71"/>
        <v>Moderate Wind</v>
      </c>
    </row>
    <row r="1152" spans="1:20" x14ac:dyDescent="0.25">
      <c r="A1152" s="7" t="s">
        <v>1217</v>
      </c>
      <c r="B1152" s="10">
        <v>45677</v>
      </c>
      <c r="C1152" s="11" t="s">
        <v>81</v>
      </c>
      <c r="D1152" s="11" t="s">
        <v>39</v>
      </c>
      <c r="E1152" s="7" t="s">
        <v>27</v>
      </c>
      <c r="F1152" s="9">
        <v>57.1</v>
      </c>
      <c r="G1152" s="9">
        <v>80.400000000000006</v>
      </c>
      <c r="H1152" s="9">
        <v>20.8</v>
      </c>
      <c r="I1152" s="9">
        <v>24</v>
      </c>
      <c r="J1152" s="9">
        <v>0.5</v>
      </c>
      <c r="K1152" s="9">
        <v>26.3</v>
      </c>
      <c r="L1152" s="7">
        <v>25.5</v>
      </c>
      <c r="M1152" s="7">
        <v>47.2</v>
      </c>
      <c r="N1152" s="7">
        <v>2.9</v>
      </c>
      <c r="O1152" s="7">
        <v>201</v>
      </c>
      <c r="P1152" s="7" t="s">
        <v>28</v>
      </c>
      <c r="Q1152" s="7" t="str">
        <f t="shared" si="68"/>
        <v>Moderate</v>
      </c>
      <c r="R1152" s="7" t="str">
        <f t="shared" si="69"/>
        <v>Normal</v>
      </c>
      <c r="S1152" s="7" t="str">
        <f t="shared" si="70"/>
        <v>Normal Humidity</v>
      </c>
      <c r="T1152" s="7" t="str">
        <f t="shared" si="71"/>
        <v>Moderate Wind</v>
      </c>
    </row>
    <row r="1153" spans="1:20" x14ac:dyDescent="0.25">
      <c r="A1153" s="7" t="s">
        <v>1218</v>
      </c>
      <c r="B1153" s="10">
        <v>45859</v>
      </c>
      <c r="C1153" s="11" t="s">
        <v>93</v>
      </c>
      <c r="D1153" s="11" t="s">
        <v>36</v>
      </c>
      <c r="E1153" s="7" t="s">
        <v>61</v>
      </c>
      <c r="F1153" s="9">
        <v>16.100000000000001</v>
      </c>
      <c r="G1153" s="9">
        <v>142.6</v>
      </c>
      <c r="H1153" s="9">
        <v>11.4</v>
      </c>
      <c r="I1153" s="9">
        <v>9.4</v>
      </c>
      <c r="J1153" s="9">
        <v>0.77</v>
      </c>
      <c r="K1153" s="9">
        <v>37.6</v>
      </c>
      <c r="L1153" s="7">
        <v>14</v>
      </c>
      <c r="M1153" s="7">
        <v>98</v>
      </c>
      <c r="N1153" s="7">
        <v>2.2000000000000002</v>
      </c>
      <c r="O1153" s="7">
        <v>170</v>
      </c>
      <c r="P1153" s="7" t="s">
        <v>33</v>
      </c>
      <c r="Q1153" s="7" t="str">
        <f t="shared" si="68"/>
        <v>Unhealthy</v>
      </c>
      <c r="R1153" s="7" t="str">
        <f t="shared" si="69"/>
        <v>Cool</v>
      </c>
      <c r="S1153" s="7" t="str">
        <f t="shared" si="70"/>
        <v>High Humidity</v>
      </c>
      <c r="T1153" s="7" t="str">
        <f t="shared" si="71"/>
        <v>Moderate Wind</v>
      </c>
    </row>
    <row r="1154" spans="1:20" x14ac:dyDescent="0.25">
      <c r="A1154" s="7" t="s">
        <v>1219</v>
      </c>
      <c r="B1154" s="10">
        <v>45669</v>
      </c>
      <c r="C1154" s="11" t="s">
        <v>64</v>
      </c>
      <c r="D1154" s="11" t="s">
        <v>36</v>
      </c>
      <c r="E1154" s="7" t="s">
        <v>91</v>
      </c>
      <c r="F1154" s="9">
        <v>84.6</v>
      </c>
      <c r="G1154" s="9">
        <v>58</v>
      </c>
      <c r="H1154" s="9">
        <v>21.9</v>
      </c>
      <c r="I1154" s="9">
        <v>14.9</v>
      </c>
      <c r="J1154" s="9">
        <v>0.05</v>
      </c>
      <c r="K1154" s="9">
        <v>19.600000000000001</v>
      </c>
      <c r="L1154" s="7">
        <v>23.9</v>
      </c>
      <c r="M1154" s="7">
        <v>64.7</v>
      </c>
      <c r="N1154" s="7">
        <v>1.7</v>
      </c>
      <c r="O1154" s="7">
        <v>211</v>
      </c>
      <c r="P1154" s="7" t="s">
        <v>28</v>
      </c>
      <c r="Q1154" s="7" t="str">
        <f t="shared" si="68"/>
        <v>Moderate</v>
      </c>
      <c r="R1154" s="7" t="str">
        <f t="shared" si="69"/>
        <v>Normal</v>
      </c>
      <c r="S1154" s="7" t="str">
        <f t="shared" si="70"/>
        <v>High Humidity</v>
      </c>
      <c r="T1154" s="7" t="str">
        <f t="shared" si="71"/>
        <v>Low Wind</v>
      </c>
    </row>
    <row r="1155" spans="1:20" x14ac:dyDescent="0.25">
      <c r="A1155" s="7" t="s">
        <v>1220</v>
      </c>
      <c r="B1155" s="10">
        <v>45712</v>
      </c>
      <c r="C1155" s="11" t="s">
        <v>81</v>
      </c>
      <c r="D1155" s="11" t="s">
        <v>39</v>
      </c>
      <c r="E1155" s="7" t="s">
        <v>40</v>
      </c>
      <c r="F1155" s="9">
        <v>37.700000000000003</v>
      </c>
      <c r="G1155" s="9">
        <v>38.1</v>
      </c>
      <c r="H1155" s="9">
        <v>13.4</v>
      </c>
      <c r="I1155" s="9">
        <v>23.6</v>
      </c>
      <c r="J1155" s="9">
        <v>0.56999999999999995</v>
      </c>
      <c r="K1155" s="9">
        <v>18.2</v>
      </c>
      <c r="L1155" s="7">
        <v>33.1</v>
      </c>
      <c r="M1155" s="7">
        <v>39.5</v>
      </c>
      <c r="N1155" s="7">
        <v>3.3</v>
      </c>
      <c r="O1155" s="7">
        <v>135</v>
      </c>
      <c r="P1155" s="7" t="s">
        <v>33</v>
      </c>
      <c r="Q1155" s="7" t="str">
        <f t="shared" ref="Q1155:Q1218" si="72">IF(G1155&lt;50,"Good",IF(G1155&lt;=100,"Moderate",IF(G1155&lt;=150,"Unhealthy","VeryUnhealthy")))</f>
        <v>Good</v>
      </c>
      <c r="R1155" s="7" t="str">
        <f t="shared" ref="R1155:R1218" si="73">IF(L1155&lt;20,"Cool",IF(L1155&lt;=30,"Normal","Hot"))</f>
        <v>Hot</v>
      </c>
      <c r="S1155" s="7" t="str">
        <f t="shared" ref="S1155:S1218" si="74">IF(M1155&lt;30,"Low Humidity",IF(M1155&lt;=60,"Normal Humidity","High Humidity"))</f>
        <v>Normal Humidity</v>
      </c>
      <c r="T1155" s="7" t="str">
        <f t="shared" ref="T1155:T1218" si="75">IF(N1155&lt;2,"Low Wind",IF(N1155&lt;=5,"Moderate Wind","High Wind"))</f>
        <v>Moderate Wind</v>
      </c>
    </row>
    <row r="1156" spans="1:20" x14ac:dyDescent="0.25">
      <c r="A1156" s="7" t="s">
        <v>1221</v>
      </c>
      <c r="B1156" s="10">
        <v>45779</v>
      </c>
      <c r="C1156" s="11" t="s">
        <v>30</v>
      </c>
      <c r="D1156" s="11" t="s">
        <v>31</v>
      </c>
      <c r="E1156" s="7" t="s">
        <v>32</v>
      </c>
      <c r="F1156" s="9">
        <v>26.3</v>
      </c>
      <c r="G1156" s="9">
        <v>15.4</v>
      </c>
      <c r="H1156" s="9">
        <v>58.8</v>
      </c>
      <c r="I1156" s="9">
        <v>15.3</v>
      </c>
      <c r="J1156" s="9">
        <v>0.51</v>
      </c>
      <c r="K1156" s="9">
        <v>40.5</v>
      </c>
      <c r="L1156" s="7">
        <v>25.2</v>
      </c>
      <c r="M1156" s="7">
        <v>68.8</v>
      </c>
      <c r="N1156" s="7">
        <v>3.3</v>
      </c>
      <c r="O1156" s="7">
        <v>141</v>
      </c>
      <c r="P1156" s="7" t="s">
        <v>33</v>
      </c>
      <c r="Q1156" s="7" t="str">
        <f t="shared" si="72"/>
        <v>Good</v>
      </c>
      <c r="R1156" s="7" t="str">
        <f t="shared" si="73"/>
        <v>Normal</v>
      </c>
      <c r="S1156" s="7" t="str">
        <f t="shared" si="74"/>
        <v>High Humidity</v>
      </c>
      <c r="T1156" s="7" t="str">
        <f t="shared" si="75"/>
        <v>Moderate Wind</v>
      </c>
    </row>
    <row r="1157" spans="1:20" x14ac:dyDescent="0.25">
      <c r="A1157" s="7" t="s">
        <v>1222</v>
      </c>
      <c r="B1157" s="10">
        <v>46008</v>
      </c>
      <c r="C1157" s="11" t="s">
        <v>26</v>
      </c>
      <c r="D1157" s="11" t="s">
        <v>23</v>
      </c>
      <c r="E1157" s="7" t="s">
        <v>97</v>
      </c>
      <c r="F1157" s="9">
        <v>40.299999999999997</v>
      </c>
      <c r="G1157" s="9">
        <v>40.200000000000003</v>
      </c>
      <c r="H1157" s="9">
        <v>51.2</v>
      </c>
      <c r="I1157" s="9">
        <v>17.100000000000001</v>
      </c>
      <c r="J1157" s="9">
        <v>1.0900000000000001</v>
      </c>
      <c r="K1157" s="9">
        <v>24.9</v>
      </c>
      <c r="L1157" s="7">
        <v>26.4</v>
      </c>
      <c r="M1157" s="7">
        <v>33.299999999999997</v>
      </c>
      <c r="N1157" s="7">
        <v>0.2</v>
      </c>
      <c r="O1157" s="7">
        <v>182</v>
      </c>
      <c r="P1157" s="7" t="s">
        <v>33</v>
      </c>
      <c r="Q1157" s="7" t="str">
        <f t="shared" si="72"/>
        <v>Good</v>
      </c>
      <c r="R1157" s="7" t="str">
        <f t="shared" si="73"/>
        <v>Normal</v>
      </c>
      <c r="S1157" s="7" t="str">
        <f t="shared" si="74"/>
        <v>Normal Humidity</v>
      </c>
      <c r="T1157" s="7" t="str">
        <f t="shared" si="75"/>
        <v>Low Wind</v>
      </c>
    </row>
    <row r="1158" spans="1:20" x14ac:dyDescent="0.25">
      <c r="A1158" s="7" t="s">
        <v>1223</v>
      </c>
      <c r="B1158" s="10">
        <v>45895</v>
      </c>
      <c r="C1158" s="11" t="s">
        <v>67</v>
      </c>
      <c r="D1158" s="11" t="s">
        <v>18</v>
      </c>
      <c r="E1158" s="7" t="s">
        <v>91</v>
      </c>
      <c r="F1158" s="9">
        <v>49</v>
      </c>
      <c r="G1158" s="9">
        <v>84.1</v>
      </c>
      <c r="H1158" s="9">
        <v>11.3</v>
      </c>
      <c r="I1158" s="9">
        <v>15.7</v>
      </c>
      <c r="J1158" s="9">
        <v>0.28999999999999998</v>
      </c>
      <c r="K1158" s="9">
        <v>52.8</v>
      </c>
      <c r="L1158" s="7">
        <v>29.1</v>
      </c>
      <c r="M1158" s="7">
        <v>98</v>
      </c>
      <c r="N1158" s="7">
        <v>1</v>
      </c>
      <c r="O1158" s="7">
        <v>184</v>
      </c>
      <c r="P1158" s="7" t="s">
        <v>33</v>
      </c>
      <c r="Q1158" s="7" t="str">
        <f t="shared" si="72"/>
        <v>Moderate</v>
      </c>
      <c r="R1158" s="7" t="str">
        <f t="shared" si="73"/>
        <v>Normal</v>
      </c>
      <c r="S1158" s="7" t="str">
        <f t="shared" si="74"/>
        <v>High Humidity</v>
      </c>
      <c r="T1158" s="7" t="str">
        <f t="shared" si="75"/>
        <v>Low Wind</v>
      </c>
    </row>
    <row r="1159" spans="1:20" x14ac:dyDescent="0.25">
      <c r="A1159" s="7" t="s">
        <v>1224</v>
      </c>
      <c r="B1159" s="10">
        <v>45872</v>
      </c>
      <c r="C1159" s="11" t="s">
        <v>22</v>
      </c>
      <c r="D1159" s="11" t="s">
        <v>23</v>
      </c>
      <c r="E1159" s="7" t="s">
        <v>70</v>
      </c>
      <c r="F1159" s="9">
        <v>40.5</v>
      </c>
      <c r="G1159" s="9">
        <v>41.3</v>
      </c>
      <c r="H1159" s="9">
        <v>28.8</v>
      </c>
      <c r="I1159" s="9">
        <v>17.2</v>
      </c>
      <c r="J1159" s="9">
        <v>1.03</v>
      </c>
      <c r="K1159" s="9">
        <v>46.6</v>
      </c>
      <c r="L1159" s="7">
        <v>34.700000000000003</v>
      </c>
      <c r="M1159" s="7">
        <v>63.4</v>
      </c>
      <c r="N1159" s="7">
        <v>2.8</v>
      </c>
      <c r="O1159" s="7">
        <v>173</v>
      </c>
      <c r="P1159" s="7" t="s">
        <v>33</v>
      </c>
      <c r="Q1159" s="7" t="str">
        <f t="shared" si="72"/>
        <v>Good</v>
      </c>
      <c r="R1159" s="7" t="str">
        <f t="shared" si="73"/>
        <v>Hot</v>
      </c>
      <c r="S1159" s="7" t="str">
        <f t="shared" si="74"/>
        <v>High Humidity</v>
      </c>
      <c r="T1159" s="7" t="str">
        <f t="shared" si="75"/>
        <v>Moderate Wind</v>
      </c>
    </row>
    <row r="1160" spans="1:20" x14ac:dyDescent="0.25">
      <c r="A1160" s="7" t="s">
        <v>1225</v>
      </c>
      <c r="B1160" s="10">
        <v>45689</v>
      </c>
      <c r="C1160" s="11" t="s">
        <v>81</v>
      </c>
      <c r="D1160" s="11" t="s">
        <v>39</v>
      </c>
      <c r="E1160" s="7" t="s">
        <v>74</v>
      </c>
      <c r="F1160" s="9">
        <v>15.1</v>
      </c>
      <c r="G1160" s="9">
        <v>150.69999999999999</v>
      </c>
      <c r="H1160" s="9">
        <v>58.4</v>
      </c>
      <c r="I1160" s="9">
        <v>10.5</v>
      </c>
      <c r="J1160" s="9">
        <v>1.23</v>
      </c>
      <c r="K1160" s="9">
        <v>40.9</v>
      </c>
      <c r="L1160" s="7">
        <v>26</v>
      </c>
      <c r="M1160" s="7">
        <v>48.9</v>
      </c>
      <c r="N1160" s="7">
        <v>3.2</v>
      </c>
      <c r="O1160" s="7">
        <v>225</v>
      </c>
      <c r="P1160" s="7" t="s">
        <v>28</v>
      </c>
      <c r="Q1160" s="7" t="str">
        <f t="shared" si="72"/>
        <v>VeryUnhealthy</v>
      </c>
      <c r="R1160" s="7" t="str">
        <f t="shared" si="73"/>
        <v>Normal</v>
      </c>
      <c r="S1160" s="7" t="str">
        <f t="shared" si="74"/>
        <v>Normal Humidity</v>
      </c>
      <c r="T1160" s="7" t="str">
        <f t="shared" si="75"/>
        <v>Moderate Wind</v>
      </c>
    </row>
    <row r="1161" spans="1:20" x14ac:dyDescent="0.25">
      <c r="A1161" s="7" t="s">
        <v>1226</v>
      </c>
      <c r="B1161" s="10">
        <v>45758</v>
      </c>
      <c r="C1161" s="11" t="s">
        <v>52</v>
      </c>
      <c r="D1161" s="11" t="s">
        <v>31</v>
      </c>
      <c r="E1161" s="7" t="s">
        <v>43</v>
      </c>
      <c r="F1161" s="9">
        <v>74.3</v>
      </c>
      <c r="G1161" s="9">
        <v>25.4</v>
      </c>
      <c r="H1161" s="9">
        <v>9.1999999999999993</v>
      </c>
      <c r="I1161" s="9">
        <v>3.3</v>
      </c>
      <c r="J1161" s="9">
        <v>1.53</v>
      </c>
      <c r="K1161" s="9">
        <v>23.6</v>
      </c>
      <c r="L1161" s="7">
        <v>27.3</v>
      </c>
      <c r="M1161" s="7">
        <v>71.3</v>
      </c>
      <c r="N1161" s="7">
        <v>0.3</v>
      </c>
      <c r="O1161" s="7">
        <v>194</v>
      </c>
      <c r="P1161" s="7" t="s">
        <v>33</v>
      </c>
      <c r="Q1161" s="7" t="str">
        <f t="shared" si="72"/>
        <v>Good</v>
      </c>
      <c r="R1161" s="7" t="str">
        <f t="shared" si="73"/>
        <v>Normal</v>
      </c>
      <c r="S1161" s="7" t="str">
        <f t="shared" si="74"/>
        <v>High Humidity</v>
      </c>
      <c r="T1161" s="7" t="str">
        <f t="shared" si="75"/>
        <v>Low Wind</v>
      </c>
    </row>
    <row r="1162" spans="1:20" x14ac:dyDescent="0.25">
      <c r="A1162" s="7" t="s">
        <v>1227</v>
      </c>
      <c r="B1162" s="10">
        <v>45663</v>
      </c>
      <c r="C1162" s="11" t="s">
        <v>64</v>
      </c>
      <c r="D1162" s="11" t="s">
        <v>36</v>
      </c>
      <c r="E1162" s="7" t="s">
        <v>61</v>
      </c>
      <c r="F1162" s="9">
        <v>79.7</v>
      </c>
      <c r="G1162" s="9">
        <v>37.4</v>
      </c>
      <c r="H1162" s="9">
        <v>18.2</v>
      </c>
      <c r="I1162" s="9">
        <v>30.9</v>
      </c>
      <c r="J1162" s="9">
        <v>0.51</v>
      </c>
      <c r="K1162" s="9">
        <v>42</v>
      </c>
      <c r="L1162" s="7">
        <v>27.4</v>
      </c>
      <c r="M1162" s="7">
        <v>73.2</v>
      </c>
      <c r="N1162" s="7">
        <v>1.1000000000000001</v>
      </c>
      <c r="O1162" s="7">
        <v>220</v>
      </c>
      <c r="P1162" s="7" t="s">
        <v>28</v>
      </c>
      <c r="Q1162" s="7" t="str">
        <f t="shared" si="72"/>
        <v>Good</v>
      </c>
      <c r="R1162" s="7" t="str">
        <f t="shared" si="73"/>
        <v>Normal</v>
      </c>
      <c r="S1162" s="7" t="str">
        <f t="shared" si="74"/>
        <v>High Humidity</v>
      </c>
      <c r="T1162" s="7" t="str">
        <f t="shared" si="75"/>
        <v>Low Wind</v>
      </c>
    </row>
    <row r="1163" spans="1:20" x14ac:dyDescent="0.25">
      <c r="A1163" s="7" t="s">
        <v>1228</v>
      </c>
      <c r="B1163" s="10">
        <v>45993</v>
      </c>
      <c r="C1163" s="11" t="s">
        <v>30</v>
      </c>
      <c r="D1163" s="11" t="s">
        <v>31</v>
      </c>
      <c r="E1163" s="7" t="s">
        <v>40</v>
      </c>
      <c r="F1163" s="9">
        <v>50.3</v>
      </c>
      <c r="G1163" s="9">
        <v>118.8</v>
      </c>
      <c r="H1163" s="9">
        <v>26.7</v>
      </c>
      <c r="I1163" s="9">
        <v>5.6</v>
      </c>
      <c r="J1163" s="9">
        <v>0.59</v>
      </c>
      <c r="K1163" s="9">
        <v>38.6</v>
      </c>
      <c r="L1163" s="7">
        <v>31</v>
      </c>
      <c r="M1163" s="7">
        <v>50.3</v>
      </c>
      <c r="N1163" s="7">
        <v>2</v>
      </c>
      <c r="O1163" s="7">
        <v>215</v>
      </c>
      <c r="P1163" s="7" t="s">
        <v>28</v>
      </c>
      <c r="Q1163" s="7" t="str">
        <f t="shared" si="72"/>
        <v>Unhealthy</v>
      </c>
      <c r="R1163" s="7" t="str">
        <f t="shared" si="73"/>
        <v>Hot</v>
      </c>
      <c r="S1163" s="7" t="str">
        <f t="shared" si="74"/>
        <v>Normal Humidity</v>
      </c>
      <c r="T1163" s="7" t="str">
        <f t="shared" si="75"/>
        <v>Moderate Wind</v>
      </c>
    </row>
    <row r="1164" spans="1:20" x14ac:dyDescent="0.25">
      <c r="A1164" s="7" t="s">
        <v>1229</v>
      </c>
      <c r="B1164" s="10">
        <v>45806</v>
      </c>
      <c r="C1164" s="11" t="s">
        <v>81</v>
      </c>
      <c r="D1164" s="11" t="s">
        <v>39</v>
      </c>
      <c r="E1164" s="7" t="s">
        <v>58</v>
      </c>
      <c r="F1164" s="9">
        <v>121.2</v>
      </c>
      <c r="G1164" s="9">
        <v>92.1</v>
      </c>
      <c r="H1164" s="9">
        <v>19.899999999999999</v>
      </c>
      <c r="I1164" s="9">
        <v>10.1</v>
      </c>
      <c r="J1164" s="9">
        <v>0.2</v>
      </c>
      <c r="K1164" s="9">
        <v>24.9</v>
      </c>
      <c r="L1164" s="7">
        <v>34.5</v>
      </c>
      <c r="M1164" s="7">
        <v>56.4</v>
      </c>
      <c r="N1164" s="7">
        <v>1.6</v>
      </c>
      <c r="O1164" s="7">
        <v>293</v>
      </c>
      <c r="P1164" s="7" t="s">
        <v>28</v>
      </c>
      <c r="Q1164" s="7" t="str">
        <f t="shared" si="72"/>
        <v>Moderate</v>
      </c>
      <c r="R1164" s="7" t="str">
        <f t="shared" si="73"/>
        <v>Hot</v>
      </c>
      <c r="S1164" s="7" t="str">
        <f t="shared" si="74"/>
        <v>Normal Humidity</v>
      </c>
      <c r="T1164" s="7" t="str">
        <f t="shared" si="75"/>
        <v>Low Wind</v>
      </c>
    </row>
    <row r="1165" spans="1:20" x14ac:dyDescent="0.25">
      <c r="A1165" s="7" t="s">
        <v>1230</v>
      </c>
      <c r="B1165" s="10">
        <v>45959</v>
      </c>
      <c r="C1165" s="11" t="s">
        <v>26</v>
      </c>
      <c r="D1165" s="11" t="s">
        <v>23</v>
      </c>
      <c r="E1165" s="7" t="s">
        <v>58</v>
      </c>
      <c r="F1165" s="9">
        <v>57.7</v>
      </c>
      <c r="G1165" s="9">
        <v>54.1</v>
      </c>
      <c r="H1165" s="9">
        <v>6.6</v>
      </c>
      <c r="I1165" s="9">
        <v>8.3000000000000007</v>
      </c>
      <c r="J1165" s="9">
        <v>0.7</v>
      </c>
      <c r="K1165" s="9">
        <v>31.3</v>
      </c>
      <c r="L1165" s="7">
        <v>39.1</v>
      </c>
      <c r="M1165" s="7">
        <v>65.5</v>
      </c>
      <c r="N1165" s="7">
        <v>2.4</v>
      </c>
      <c r="O1165" s="7">
        <v>170</v>
      </c>
      <c r="P1165" s="7" t="s">
        <v>33</v>
      </c>
      <c r="Q1165" s="7" t="str">
        <f t="shared" si="72"/>
        <v>Moderate</v>
      </c>
      <c r="R1165" s="7" t="str">
        <f t="shared" si="73"/>
        <v>Hot</v>
      </c>
      <c r="S1165" s="7" t="str">
        <f t="shared" si="74"/>
        <v>High Humidity</v>
      </c>
      <c r="T1165" s="7" t="str">
        <f t="shared" si="75"/>
        <v>Moderate Wind</v>
      </c>
    </row>
    <row r="1166" spans="1:20" x14ac:dyDescent="0.25">
      <c r="A1166" s="7" t="s">
        <v>1231</v>
      </c>
      <c r="B1166" s="10">
        <v>45676</v>
      </c>
      <c r="C1166" s="11" t="s">
        <v>17</v>
      </c>
      <c r="D1166" s="11" t="s">
        <v>18</v>
      </c>
      <c r="E1166" s="7" t="s">
        <v>68</v>
      </c>
      <c r="F1166" s="9">
        <v>31.6</v>
      </c>
      <c r="G1166" s="9">
        <v>74.900000000000006</v>
      </c>
      <c r="H1166" s="9">
        <v>27.4</v>
      </c>
      <c r="I1166" s="9">
        <v>23.1</v>
      </c>
      <c r="J1166" s="9">
        <v>0.18</v>
      </c>
      <c r="K1166" s="9">
        <v>24.6</v>
      </c>
      <c r="L1166" s="7">
        <v>29.1</v>
      </c>
      <c r="M1166" s="7">
        <v>83</v>
      </c>
      <c r="N1166" s="7">
        <v>2.7</v>
      </c>
      <c r="O1166" s="7">
        <v>153</v>
      </c>
      <c r="P1166" s="7" t="s">
        <v>33</v>
      </c>
      <c r="Q1166" s="7" t="str">
        <f t="shared" si="72"/>
        <v>Moderate</v>
      </c>
      <c r="R1166" s="7" t="str">
        <f t="shared" si="73"/>
        <v>Normal</v>
      </c>
      <c r="S1166" s="7" t="str">
        <f t="shared" si="74"/>
        <v>High Humidity</v>
      </c>
      <c r="T1166" s="7" t="str">
        <f t="shared" si="75"/>
        <v>Moderate Wind</v>
      </c>
    </row>
    <row r="1167" spans="1:20" x14ac:dyDescent="0.25">
      <c r="A1167" s="7" t="s">
        <v>1232</v>
      </c>
      <c r="B1167" s="10">
        <v>46000</v>
      </c>
      <c r="C1167" s="11" t="s">
        <v>22</v>
      </c>
      <c r="D1167" s="11" t="s">
        <v>23</v>
      </c>
      <c r="E1167" s="7" t="s">
        <v>58</v>
      </c>
      <c r="F1167" s="9">
        <v>50.5</v>
      </c>
      <c r="G1167" s="9">
        <v>93.4</v>
      </c>
      <c r="H1167" s="9">
        <v>46.3</v>
      </c>
      <c r="I1167" s="9">
        <v>8.9</v>
      </c>
      <c r="J1167" s="9">
        <v>0.38</v>
      </c>
      <c r="K1167" s="9">
        <v>31.3</v>
      </c>
      <c r="L1167" s="7">
        <v>22.6</v>
      </c>
      <c r="M1167" s="7">
        <v>64.8</v>
      </c>
      <c r="N1167" s="7">
        <v>1.2</v>
      </c>
      <c r="O1167" s="7">
        <v>208</v>
      </c>
      <c r="P1167" s="7" t="s">
        <v>28</v>
      </c>
      <c r="Q1167" s="7" t="str">
        <f t="shared" si="72"/>
        <v>Moderate</v>
      </c>
      <c r="R1167" s="7" t="str">
        <f t="shared" si="73"/>
        <v>Normal</v>
      </c>
      <c r="S1167" s="7" t="str">
        <f t="shared" si="74"/>
        <v>High Humidity</v>
      </c>
      <c r="T1167" s="7" t="str">
        <f t="shared" si="75"/>
        <v>Low Wind</v>
      </c>
    </row>
    <row r="1168" spans="1:20" x14ac:dyDescent="0.25">
      <c r="A1168" s="7" t="s">
        <v>1233</v>
      </c>
      <c r="B1168" s="10">
        <v>45854</v>
      </c>
      <c r="C1168" s="11" t="s">
        <v>42</v>
      </c>
      <c r="D1168" s="11" t="s">
        <v>23</v>
      </c>
      <c r="E1168" s="7" t="s">
        <v>55</v>
      </c>
      <c r="F1168" s="9">
        <v>65.2</v>
      </c>
      <c r="G1168" s="9">
        <v>104.8</v>
      </c>
      <c r="H1168" s="9">
        <v>45.8</v>
      </c>
      <c r="I1168" s="9">
        <v>18.100000000000001</v>
      </c>
      <c r="J1168" s="9">
        <v>0.37</v>
      </c>
      <c r="K1168" s="9">
        <v>30.7</v>
      </c>
      <c r="L1168" s="7">
        <v>29.8</v>
      </c>
      <c r="M1168" s="7">
        <v>54</v>
      </c>
      <c r="N1168" s="7">
        <v>0.9</v>
      </c>
      <c r="O1168" s="7">
        <v>245</v>
      </c>
      <c r="P1168" s="7" t="s">
        <v>28</v>
      </c>
      <c r="Q1168" s="7" t="str">
        <f t="shared" si="72"/>
        <v>Unhealthy</v>
      </c>
      <c r="R1168" s="7" t="str">
        <f t="shared" si="73"/>
        <v>Normal</v>
      </c>
      <c r="S1168" s="7" t="str">
        <f t="shared" si="74"/>
        <v>Normal Humidity</v>
      </c>
      <c r="T1168" s="7" t="str">
        <f t="shared" si="75"/>
        <v>Low Wind</v>
      </c>
    </row>
    <row r="1169" spans="1:20" x14ac:dyDescent="0.25">
      <c r="A1169" s="7" t="s">
        <v>1234</v>
      </c>
      <c r="B1169" s="10">
        <v>45894</v>
      </c>
      <c r="C1169" s="11" t="s">
        <v>77</v>
      </c>
      <c r="D1169" s="11" t="s">
        <v>39</v>
      </c>
      <c r="E1169" s="7" t="s">
        <v>19</v>
      </c>
      <c r="F1169" s="9">
        <v>35.799999999999997</v>
      </c>
      <c r="G1169" s="9">
        <v>37.5</v>
      </c>
      <c r="H1169" s="9">
        <v>61.1</v>
      </c>
      <c r="I1169" s="9">
        <v>6.6</v>
      </c>
      <c r="J1169" s="9">
        <v>0.63</v>
      </c>
      <c r="K1169" s="9">
        <v>13.4</v>
      </c>
      <c r="L1169" s="7">
        <v>12.3</v>
      </c>
      <c r="M1169" s="7">
        <v>61.3</v>
      </c>
      <c r="N1169" s="7">
        <v>1.9</v>
      </c>
      <c r="O1169" s="7">
        <v>157</v>
      </c>
      <c r="P1169" s="7" t="s">
        <v>33</v>
      </c>
      <c r="Q1169" s="7" t="str">
        <f t="shared" si="72"/>
        <v>Good</v>
      </c>
      <c r="R1169" s="7" t="str">
        <f t="shared" si="73"/>
        <v>Cool</v>
      </c>
      <c r="S1169" s="7" t="str">
        <f t="shared" si="74"/>
        <v>High Humidity</v>
      </c>
      <c r="T1169" s="7" t="str">
        <f t="shared" si="75"/>
        <v>Low Wind</v>
      </c>
    </row>
    <row r="1170" spans="1:20" x14ac:dyDescent="0.25">
      <c r="A1170" s="7" t="s">
        <v>1236</v>
      </c>
      <c r="B1170" s="10">
        <v>45922</v>
      </c>
      <c r="C1170" s="11" t="s">
        <v>93</v>
      </c>
      <c r="D1170" s="11" t="s">
        <v>36</v>
      </c>
      <c r="E1170" s="7" t="s">
        <v>27</v>
      </c>
      <c r="F1170" s="9">
        <v>38.299999999999997</v>
      </c>
      <c r="G1170" s="9">
        <v>104.6</v>
      </c>
      <c r="H1170" s="9">
        <v>39.9</v>
      </c>
      <c r="I1170" s="9">
        <v>13.8</v>
      </c>
      <c r="J1170" s="9">
        <v>1.06</v>
      </c>
      <c r="K1170" s="9">
        <v>22.3</v>
      </c>
      <c r="L1170" s="7">
        <v>12.2</v>
      </c>
      <c r="M1170" s="7">
        <v>76.8</v>
      </c>
      <c r="N1170" s="7">
        <v>0.7</v>
      </c>
      <c r="O1170" s="7">
        <v>207</v>
      </c>
      <c r="P1170" s="7" t="s">
        <v>28</v>
      </c>
      <c r="Q1170" s="7" t="str">
        <f t="shared" si="72"/>
        <v>Unhealthy</v>
      </c>
      <c r="R1170" s="7" t="str">
        <f t="shared" si="73"/>
        <v>Cool</v>
      </c>
      <c r="S1170" s="7" t="str">
        <f t="shared" si="74"/>
        <v>High Humidity</v>
      </c>
      <c r="T1170" s="7" t="str">
        <f t="shared" si="75"/>
        <v>Low Wind</v>
      </c>
    </row>
    <row r="1171" spans="1:20" x14ac:dyDescent="0.25">
      <c r="A1171" s="7" t="s">
        <v>1237</v>
      </c>
      <c r="B1171" s="10">
        <v>45737</v>
      </c>
      <c r="C1171" s="11" t="s">
        <v>99</v>
      </c>
      <c r="D1171" s="11" t="s">
        <v>36</v>
      </c>
      <c r="E1171" s="7" t="s">
        <v>32</v>
      </c>
      <c r="F1171" s="9">
        <v>59.2</v>
      </c>
      <c r="G1171" s="9">
        <v>41.7</v>
      </c>
      <c r="H1171" s="9">
        <v>28.1</v>
      </c>
      <c r="I1171" s="9">
        <v>39.6</v>
      </c>
      <c r="J1171" s="9">
        <v>0.67</v>
      </c>
      <c r="K1171" s="9">
        <v>26</v>
      </c>
      <c r="L1171" s="7">
        <v>21.3</v>
      </c>
      <c r="M1171" s="7">
        <v>77.400000000000006</v>
      </c>
      <c r="N1171" s="7">
        <v>3</v>
      </c>
      <c r="O1171" s="7">
        <v>200</v>
      </c>
      <c r="P1171" s="7" t="s">
        <v>33</v>
      </c>
      <c r="Q1171" s="7" t="str">
        <f t="shared" si="72"/>
        <v>Good</v>
      </c>
      <c r="R1171" s="7" t="str">
        <f t="shared" si="73"/>
        <v>Normal</v>
      </c>
      <c r="S1171" s="7" t="str">
        <f t="shared" si="74"/>
        <v>High Humidity</v>
      </c>
      <c r="T1171" s="7" t="str">
        <f t="shared" si="75"/>
        <v>Moderate Wind</v>
      </c>
    </row>
    <row r="1172" spans="1:20" x14ac:dyDescent="0.25">
      <c r="A1172" s="7" t="s">
        <v>1238</v>
      </c>
      <c r="B1172" s="10">
        <v>45832</v>
      </c>
      <c r="C1172" s="11" t="s">
        <v>26</v>
      </c>
      <c r="D1172" s="11" t="s">
        <v>23</v>
      </c>
      <c r="E1172" s="7" t="s">
        <v>91</v>
      </c>
      <c r="F1172" s="9">
        <v>28.7</v>
      </c>
      <c r="G1172" s="9">
        <v>98.9</v>
      </c>
      <c r="H1172" s="9">
        <v>24.6</v>
      </c>
      <c r="I1172" s="9">
        <v>19.5</v>
      </c>
      <c r="J1172" s="9">
        <v>1.21</v>
      </c>
      <c r="K1172" s="9">
        <v>32.799999999999997</v>
      </c>
      <c r="L1172" s="7">
        <v>27.2</v>
      </c>
      <c r="M1172" s="7">
        <v>67.400000000000006</v>
      </c>
      <c r="N1172" s="7">
        <v>2.6</v>
      </c>
      <c r="O1172" s="7">
        <v>189</v>
      </c>
      <c r="P1172" s="7" t="s">
        <v>33</v>
      </c>
      <c r="Q1172" s="7" t="str">
        <f t="shared" si="72"/>
        <v>Moderate</v>
      </c>
      <c r="R1172" s="7" t="str">
        <f t="shared" si="73"/>
        <v>Normal</v>
      </c>
      <c r="S1172" s="7" t="str">
        <f t="shared" si="74"/>
        <v>High Humidity</v>
      </c>
      <c r="T1172" s="7" t="str">
        <f t="shared" si="75"/>
        <v>Moderate Wind</v>
      </c>
    </row>
    <row r="1173" spans="1:20" x14ac:dyDescent="0.25">
      <c r="A1173" s="7" t="s">
        <v>1239</v>
      </c>
      <c r="B1173" s="10">
        <v>45876</v>
      </c>
      <c r="C1173" s="11" t="s">
        <v>77</v>
      </c>
      <c r="D1173" s="11" t="s">
        <v>39</v>
      </c>
      <c r="E1173" s="7" t="s">
        <v>32</v>
      </c>
      <c r="F1173" s="9">
        <v>127.8</v>
      </c>
      <c r="G1173" s="9">
        <v>57.1</v>
      </c>
      <c r="H1173" s="9">
        <v>39.5</v>
      </c>
      <c r="I1173" s="9">
        <v>9.5</v>
      </c>
      <c r="J1173" s="9">
        <v>0.16</v>
      </c>
      <c r="K1173" s="9">
        <v>25.2</v>
      </c>
      <c r="L1173" s="7">
        <v>22.4</v>
      </c>
      <c r="M1173" s="7">
        <v>90.2</v>
      </c>
      <c r="N1173" s="7">
        <v>2.4</v>
      </c>
      <c r="O1173" s="7">
        <v>295</v>
      </c>
      <c r="P1173" s="7" t="s">
        <v>28</v>
      </c>
      <c r="Q1173" s="7" t="str">
        <f t="shared" si="72"/>
        <v>Moderate</v>
      </c>
      <c r="R1173" s="7" t="str">
        <f t="shared" si="73"/>
        <v>Normal</v>
      </c>
      <c r="S1173" s="7" t="str">
        <f t="shared" si="74"/>
        <v>High Humidity</v>
      </c>
      <c r="T1173" s="7" t="str">
        <f t="shared" si="75"/>
        <v>Moderate Wind</v>
      </c>
    </row>
    <row r="1174" spans="1:20" x14ac:dyDescent="0.25">
      <c r="A1174" s="7" t="s">
        <v>1240</v>
      </c>
      <c r="B1174" s="10">
        <v>45947</v>
      </c>
      <c r="C1174" s="11" t="s">
        <v>54</v>
      </c>
      <c r="D1174" s="11" t="s">
        <v>18</v>
      </c>
      <c r="E1174" s="7" t="s">
        <v>91</v>
      </c>
      <c r="F1174" s="9">
        <v>17.600000000000001</v>
      </c>
      <c r="G1174" s="9">
        <v>184.2</v>
      </c>
      <c r="H1174" s="9">
        <v>16.3</v>
      </c>
      <c r="I1174" s="9">
        <v>7.3</v>
      </c>
      <c r="J1174" s="9">
        <v>0.13</v>
      </c>
      <c r="K1174" s="9">
        <v>40.299999999999997</v>
      </c>
      <c r="L1174" s="7">
        <v>34.6</v>
      </c>
      <c r="M1174" s="7">
        <v>59.7</v>
      </c>
      <c r="N1174" s="7">
        <v>2.2999999999999998</v>
      </c>
      <c r="O1174" s="7">
        <v>187</v>
      </c>
      <c r="P1174" s="7" t="s">
        <v>33</v>
      </c>
      <c r="Q1174" s="7" t="str">
        <f t="shared" si="72"/>
        <v>VeryUnhealthy</v>
      </c>
      <c r="R1174" s="7" t="str">
        <f t="shared" si="73"/>
        <v>Hot</v>
      </c>
      <c r="S1174" s="7" t="str">
        <f t="shared" si="74"/>
        <v>Normal Humidity</v>
      </c>
      <c r="T1174" s="7" t="str">
        <f t="shared" si="75"/>
        <v>Moderate Wind</v>
      </c>
    </row>
    <row r="1175" spans="1:20" x14ac:dyDescent="0.25">
      <c r="A1175" s="7" t="s">
        <v>1241</v>
      </c>
      <c r="B1175" s="10">
        <v>45843</v>
      </c>
      <c r="C1175" s="11" t="s">
        <v>22</v>
      </c>
      <c r="D1175" s="11" t="s">
        <v>23</v>
      </c>
      <c r="E1175" s="7" t="s">
        <v>97</v>
      </c>
      <c r="F1175" s="9">
        <v>22.2</v>
      </c>
      <c r="G1175" s="9">
        <v>43.3</v>
      </c>
      <c r="H1175" s="9">
        <v>6.7</v>
      </c>
      <c r="I1175" s="9">
        <v>6</v>
      </c>
      <c r="J1175" s="9">
        <v>0.74</v>
      </c>
      <c r="K1175" s="9">
        <v>29.3</v>
      </c>
      <c r="L1175" s="7">
        <v>36.799999999999997</v>
      </c>
      <c r="M1175" s="7">
        <v>59.6</v>
      </c>
      <c r="N1175" s="7">
        <v>2.5</v>
      </c>
      <c r="O1175" s="7">
        <v>105</v>
      </c>
      <c r="P1175" s="7" t="s">
        <v>33</v>
      </c>
      <c r="Q1175" s="7" t="str">
        <f t="shared" si="72"/>
        <v>Good</v>
      </c>
      <c r="R1175" s="7" t="str">
        <f t="shared" si="73"/>
        <v>Hot</v>
      </c>
      <c r="S1175" s="7" t="str">
        <f t="shared" si="74"/>
        <v>Normal Humidity</v>
      </c>
      <c r="T1175" s="7" t="str">
        <f t="shared" si="75"/>
        <v>Moderate Wind</v>
      </c>
    </row>
    <row r="1176" spans="1:20" x14ac:dyDescent="0.25">
      <c r="A1176" s="7" t="s">
        <v>1242</v>
      </c>
      <c r="B1176" s="10">
        <v>45871</v>
      </c>
      <c r="C1176" s="11" t="s">
        <v>77</v>
      </c>
      <c r="D1176" s="11" t="s">
        <v>39</v>
      </c>
      <c r="E1176" s="7" t="s">
        <v>91</v>
      </c>
      <c r="F1176" s="9">
        <v>45.9</v>
      </c>
      <c r="G1176" s="9">
        <v>110.8</v>
      </c>
      <c r="H1176" s="9">
        <v>7.5</v>
      </c>
      <c r="I1176" s="9">
        <v>16.2</v>
      </c>
      <c r="J1176" s="9">
        <v>0.36</v>
      </c>
      <c r="K1176" s="9">
        <v>19</v>
      </c>
      <c r="L1176" s="7">
        <v>31.7</v>
      </c>
      <c r="M1176" s="7">
        <v>69.2</v>
      </c>
      <c r="N1176" s="7">
        <v>2.2999999999999998</v>
      </c>
      <c r="O1176" s="7">
        <v>180</v>
      </c>
      <c r="P1176" s="7" t="s">
        <v>33</v>
      </c>
      <c r="Q1176" s="7" t="str">
        <f t="shared" si="72"/>
        <v>Unhealthy</v>
      </c>
      <c r="R1176" s="7" t="str">
        <f t="shared" si="73"/>
        <v>Hot</v>
      </c>
      <c r="S1176" s="7" t="str">
        <f t="shared" si="74"/>
        <v>High Humidity</v>
      </c>
      <c r="T1176" s="7" t="str">
        <f t="shared" si="75"/>
        <v>Moderate Wind</v>
      </c>
    </row>
    <row r="1177" spans="1:20" x14ac:dyDescent="0.25">
      <c r="A1177" s="7" t="s">
        <v>1243</v>
      </c>
      <c r="B1177" s="10">
        <v>45843</v>
      </c>
      <c r="C1177" s="11" t="s">
        <v>17</v>
      </c>
      <c r="D1177" s="11" t="s">
        <v>18</v>
      </c>
      <c r="E1177" s="7" t="s">
        <v>55</v>
      </c>
      <c r="F1177" s="9">
        <v>78.3</v>
      </c>
      <c r="G1177" s="9">
        <v>71.2</v>
      </c>
      <c r="H1177" s="9">
        <v>29.4</v>
      </c>
      <c r="I1177" s="9">
        <v>0.4</v>
      </c>
      <c r="J1177" s="9">
        <v>0.96</v>
      </c>
      <c r="K1177" s="9">
        <v>20.399999999999999</v>
      </c>
      <c r="L1177" s="7">
        <v>25.8</v>
      </c>
      <c r="M1177" s="7">
        <v>56.4</v>
      </c>
      <c r="N1177" s="7">
        <v>0.8</v>
      </c>
      <c r="O1177" s="7">
        <v>229</v>
      </c>
      <c r="P1177" s="7" t="s">
        <v>28</v>
      </c>
      <c r="Q1177" s="7" t="str">
        <f t="shared" si="72"/>
        <v>Moderate</v>
      </c>
      <c r="R1177" s="7" t="str">
        <f t="shared" si="73"/>
        <v>Normal</v>
      </c>
      <c r="S1177" s="7" t="str">
        <f t="shared" si="74"/>
        <v>Normal Humidity</v>
      </c>
      <c r="T1177" s="7" t="str">
        <f t="shared" si="75"/>
        <v>Low Wind</v>
      </c>
    </row>
    <row r="1178" spans="1:20" x14ac:dyDescent="0.25">
      <c r="A1178" s="7" t="s">
        <v>1244</v>
      </c>
      <c r="B1178" s="10">
        <v>45774</v>
      </c>
      <c r="C1178" s="11" t="s">
        <v>93</v>
      </c>
      <c r="D1178" s="11" t="s">
        <v>36</v>
      </c>
      <c r="E1178" s="7" t="s">
        <v>61</v>
      </c>
      <c r="F1178" s="9">
        <v>74</v>
      </c>
      <c r="G1178" s="9">
        <v>72.8</v>
      </c>
      <c r="H1178" s="9">
        <v>35.700000000000003</v>
      </c>
      <c r="I1178" s="9">
        <v>1.6</v>
      </c>
      <c r="J1178" s="9">
        <v>1.65</v>
      </c>
      <c r="K1178" s="9">
        <v>84.5</v>
      </c>
      <c r="L1178" s="7">
        <v>24.2</v>
      </c>
      <c r="M1178" s="7">
        <v>86</v>
      </c>
      <c r="N1178" s="7">
        <v>1.6</v>
      </c>
      <c r="O1178" s="7">
        <v>275</v>
      </c>
      <c r="P1178" s="7" t="s">
        <v>28</v>
      </c>
      <c r="Q1178" s="7" t="str">
        <f t="shared" si="72"/>
        <v>Moderate</v>
      </c>
      <c r="R1178" s="7" t="str">
        <f t="shared" si="73"/>
        <v>Normal</v>
      </c>
      <c r="S1178" s="7" t="str">
        <f t="shared" si="74"/>
        <v>High Humidity</v>
      </c>
      <c r="T1178" s="7" t="str">
        <f t="shared" si="75"/>
        <v>Low Wind</v>
      </c>
    </row>
    <row r="1179" spans="1:20" x14ac:dyDescent="0.25">
      <c r="A1179" s="7" t="s">
        <v>1245</v>
      </c>
      <c r="B1179" s="10">
        <v>45663</v>
      </c>
      <c r="C1179" s="11" t="s">
        <v>64</v>
      </c>
      <c r="D1179" s="11" t="s">
        <v>36</v>
      </c>
      <c r="E1179" s="7" t="s">
        <v>58</v>
      </c>
      <c r="F1179" s="9">
        <v>63.3</v>
      </c>
      <c r="G1179" s="9">
        <v>121.9</v>
      </c>
      <c r="H1179" s="9">
        <v>18.8</v>
      </c>
      <c r="I1179" s="9">
        <v>6.3</v>
      </c>
      <c r="J1179" s="9">
        <v>0.83</v>
      </c>
      <c r="K1179" s="9">
        <v>37.9</v>
      </c>
      <c r="L1179" s="7">
        <v>28.1</v>
      </c>
      <c r="M1179" s="7">
        <v>49.5</v>
      </c>
      <c r="N1179" s="7">
        <v>3.2</v>
      </c>
      <c r="O1179" s="7">
        <v>238</v>
      </c>
      <c r="P1179" s="7" t="s">
        <v>28</v>
      </c>
      <c r="Q1179" s="7" t="str">
        <f t="shared" si="72"/>
        <v>Unhealthy</v>
      </c>
      <c r="R1179" s="7" t="str">
        <f t="shared" si="73"/>
        <v>Normal</v>
      </c>
      <c r="S1179" s="7" t="str">
        <f t="shared" si="74"/>
        <v>Normal Humidity</v>
      </c>
      <c r="T1179" s="7" t="str">
        <f t="shared" si="75"/>
        <v>Moderate Wind</v>
      </c>
    </row>
    <row r="1180" spans="1:20" x14ac:dyDescent="0.25">
      <c r="A1180" s="7" t="s">
        <v>1246</v>
      </c>
      <c r="B1180" s="10">
        <v>45951</v>
      </c>
      <c r="C1180" s="11" t="s">
        <v>38</v>
      </c>
      <c r="D1180" s="11" t="s">
        <v>39</v>
      </c>
      <c r="E1180" s="7" t="s">
        <v>32</v>
      </c>
      <c r="F1180" s="9">
        <v>127.7</v>
      </c>
      <c r="G1180" s="9">
        <v>41.4</v>
      </c>
      <c r="H1180" s="9">
        <v>25.8</v>
      </c>
      <c r="I1180" s="9">
        <v>16.3</v>
      </c>
      <c r="J1180" s="9">
        <v>3.16</v>
      </c>
      <c r="K1180" s="9">
        <v>24.3</v>
      </c>
      <c r="L1180" s="7">
        <v>37.299999999999997</v>
      </c>
      <c r="M1180" s="7">
        <v>71.599999999999994</v>
      </c>
      <c r="N1180" s="7">
        <v>3.8</v>
      </c>
      <c r="O1180" s="7">
        <v>353</v>
      </c>
      <c r="P1180" s="7" t="s">
        <v>20</v>
      </c>
      <c r="Q1180" s="7" t="str">
        <f t="shared" si="72"/>
        <v>Good</v>
      </c>
      <c r="R1180" s="7" t="str">
        <f t="shared" si="73"/>
        <v>Hot</v>
      </c>
      <c r="S1180" s="7" t="str">
        <f t="shared" si="74"/>
        <v>High Humidity</v>
      </c>
      <c r="T1180" s="7" t="str">
        <f t="shared" si="75"/>
        <v>Moderate Wind</v>
      </c>
    </row>
    <row r="1181" spans="1:20" x14ac:dyDescent="0.25">
      <c r="A1181" s="7" t="s">
        <v>1247</v>
      </c>
      <c r="B1181" s="10">
        <v>45751</v>
      </c>
      <c r="C1181" s="11" t="s">
        <v>35</v>
      </c>
      <c r="D1181" s="11" t="s">
        <v>36</v>
      </c>
      <c r="E1181" s="7" t="s">
        <v>32</v>
      </c>
      <c r="F1181" s="9">
        <v>56.9</v>
      </c>
      <c r="G1181" s="9">
        <v>193.5</v>
      </c>
      <c r="H1181" s="9">
        <v>15.5</v>
      </c>
      <c r="I1181" s="9">
        <v>9.4</v>
      </c>
      <c r="J1181" s="9">
        <v>0.56999999999999995</v>
      </c>
      <c r="K1181" s="9">
        <v>56.3</v>
      </c>
      <c r="L1181" s="7">
        <v>19</v>
      </c>
      <c r="M1181" s="7">
        <v>50</v>
      </c>
      <c r="N1181" s="7">
        <v>2.2000000000000002</v>
      </c>
      <c r="O1181" s="7">
        <v>275</v>
      </c>
      <c r="P1181" s="7" t="s">
        <v>28</v>
      </c>
      <c r="Q1181" s="7" t="str">
        <f t="shared" si="72"/>
        <v>VeryUnhealthy</v>
      </c>
      <c r="R1181" s="7" t="str">
        <f t="shared" si="73"/>
        <v>Cool</v>
      </c>
      <c r="S1181" s="7" t="str">
        <f t="shared" si="74"/>
        <v>Normal Humidity</v>
      </c>
      <c r="T1181" s="7" t="str">
        <f t="shared" si="75"/>
        <v>Moderate Wind</v>
      </c>
    </row>
    <row r="1182" spans="1:20" x14ac:dyDescent="0.25">
      <c r="A1182" s="7" t="s">
        <v>1248</v>
      </c>
      <c r="B1182" s="10">
        <v>45800</v>
      </c>
      <c r="C1182" s="11" t="s">
        <v>42</v>
      </c>
      <c r="D1182" s="11" t="s">
        <v>23</v>
      </c>
      <c r="E1182" s="7" t="s">
        <v>24</v>
      </c>
      <c r="F1182" s="9">
        <v>78.8</v>
      </c>
      <c r="G1182" s="9">
        <v>188.8</v>
      </c>
      <c r="H1182" s="9">
        <v>8</v>
      </c>
      <c r="I1182" s="9">
        <v>5.8</v>
      </c>
      <c r="J1182" s="9">
        <v>1.44</v>
      </c>
      <c r="K1182" s="9">
        <v>17.3</v>
      </c>
      <c r="L1182" s="7">
        <v>24.3</v>
      </c>
      <c r="M1182" s="7">
        <v>74.3</v>
      </c>
      <c r="N1182" s="7">
        <v>2.9</v>
      </c>
      <c r="O1182" s="7">
        <v>303</v>
      </c>
      <c r="P1182" s="7" t="s">
        <v>20</v>
      </c>
      <c r="Q1182" s="7" t="str">
        <f t="shared" si="72"/>
        <v>VeryUnhealthy</v>
      </c>
      <c r="R1182" s="7" t="str">
        <f t="shared" si="73"/>
        <v>Normal</v>
      </c>
      <c r="S1182" s="7" t="str">
        <f t="shared" si="74"/>
        <v>High Humidity</v>
      </c>
      <c r="T1182" s="7" t="str">
        <f t="shared" si="75"/>
        <v>Moderate Wind</v>
      </c>
    </row>
    <row r="1183" spans="1:20" x14ac:dyDescent="0.25">
      <c r="A1183" s="7" t="s">
        <v>1249</v>
      </c>
      <c r="B1183" s="10">
        <v>45756</v>
      </c>
      <c r="C1183" s="11" t="s">
        <v>38</v>
      </c>
      <c r="D1183" s="11" t="s">
        <v>39</v>
      </c>
      <c r="E1183" s="7" t="s">
        <v>70</v>
      </c>
      <c r="F1183" s="9">
        <v>47.9</v>
      </c>
      <c r="G1183" s="9">
        <v>131.5</v>
      </c>
      <c r="H1183" s="9">
        <v>32.4</v>
      </c>
      <c r="I1183" s="9">
        <v>9.3000000000000007</v>
      </c>
      <c r="J1183" s="9">
        <v>1.02</v>
      </c>
      <c r="K1183" s="9">
        <v>48.4</v>
      </c>
      <c r="L1183" s="7">
        <v>29</v>
      </c>
      <c r="M1183" s="7">
        <v>65.900000000000006</v>
      </c>
      <c r="N1183" s="7">
        <v>3.7</v>
      </c>
      <c r="O1183" s="7">
        <v>242</v>
      </c>
      <c r="P1183" s="7" t="s">
        <v>28</v>
      </c>
      <c r="Q1183" s="7" t="str">
        <f t="shared" si="72"/>
        <v>Unhealthy</v>
      </c>
      <c r="R1183" s="7" t="str">
        <f t="shared" si="73"/>
        <v>Normal</v>
      </c>
      <c r="S1183" s="7" t="str">
        <f t="shared" si="74"/>
        <v>High Humidity</v>
      </c>
      <c r="T1183" s="7" t="str">
        <f t="shared" si="75"/>
        <v>Moderate Wind</v>
      </c>
    </row>
    <row r="1184" spans="1:20" x14ac:dyDescent="0.25">
      <c r="A1184" s="7" t="s">
        <v>1250</v>
      </c>
      <c r="B1184" s="10">
        <v>45911</v>
      </c>
      <c r="C1184" s="11" t="s">
        <v>54</v>
      </c>
      <c r="D1184" s="11" t="s">
        <v>18</v>
      </c>
      <c r="E1184" s="7" t="s">
        <v>58</v>
      </c>
      <c r="F1184" s="9">
        <v>60.6</v>
      </c>
      <c r="G1184" s="9">
        <v>54.9</v>
      </c>
      <c r="H1184" s="9">
        <v>42.5</v>
      </c>
      <c r="I1184" s="9">
        <v>16</v>
      </c>
      <c r="J1184" s="9">
        <v>0.08</v>
      </c>
      <c r="K1184" s="9">
        <v>25.5</v>
      </c>
      <c r="L1184" s="7">
        <v>29.2</v>
      </c>
      <c r="M1184" s="7">
        <v>74.7</v>
      </c>
      <c r="N1184" s="7">
        <v>2.5</v>
      </c>
      <c r="O1184" s="7">
        <v>191</v>
      </c>
      <c r="P1184" s="7" t="s">
        <v>33</v>
      </c>
      <c r="Q1184" s="7" t="str">
        <f t="shared" si="72"/>
        <v>Moderate</v>
      </c>
      <c r="R1184" s="7" t="str">
        <f t="shared" si="73"/>
        <v>Normal</v>
      </c>
      <c r="S1184" s="7" t="str">
        <f t="shared" si="74"/>
        <v>High Humidity</v>
      </c>
      <c r="T1184" s="7" t="str">
        <f t="shared" si="75"/>
        <v>Moderate Wind</v>
      </c>
    </row>
    <row r="1185" spans="1:20" x14ac:dyDescent="0.25">
      <c r="A1185" s="7" t="s">
        <v>1251</v>
      </c>
      <c r="B1185" s="10">
        <v>45690</v>
      </c>
      <c r="C1185" s="11" t="s">
        <v>77</v>
      </c>
      <c r="D1185" s="11" t="s">
        <v>39</v>
      </c>
      <c r="E1185" s="7" t="s">
        <v>61</v>
      </c>
      <c r="F1185" s="9">
        <v>51.9</v>
      </c>
      <c r="G1185" s="9">
        <v>144.9</v>
      </c>
      <c r="H1185" s="9">
        <v>88.8</v>
      </c>
      <c r="I1185" s="9">
        <v>6.5</v>
      </c>
      <c r="J1185" s="9">
        <v>0.36</v>
      </c>
      <c r="K1185" s="9">
        <v>39.700000000000003</v>
      </c>
      <c r="L1185" s="7">
        <v>22.4</v>
      </c>
      <c r="M1185" s="7">
        <v>55.5</v>
      </c>
      <c r="N1185" s="7">
        <v>3.3</v>
      </c>
      <c r="O1185" s="7">
        <v>280</v>
      </c>
      <c r="P1185" s="7" t="s">
        <v>28</v>
      </c>
      <c r="Q1185" s="7" t="str">
        <f t="shared" si="72"/>
        <v>Unhealthy</v>
      </c>
      <c r="R1185" s="7" t="str">
        <f t="shared" si="73"/>
        <v>Normal</v>
      </c>
      <c r="S1185" s="7" t="str">
        <f t="shared" si="74"/>
        <v>Normal Humidity</v>
      </c>
      <c r="T1185" s="7" t="str">
        <f t="shared" si="75"/>
        <v>Moderate Wind</v>
      </c>
    </row>
    <row r="1186" spans="1:20" x14ac:dyDescent="0.25">
      <c r="A1186" s="7" t="s">
        <v>1252</v>
      </c>
      <c r="B1186" s="10">
        <v>45825</v>
      </c>
      <c r="C1186" s="11" t="s">
        <v>35</v>
      </c>
      <c r="D1186" s="11" t="s">
        <v>36</v>
      </c>
      <c r="E1186" s="7" t="s">
        <v>40</v>
      </c>
      <c r="F1186" s="9">
        <v>57.4</v>
      </c>
      <c r="G1186" s="9">
        <v>82</v>
      </c>
      <c r="H1186" s="9">
        <v>28.1</v>
      </c>
      <c r="I1186" s="9">
        <v>8</v>
      </c>
      <c r="J1186" s="9">
        <v>1.99</v>
      </c>
      <c r="K1186" s="9">
        <v>9.5</v>
      </c>
      <c r="L1186" s="7">
        <v>26.5</v>
      </c>
      <c r="M1186" s="7">
        <v>98</v>
      </c>
      <c r="N1186" s="7">
        <v>2</v>
      </c>
      <c r="O1186" s="7">
        <v>227</v>
      </c>
      <c r="P1186" s="7" t="s">
        <v>28</v>
      </c>
      <c r="Q1186" s="7" t="str">
        <f t="shared" si="72"/>
        <v>Moderate</v>
      </c>
      <c r="R1186" s="7" t="str">
        <f t="shared" si="73"/>
        <v>Normal</v>
      </c>
      <c r="S1186" s="7" t="str">
        <f t="shared" si="74"/>
        <v>High Humidity</v>
      </c>
      <c r="T1186" s="7" t="str">
        <f t="shared" si="75"/>
        <v>Moderate Wind</v>
      </c>
    </row>
    <row r="1187" spans="1:20" x14ac:dyDescent="0.25">
      <c r="A1187" s="7" t="s">
        <v>1253</v>
      </c>
      <c r="B1187" s="10">
        <v>45796</v>
      </c>
      <c r="C1187" s="11" t="s">
        <v>67</v>
      </c>
      <c r="D1187" s="11" t="s">
        <v>18</v>
      </c>
      <c r="E1187" s="7" t="s">
        <v>55</v>
      </c>
      <c r="F1187" s="9">
        <v>74.2</v>
      </c>
      <c r="G1187" s="9">
        <v>36.1</v>
      </c>
      <c r="H1187" s="9">
        <v>20.3</v>
      </c>
      <c r="I1187" s="9">
        <v>4.4000000000000004</v>
      </c>
      <c r="J1187" s="9">
        <v>1.07</v>
      </c>
      <c r="K1187" s="9">
        <v>53.7</v>
      </c>
      <c r="L1187" s="7">
        <v>28.2</v>
      </c>
      <c r="M1187" s="7">
        <v>58.5</v>
      </c>
      <c r="N1187" s="7">
        <v>2.4</v>
      </c>
      <c r="O1187" s="7">
        <v>212</v>
      </c>
      <c r="P1187" s="7" t="s">
        <v>28</v>
      </c>
      <c r="Q1187" s="7" t="str">
        <f t="shared" si="72"/>
        <v>Good</v>
      </c>
      <c r="R1187" s="7" t="str">
        <f t="shared" si="73"/>
        <v>Normal</v>
      </c>
      <c r="S1187" s="7" t="str">
        <f t="shared" si="74"/>
        <v>Normal Humidity</v>
      </c>
      <c r="T1187" s="7" t="str">
        <f t="shared" si="75"/>
        <v>Moderate Wind</v>
      </c>
    </row>
    <row r="1188" spans="1:20" x14ac:dyDescent="0.25">
      <c r="A1188" s="7" t="s">
        <v>1254</v>
      </c>
      <c r="B1188" s="10">
        <v>45877</v>
      </c>
      <c r="C1188" s="11" t="s">
        <v>42</v>
      </c>
      <c r="D1188" s="11" t="s">
        <v>23</v>
      </c>
      <c r="E1188" s="7" t="s">
        <v>61</v>
      </c>
      <c r="F1188" s="9">
        <v>41.3</v>
      </c>
      <c r="G1188" s="9">
        <v>133.4</v>
      </c>
      <c r="H1188" s="9">
        <v>33.799999999999997</v>
      </c>
      <c r="I1188" s="9">
        <v>15.2</v>
      </c>
      <c r="J1188" s="9">
        <v>0.63</v>
      </c>
      <c r="K1188" s="9">
        <v>34.200000000000003</v>
      </c>
      <c r="L1188" s="7">
        <v>23.5</v>
      </c>
      <c r="M1188" s="7">
        <v>41.4</v>
      </c>
      <c r="N1188" s="7">
        <v>0.3</v>
      </c>
      <c r="O1188" s="7">
        <v>222</v>
      </c>
      <c r="P1188" s="7" t="s">
        <v>28</v>
      </c>
      <c r="Q1188" s="7" t="str">
        <f t="shared" si="72"/>
        <v>Unhealthy</v>
      </c>
      <c r="R1188" s="7" t="str">
        <f t="shared" si="73"/>
        <v>Normal</v>
      </c>
      <c r="S1188" s="7" t="str">
        <f t="shared" si="74"/>
        <v>Normal Humidity</v>
      </c>
      <c r="T1188" s="7" t="str">
        <f t="shared" si="75"/>
        <v>Low Wind</v>
      </c>
    </row>
    <row r="1189" spans="1:20" x14ac:dyDescent="0.25">
      <c r="A1189" s="7" t="s">
        <v>1255</v>
      </c>
      <c r="B1189" s="10">
        <v>45821</v>
      </c>
      <c r="C1189" s="11" t="s">
        <v>93</v>
      </c>
      <c r="D1189" s="11" t="s">
        <v>36</v>
      </c>
      <c r="E1189" s="7" t="s">
        <v>97</v>
      </c>
      <c r="F1189" s="9">
        <v>53.5</v>
      </c>
      <c r="G1189" s="9">
        <v>198.6</v>
      </c>
      <c r="H1189" s="9">
        <v>48.7</v>
      </c>
      <c r="I1189" s="9">
        <v>7.4</v>
      </c>
      <c r="J1189" s="9">
        <v>0.4</v>
      </c>
      <c r="K1189" s="9">
        <v>99.2</v>
      </c>
      <c r="L1189" s="7">
        <v>32.1</v>
      </c>
      <c r="M1189" s="7">
        <v>61.7</v>
      </c>
      <c r="N1189" s="7">
        <v>2.9</v>
      </c>
      <c r="O1189" s="7">
        <v>313</v>
      </c>
      <c r="P1189" s="7" t="s">
        <v>20</v>
      </c>
      <c r="Q1189" s="7" t="str">
        <f t="shared" si="72"/>
        <v>VeryUnhealthy</v>
      </c>
      <c r="R1189" s="7" t="str">
        <f t="shared" si="73"/>
        <v>Hot</v>
      </c>
      <c r="S1189" s="7" t="str">
        <f t="shared" si="74"/>
        <v>High Humidity</v>
      </c>
      <c r="T1189" s="7" t="str">
        <f t="shared" si="75"/>
        <v>Moderate Wind</v>
      </c>
    </row>
    <row r="1190" spans="1:20" x14ac:dyDescent="0.25">
      <c r="A1190" s="7" t="s">
        <v>1256</v>
      </c>
      <c r="B1190" s="10">
        <v>45736</v>
      </c>
      <c r="C1190" s="11" t="s">
        <v>67</v>
      </c>
      <c r="D1190" s="11" t="s">
        <v>18</v>
      </c>
      <c r="E1190" s="7" t="s">
        <v>40</v>
      </c>
      <c r="F1190" s="9">
        <v>57.2</v>
      </c>
      <c r="G1190" s="9">
        <v>84.6</v>
      </c>
      <c r="H1190" s="9">
        <v>33.700000000000003</v>
      </c>
      <c r="I1190" s="9">
        <v>21.2</v>
      </c>
      <c r="J1190" s="9">
        <v>0.28000000000000003</v>
      </c>
      <c r="K1190" s="9">
        <v>35.299999999999997</v>
      </c>
      <c r="L1190" s="7">
        <v>26.8</v>
      </c>
      <c r="M1190" s="7">
        <v>77.599999999999994</v>
      </c>
      <c r="N1190" s="7">
        <v>1.3</v>
      </c>
      <c r="O1190" s="7">
        <v>211</v>
      </c>
      <c r="P1190" s="7" t="s">
        <v>28</v>
      </c>
      <c r="Q1190" s="7" t="str">
        <f t="shared" si="72"/>
        <v>Moderate</v>
      </c>
      <c r="R1190" s="7" t="str">
        <f t="shared" si="73"/>
        <v>Normal</v>
      </c>
      <c r="S1190" s="7" t="str">
        <f t="shared" si="74"/>
        <v>High Humidity</v>
      </c>
      <c r="T1190" s="7" t="str">
        <f t="shared" si="75"/>
        <v>Low Wind</v>
      </c>
    </row>
    <row r="1191" spans="1:20" x14ac:dyDescent="0.25">
      <c r="A1191" s="7" t="s">
        <v>1257</v>
      </c>
      <c r="B1191" s="10">
        <v>45908</v>
      </c>
      <c r="C1191" s="11" t="s">
        <v>22</v>
      </c>
      <c r="D1191" s="11" t="s">
        <v>23</v>
      </c>
      <c r="E1191" s="7" t="s">
        <v>68</v>
      </c>
      <c r="F1191" s="9">
        <v>53.9</v>
      </c>
      <c r="G1191" s="9">
        <v>95.8</v>
      </c>
      <c r="H1191" s="9">
        <v>35.200000000000003</v>
      </c>
      <c r="I1191" s="9">
        <v>23.2</v>
      </c>
      <c r="J1191" s="9">
        <v>1.5</v>
      </c>
      <c r="K1191" s="9">
        <v>18.399999999999999</v>
      </c>
      <c r="L1191" s="7">
        <v>35</v>
      </c>
      <c r="M1191" s="7">
        <v>67.400000000000006</v>
      </c>
      <c r="N1191" s="7">
        <v>3</v>
      </c>
      <c r="O1191" s="7">
        <v>239</v>
      </c>
      <c r="P1191" s="7" t="s">
        <v>28</v>
      </c>
      <c r="Q1191" s="7" t="str">
        <f t="shared" si="72"/>
        <v>Moderate</v>
      </c>
      <c r="R1191" s="7" t="str">
        <f t="shared" si="73"/>
        <v>Hot</v>
      </c>
      <c r="S1191" s="7" t="str">
        <f t="shared" si="74"/>
        <v>High Humidity</v>
      </c>
      <c r="T1191" s="7" t="str">
        <f t="shared" si="75"/>
        <v>Moderate Wind</v>
      </c>
    </row>
    <row r="1192" spans="1:20" x14ac:dyDescent="0.25">
      <c r="A1192" s="7" t="s">
        <v>1258</v>
      </c>
      <c r="B1192" s="10">
        <v>45946</v>
      </c>
      <c r="C1192" s="11" t="s">
        <v>17</v>
      </c>
      <c r="D1192" s="11" t="s">
        <v>18</v>
      </c>
      <c r="E1192" s="7" t="s">
        <v>70</v>
      </c>
      <c r="F1192" s="9">
        <v>35.4</v>
      </c>
      <c r="G1192" s="9">
        <v>59</v>
      </c>
      <c r="H1192" s="9">
        <v>11.3</v>
      </c>
      <c r="I1192" s="9">
        <v>4.5999999999999996</v>
      </c>
      <c r="J1192" s="9">
        <v>0.47</v>
      </c>
      <c r="K1192" s="9">
        <v>46.2</v>
      </c>
      <c r="L1192" s="7">
        <v>27.6</v>
      </c>
      <c r="M1192" s="7">
        <v>39.1</v>
      </c>
      <c r="N1192" s="7">
        <v>2.4</v>
      </c>
      <c r="O1192" s="7">
        <v>140</v>
      </c>
      <c r="P1192" s="7" t="s">
        <v>33</v>
      </c>
      <c r="Q1192" s="7" t="str">
        <f t="shared" si="72"/>
        <v>Moderate</v>
      </c>
      <c r="R1192" s="7" t="str">
        <f t="shared" si="73"/>
        <v>Normal</v>
      </c>
      <c r="S1192" s="7" t="str">
        <f t="shared" si="74"/>
        <v>Normal Humidity</v>
      </c>
      <c r="T1192" s="7" t="str">
        <f t="shared" si="75"/>
        <v>Moderate Wind</v>
      </c>
    </row>
    <row r="1193" spans="1:20" x14ac:dyDescent="0.25">
      <c r="A1193" s="7" t="s">
        <v>1259</v>
      </c>
      <c r="B1193" s="10">
        <v>45847</v>
      </c>
      <c r="C1193" s="11" t="s">
        <v>22</v>
      </c>
      <c r="D1193" s="11" t="s">
        <v>23</v>
      </c>
      <c r="E1193" s="7" t="s">
        <v>70</v>
      </c>
      <c r="F1193" s="9">
        <v>41.3</v>
      </c>
      <c r="G1193" s="9">
        <v>131.80000000000001</v>
      </c>
      <c r="H1193" s="9">
        <v>18.5</v>
      </c>
      <c r="I1193" s="9">
        <v>12.5</v>
      </c>
      <c r="J1193" s="9">
        <v>0.59</v>
      </c>
      <c r="K1193" s="9">
        <v>50.4</v>
      </c>
      <c r="L1193" s="7">
        <v>33.9</v>
      </c>
      <c r="M1193" s="7">
        <v>73.099999999999994</v>
      </c>
      <c r="N1193" s="7">
        <v>2.5</v>
      </c>
      <c r="O1193" s="7">
        <v>213</v>
      </c>
      <c r="P1193" s="7" t="s">
        <v>28</v>
      </c>
      <c r="Q1193" s="7" t="str">
        <f t="shared" si="72"/>
        <v>Unhealthy</v>
      </c>
      <c r="R1193" s="7" t="str">
        <f t="shared" si="73"/>
        <v>Hot</v>
      </c>
      <c r="S1193" s="7" t="str">
        <f t="shared" si="74"/>
        <v>High Humidity</v>
      </c>
      <c r="T1193" s="7" t="str">
        <f t="shared" si="75"/>
        <v>Moderate Wind</v>
      </c>
    </row>
    <row r="1194" spans="1:20" x14ac:dyDescent="0.25">
      <c r="A1194" s="7" t="s">
        <v>1260</v>
      </c>
      <c r="B1194" s="10">
        <v>45917</v>
      </c>
      <c r="C1194" s="11" t="s">
        <v>93</v>
      </c>
      <c r="D1194" s="11" t="s">
        <v>36</v>
      </c>
      <c r="E1194" s="7" t="s">
        <v>45</v>
      </c>
      <c r="F1194" s="9">
        <v>118.5</v>
      </c>
      <c r="G1194" s="9">
        <v>81</v>
      </c>
      <c r="H1194" s="9">
        <v>8.6</v>
      </c>
      <c r="I1194" s="9">
        <v>15.5</v>
      </c>
      <c r="J1194" s="9">
        <v>0.79</v>
      </c>
      <c r="K1194" s="9">
        <v>35.700000000000003</v>
      </c>
      <c r="L1194" s="7">
        <v>24.9</v>
      </c>
      <c r="M1194" s="7">
        <v>56.6</v>
      </c>
      <c r="N1194" s="7">
        <v>3.7</v>
      </c>
      <c r="O1194" s="7">
        <v>296</v>
      </c>
      <c r="P1194" s="7" t="s">
        <v>28</v>
      </c>
      <c r="Q1194" s="7" t="str">
        <f t="shared" si="72"/>
        <v>Moderate</v>
      </c>
      <c r="R1194" s="7" t="str">
        <f t="shared" si="73"/>
        <v>Normal</v>
      </c>
      <c r="S1194" s="7" t="str">
        <f t="shared" si="74"/>
        <v>Normal Humidity</v>
      </c>
      <c r="T1194" s="7" t="str">
        <f t="shared" si="75"/>
        <v>Moderate Wind</v>
      </c>
    </row>
    <row r="1195" spans="1:20" x14ac:dyDescent="0.25">
      <c r="A1195" s="7" t="s">
        <v>1261</v>
      </c>
      <c r="B1195" s="10">
        <v>45823</v>
      </c>
      <c r="C1195" s="11" t="s">
        <v>50</v>
      </c>
      <c r="D1195" s="11" t="s">
        <v>31</v>
      </c>
      <c r="E1195" s="7" t="s">
        <v>43</v>
      </c>
      <c r="F1195" s="9">
        <v>54.3</v>
      </c>
      <c r="G1195" s="9">
        <v>108.8</v>
      </c>
      <c r="H1195" s="9">
        <v>9.3000000000000007</v>
      </c>
      <c r="I1195" s="9">
        <v>2.8</v>
      </c>
      <c r="J1195" s="9">
        <v>2.15</v>
      </c>
      <c r="K1195" s="9">
        <v>12.2</v>
      </c>
      <c r="L1195" s="7">
        <v>30.5</v>
      </c>
      <c r="M1195" s="7">
        <v>68.099999999999994</v>
      </c>
      <c r="N1195" s="7">
        <v>0.1</v>
      </c>
      <c r="O1195" s="7">
        <v>226</v>
      </c>
      <c r="P1195" s="7" t="s">
        <v>28</v>
      </c>
      <c r="Q1195" s="7" t="str">
        <f t="shared" si="72"/>
        <v>Unhealthy</v>
      </c>
      <c r="R1195" s="7" t="str">
        <f t="shared" si="73"/>
        <v>Hot</v>
      </c>
      <c r="S1195" s="7" t="str">
        <f t="shared" si="74"/>
        <v>High Humidity</v>
      </c>
      <c r="T1195" s="7" t="str">
        <f t="shared" si="75"/>
        <v>Low Wind</v>
      </c>
    </row>
    <row r="1196" spans="1:20" x14ac:dyDescent="0.25">
      <c r="A1196" s="7" t="s">
        <v>1262</v>
      </c>
      <c r="B1196" s="10">
        <v>45858</v>
      </c>
      <c r="C1196" s="11" t="s">
        <v>30</v>
      </c>
      <c r="D1196" s="11" t="s">
        <v>31</v>
      </c>
      <c r="E1196" s="7" t="s">
        <v>61</v>
      </c>
      <c r="F1196" s="9">
        <v>34.200000000000003</v>
      </c>
      <c r="G1196" s="9">
        <v>34.700000000000003</v>
      </c>
      <c r="H1196" s="9">
        <v>35.4</v>
      </c>
      <c r="I1196" s="9">
        <v>10.1</v>
      </c>
      <c r="J1196" s="9">
        <v>0.28999999999999998</v>
      </c>
      <c r="K1196" s="9">
        <v>21.5</v>
      </c>
      <c r="L1196" s="7">
        <v>14.6</v>
      </c>
      <c r="M1196" s="7">
        <v>67.599999999999994</v>
      </c>
      <c r="N1196" s="7">
        <v>2.7</v>
      </c>
      <c r="O1196" s="7">
        <v>130</v>
      </c>
      <c r="P1196" s="7" t="s">
        <v>33</v>
      </c>
      <c r="Q1196" s="7" t="str">
        <f t="shared" si="72"/>
        <v>Good</v>
      </c>
      <c r="R1196" s="7" t="str">
        <f t="shared" si="73"/>
        <v>Cool</v>
      </c>
      <c r="S1196" s="7" t="str">
        <f t="shared" si="74"/>
        <v>High Humidity</v>
      </c>
      <c r="T1196" s="7" t="str">
        <f t="shared" si="75"/>
        <v>Moderate Wind</v>
      </c>
    </row>
    <row r="1197" spans="1:20" x14ac:dyDescent="0.25">
      <c r="A1197" s="7" t="s">
        <v>1263</v>
      </c>
      <c r="B1197" s="10">
        <v>45711</v>
      </c>
      <c r="C1197" s="11" t="s">
        <v>99</v>
      </c>
      <c r="D1197" s="11" t="s">
        <v>36</v>
      </c>
      <c r="E1197" s="7" t="s">
        <v>58</v>
      </c>
      <c r="F1197" s="9">
        <v>28.1</v>
      </c>
      <c r="G1197" s="9">
        <v>62.7</v>
      </c>
      <c r="H1197" s="9">
        <v>6.2</v>
      </c>
      <c r="I1197" s="9">
        <v>26.5</v>
      </c>
      <c r="J1197" s="9">
        <v>0.93</v>
      </c>
      <c r="K1197" s="9">
        <v>26.8</v>
      </c>
      <c r="L1197" s="7">
        <v>24.9</v>
      </c>
      <c r="M1197" s="7">
        <v>86.3</v>
      </c>
      <c r="N1197" s="7">
        <v>2.4</v>
      </c>
      <c r="O1197" s="7">
        <v>145</v>
      </c>
      <c r="P1197" s="7" t="s">
        <v>33</v>
      </c>
      <c r="Q1197" s="7" t="str">
        <f t="shared" si="72"/>
        <v>Moderate</v>
      </c>
      <c r="R1197" s="7" t="str">
        <f t="shared" si="73"/>
        <v>Normal</v>
      </c>
      <c r="S1197" s="7" t="str">
        <f t="shared" si="74"/>
        <v>High Humidity</v>
      </c>
      <c r="T1197" s="7" t="str">
        <f t="shared" si="75"/>
        <v>Moderate Wind</v>
      </c>
    </row>
    <row r="1198" spans="1:20" x14ac:dyDescent="0.25">
      <c r="A1198" s="7" t="s">
        <v>1264</v>
      </c>
      <c r="B1198" s="10">
        <v>45873</v>
      </c>
      <c r="C1198" s="11" t="s">
        <v>64</v>
      </c>
      <c r="D1198" s="11" t="s">
        <v>36</v>
      </c>
      <c r="E1198" s="7" t="s">
        <v>40</v>
      </c>
      <c r="F1198" s="9">
        <v>70.400000000000006</v>
      </c>
      <c r="G1198" s="9">
        <v>80.900000000000006</v>
      </c>
      <c r="H1198" s="9">
        <v>19.600000000000001</v>
      </c>
      <c r="I1198" s="9">
        <v>5</v>
      </c>
      <c r="J1198" s="9">
        <v>0.52</v>
      </c>
      <c r="K1198" s="9">
        <v>51.6</v>
      </c>
      <c r="L1198" s="7">
        <v>21.7</v>
      </c>
      <c r="M1198" s="7">
        <v>71.400000000000006</v>
      </c>
      <c r="N1198" s="7">
        <v>3.2</v>
      </c>
      <c r="O1198" s="7">
        <v>221</v>
      </c>
      <c r="P1198" s="7" t="s">
        <v>28</v>
      </c>
      <c r="Q1198" s="7" t="str">
        <f t="shared" si="72"/>
        <v>Moderate</v>
      </c>
      <c r="R1198" s="7" t="str">
        <f t="shared" si="73"/>
        <v>Normal</v>
      </c>
      <c r="S1198" s="7" t="str">
        <f t="shared" si="74"/>
        <v>High Humidity</v>
      </c>
      <c r="T1198" s="7" t="str">
        <f t="shared" si="75"/>
        <v>Moderate Wind</v>
      </c>
    </row>
    <row r="1199" spans="1:20" x14ac:dyDescent="0.25">
      <c r="A1199" s="7" t="s">
        <v>1265</v>
      </c>
      <c r="B1199" s="10">
        <v>45744</v>
      </c>
      <c r="C1199" s="11" t="s">
        <v>54</v>
      </c>
      <c r="D1199" s="11" t="s">
        <v>18</v>
      </c>
      <c r="E1199" s="7" t="s">
        <v>32</v>
      </c>
      <c r="F1199" s="9">
        <v>39.1</v>
      </c>
      <c r="G1199" s="9">
        <v>41.1</v>
      </c>
      <c r="H1199" s="9">
        <v>47.5</v>
      </c>
      <c r="I1199" s="9">
        <v>14.3</v>
      </c>
      <c r="J1199" s="9">
        <v>0.42</v>
      </c>
      <c r="K1199" s="9">
        <v>25</v>
      </c>
      <c r="L1199" s="7">
        <v>34.200000000000003</v>
      </c>
      <c r="M1199" s="7">
        <v>46.6</v>
      </c>
      <c r="N1199" s="7">
        <v>1.8</v>
      </c>
      <c r="O1199" s="7">
        <v>159</v>
      </c>
      <c r="P1199" s="7" t="s">
        <v>33</v>
      </c>
      <c r="Q1199" s="7" t="str">
        <f t="shared" si="72"/>
        <v>Good</v>
      </c>
      <c r="R1199" s="7" t="str">
        <f t="shared" si="73"/>
        <v>Hot</v>
      </c>
      <c r="S1199" s="7" t="str">
        <f t="shared" si="74"/>
        <v>Normal Humidity</v>
      </c>
      <c r="T1199" s="7" t="str">
        <f t="shared" si="75"/>
        <v>Low Wind</v>
      </c>
    </row>
    <row r="1200" spans="1:20" x14ac:dyDescent="0.25">
      <c r="A1200" s="7" t="s">
        <v>1266</v>
      </c>
      <c r="B1200" s="10">
        <v>45975</v>
      </c>
      <c r="C1200" s="11" t="s">
        <v>38</v>
      </c>
      <c r="D1200" s="11" t="s">
        <v>39</v>
      </c>
      <c r="E1200" s="7" t="s">
        <v>19</v>
      </c>
      <c r="F1200" s="9">
        <v>38.700000000000003</v>
      </c>
      <c r="G1200" s="9">
        <v>31.7</v>
      </c>
      <c r="H1200" s="9">
        <v>33.6</v>
      </c>
      <c r="I1200" s="9">
        <v>6</v>
      </c>
      <c r="J1200" s="9">
        <v>0.6</v>
      </c>
      <c r="K1200" s="9">
        <v>16.3</v>
      </c>
      <c r="L1200" s="7">
        <v>30.6</v>
      </c>
      <c r="M1200" s="7">
        <v>82.6</v>
      </c>
      <c r="N1200" s="7">
        <v>2</v>
      </c>
      <c r="O1200" s="7">
        <v>136</v>
      </c>
      <c r="P1200" s="7" t="s">
        <v>33</v>
      </c>
      <c r="Q1200" s="7" t="str">
        <f t="shared" si="72"/>
        <v>Good</v>
      </c>
      <c r="R1200" s="7" t="str">
        <f t="shared" si="73"/>
        <v>Hot</v>
      </c>
      <c r="S1200" s="7" t="str">
        <f t="shared" si="74"/>
        <v>High Humidity</v>
      </c>
      <c r="T1200" s="7" t="str">
        <f t="shared" si="75"/>
        <v>Moderate Wind</v>
      </c>
    </row>
    <row r="1201" spans="1:20" x14ac:dyDescent="0.25">
      <c r="A1201" s="7" t="s">
        <v>1267</v>
      </c>
      <c r="B1201" s="10">
        <v>45774</v>
      </c>
      <c r="C1201" s="11" t="s">
        <v>42</v>
      </c>
      <c r="D1201" s="11" t="s">
        <v>23</v>
      </c>
      <c r="E1201" s="7" t="s">
        <v>68</v>
      </c>
      <c r="F1201" s="9">
        <v>33.799999999999997</v>
      </c>
      <c r="G1201" s="9">
        <v>50.7</v>
      </c>
      <c r="H1201" s="9">
        <v>56.3</v>
      </c>
      <c r="I1201" s="9">
        <v>15.2</v>
      </c>
      <c r="J1201" s="9">
        <v>0.32</v>
      </c>
      <c r="K1201" s="9">
        <v>39.299999999999997</v>
      </c>
      <c r="L1201" s="7">
        <v>29.4</v>
      </c>
      <c r="M1201" s="7">
        <v>75.5</v>
      </c>
      <c r="N1201" s="7">
        <v>1.9</v>
      </c>
      <c r="O1201" s="7">
        <v>168</v>
      </c>
      <c r="P1201" s="7" t="s">
        <v>33</v>
      </c>
      <c r="Q1201" s="7" t="str">
        <f t="shared" si="72"/>
        <v>Moderate</v>
      </c>
      <c r="R1201" s="7" t="str">
        <f t="shared" si="73"/>
        <v>Normal</v>
      </c>
      <c r="S1201" s="7" t="str">
        <f t="shared" si="74"/>
        <v>High Humidity</v>
      </c>
      <c r="T1201" s="7" t="str">
        <f t="shared" si="75"/>
        <v>Low Wind</v>
      </c>
    </row>
    <row r="1202" spans="1:20" x14ac:dyDescent="0.25">
      <c r="A1202" s="7" t="s">
        <v>1268</v>
      </c>
      <c r="B1202" s="10">
        <v>45723</v>
      </c>
      <c r="C1202" s="11" t="s">
        <v>50</v>
      </c>
      <c r="D1202" s="11" t="s">
        <v>31</v>
      </c>
      <c r="E1202" s="7" t="s">
        <v>91</v>
      </c>
      <c r="F1202" s="9">
        <v>26</v>
      </c>
      <c r="G1202" s="9">
        <v>75.599999999999994</v>
      </c>
      <c r="H1202" s="9">
        <v>17.2</v>
      </c>
      <c r="I1202" s="9">
        <v>8.1</v>
      </c>
      <c r="J1202" s="9">
        <v>0.36</v>
      </c>
      <c r="K1202" s="9">
        <v>38.1</v>
      </c>
      <c r="L1202" s="7">
        <v>18.899999999999999</v>
      </c>
      <c r="M1202" s="7">
        <v>58.9</v>
      </c>
      <c r="N1202" s="7">
        <v>3.1</v>
      </c>
      <c r="O1202" s="7">
        <v>136</v>
      </c>
      <c r="P1202" s="7" t="s">
        <v>33</v>
      </c>
      <c r="Q1202" s="7" t="str">
        <f t="shared" si="72"/>
        <v>Moderate</v>
      </c>
      <c r="R1202" s="7" t="str">
        <f t="shared" si="73"/>
        <v>Cool</v>
      </c>
      <c r="S1202" s="7" t="str">
        <f t="shared" si="74"/>
        <v>Normal Humidity</v>
      </c>
      <c r="T1202" s="7" t="str">
        <f t="shared" si="75"/>
        <v>Moderate Wind</v>
      </c>
    </row>
    <row r="1203" spans="1:20" x14ac:dyDescent="0.25">
      <c r="A1203" s="7" t="s">
        <v>1269</v>
      </c>
      <c r="B1203" s="10">
        <v>45712</v>
      </c>
      <c r="C1203" s="11" t="s">
        <v>81</v>
      </c>
      <c r="D1203" s="11" t="s">
        <v>39</v>
      </c>
      <c r="E1203" s="7" t="s">
        <v>43</v>
      </c>
      <c r="F1203" s="9">
        <v>62.7</v>
      </c>
      <c r="G1203" s="9">
        <v>47.8</v>
      </c>
      <c r="H1203" s="9">
        <v>22.8</v>
      </c>
      <c r="I1203" s="9">
        <v>12.1</v>
      </c>
      <c r="J1203" s="9">
        <v>1.46</v>
      </c>
      <c r="K1203" s="9">
        <v>58.5</v>
      </c>
      <c r="L1203" s="7">
        <v>29.3</v>
      </c>
      <c r="M1203" s="7">
        <v>71</v>
      </c>
      <c r="N1203" s="7">
        <v>3</v>
      </c>
      <c r="O1203" s="7">
        <v>221</v>
      </c>
      <c r="P1203" s="7" t="s">
        <v>28</v>
      </c>
      <c r="Q1203" s="7" t="str">
        <f t="shared" si="72"/>
        <v>Good</v>
      </c>
      <c r="R1203" s="7" t="str">
        <f t="shared" si="73"/>
        <v>Normal</v>
      </c>
      <c r="S1203" s="7" t="str">
        <f t="shared" si="74"/>
        <v>High Humidity</v>
      </c>
      <c r="T1203" s="7" t="str">
        <f t="shared" si="75"/>
        <v>Moderate Wind</v>
      </c>
    </row>
    <row r="1204" spans="1:20" x14ac:dyDescent="0.25">
      <c r="A1204" s="7" t="s">
        <v>1270</v>
      </c>
      <c r="B1204" s="10">
        <v>45663</v>
      </c>
      <c r="C1204" s="11" t="s">
        <v>22</v>
      </c>
      <c r="D1204" s="11" t="s">
        <v>23</v>
      </c>
      <c r="E1204" s="7" t="s">
        <v>55</v>
      </c>
      <c r="F1204" s="9">
        <v>35.799999999999997</v>
      </c>
      <c r="G1204" s="9">
        <v>56.8</v>
      </c>
      <c r="H1204" s="9">
        <v>21.7</v>
      </c>
      <c r="I1204" s="9">
        <v>49.3</v>
      </c>
      <c r="J1204" s="9">
        <v>0.42</v>
      </c>
      <c r="K1204" s="9">
        <v>50.2</v>
      </c>
      <c r="L1204" s="7">
        <v>27.6</v>
      </c>
      <c r="M1204" s="7">
        <v>72.5</v>
      </c>
      <c r="N1204" s="7">
        <v>2.1</v>
      </c>
      <c r="O1204" s="7">
        <v>179</v>
      </c>
      <c r="P1204" s="7" t="s">
        <v>33</v>
      </c>
      <c r="Q1204" s="7" t="str">
        <f t="shared" si="72"/>
        <v>Moderate</v>
      </c>
      <c r="R1204" s="7" t="str">
        <f t="shared" si="73"/>
        <v>Normal</v>
      </c>
      <c r="S1204" s="7" t="str">
        <f t="shared" si="74"/>
        <v>High Humidity</v>
      </c>
      <c r="T1204" s="7" t="str">
        <f t="shared" si="75"/>
        <v>Moderate Wind</v>
      </c>
    </row>
    <row r="1205" spans="1:20" x14ac:dyDescent="0.25">
      <c r="A1205" s="7" t="s">
        <v>1271</v>
      </c>
      <c r="B1205" s="10">
        <v>45751</v>
      </c>
      <c r="C1205" s="11" t="s">
        <v>50</v>
      </c>
      <c r="D1205" s="11" t="s">
        <v>31</v>
      </c>
      <c r="E1205" s="7" t="s">
        <v>32</v>
      </c>
      <c r="F1205" s="9">
        <v>84.8</v>
      </c>
      <c r="G1205" s="9">
        <v>67.900000000000006</v>
      </c>
      <c r="H1205" s="9">
        <v>54.5</v>
      </c>
      <c r="I1205" s="9">
        <v>15.8</v>
      </c>
      <c r="J1205" s="9">
        <v>0.16</v>
      </c>
      <c r="K1205" s="9">
        <v>89.3</v>
      </c>
      <c r="L1205" s="7">
        <v>20.6</v>
      </c>
      <c r="M1205" s="7">
        <v>66.7</v>
      </c>
      <c r="N1205" s="7">
        <v>2.2999999999999998</v>
      </c>
      <c r="O1205" s="7">
        <v>279</v>
      </c>
      <c r="P1205" s="7" t="s">
        <v>28</v>
      </c>
      <c r="Q1205" s="7" t="str">
        <f t="shared" si="72"/>
        <v>Moderate</v>
      </c>
      <c r="R1205" s="7" t="str">
        <f t="shared" si="73"/>
        <v>Normal</v>
      </c>
      <c r="S1205" s="7" t="str">
        <f t="shared" si="74"/>
        <v>High Humidity</v>
      </c>
      <c r="T1205" s="7" t="str">
        <f t="shared" si="75"/>
        <v>Moderate Wind</v>
      </c>
    </row>
    <row r="1206" spans="1:20" x14ac:dyDescent="0.25">
      <c r="A1206" s="7" t="s">
        <v>1272</v>
      </c>
      <c r="B1206" s="10">
        <v>45746</v>
      </c>
      <c r="C1206" s="11" t="s">
        <v>81</v>
      </c>
      <c r="D1206" s="11" t="s">
        <v>39</v>
      </c>
      <c r="E1206" s="7" t="s">
        <v>43</v>
      </c>
      <c r="F1206" s="9">
        <v>34.1</v>
      </c>
      <c r="G1206" s="9">
        <v>92.2</v>
      </c>
      <c r="H1206" s="9">
        <v>28.6</v>
      </c>
      <c r="I1206" s="9">
        <v>15.8</v>
      </c>
      <c r="J1206" s="9">
        <v>0.47</v>
      </c>
      <c r="K1206" s="9">
        <v>8.1</v>
      </c>
      <c r="L1206" s="7">
        <v>29.4</v>
      </c>
      <c r="M1206" s="7">
        <v>51.6</v>
      </c>
      <c r="N1206" s="7">
        <v>3.4</v>
      </c>
      <c r="O1206" s="7">
        <v>164</v>
      </c>
      <c r="P1206" s="7" t="s">
        <v>33</v>
      </c>
      <c r="Q1206" s="7" t="str">
        <f t="shared" si="72"/>
        <v>Moderate</v>
      </c>
      <c r="R1206" s="7" t="str">
        <f t="shared" si="73"/>
        <v>Normal</v>
      </c>
      <c r="S1206" s="7" t="str">
        <f t="shared" si="74"/>
        <v>Normal Humidity</v>
      </c>
      <c r="T1206" s="7" t="str">
        <f t="shared" si="75"/>
        <v>Moderate Wind</v>
      </c>
    </row>
    <row r="1207" spans="1:20" x14ac:dyDescent="0.25">
      <c r="A1207" s="7" t="s">
        <v>1273</v>
      </c>
      <c r="B1207" s="10">
        <v>45805</v>
      </c>
      <c r="C1207" s="11" t="s">
        <v>81</v>
      </c>
      <c r="D1207" s="11" t="s">
        <v>39</v>
      </c>
      <c r="E1207" s="7" t="s">
        <v>19</v>
      </c>
      <c r="F1207" s="9">
        <v>62.2</v>
      </c>
      <c r="G1207" s="9">
        <v>63.7</v>
      </c>
      <c r="H1207" s="9">
        <v>5.3</v>
      </c>
      <c r="I1207" s="9">
        <v>6.3</v>
      </c>
      <c r="J1207" s="9">
        <v>0.53</v>
      </c>
      <c r="K1207" s="9">
        <v>12.9</v>
      </c>
      <c r="L1207" s="7">
        <v>34.200000000000003</v>
      </c>
      <c r="M1207" s="7">
        <v>72.400000000000006</v>
      </c>
      <c r="N1207" s="7">
        <v>4.0999999999999996</v>
      </c>
      <c r="O1207" s="7">
        <v>169</v>
      </c>
      <c r="P1207" s="7" t="s">
        <v>33</v>
      </c>
      <c r="Q1207" s="7" t="str">
        <f t="shared" si="72"/>
        <v>Moderate</v>
      </c>
      <c r="R1207" s="7" t="str">
        <f t="shared" si="73"/>
        <v>Hot</v>
      </c>
      <c r="S1207" s="7" t="str">
        <f t="shared" si="74"/>
        <v>High Humidity</v>
      </c>
      <c r="T1207" s="7" t="str">
        <f t="shared" si="75"/>
        <v>Moderate Wind</v>
      </c>
    </row>
    <row r="1208" spans="1:20" x14ac:dyDescent="0.25">
      <c r="A1208" s="7" t="s">
        <v>1274</v>
      </c>
      <c r="B1208" s="10">
        <v>45665</v>
      </c>
      <c r="C1208" s="11" t="s">
        <v>17</v>
      </c>
      <c r="D1208" s="11" t="s">
        <v>18</v>
      </c>
      <c r="E1208" s="7" t="s">
        <v>58</v>
      </c>
      <c r="F1208" s="9">
        <v>104.8</v>
      </c>
      <c r="G1208" s="9">
        <v>49.2</v>
      </c>
      <c r="H1208" s="9">
        <v>10</v>
      </c>
      <c r="I1208" s="9">
        <v>3.5</v>
      </c>
      <c r="J1208" s="9">
        <v>0.64</v>
      </c>
      <c r="K1208" s="9">
        <v>12.7</v>
      </c>
      <c r="L1208" s="7">
        <v>25.7</v>
      </c>
      <c r="M1208" s="7">
        <v>55.9</v>
      </c>
      <c r="N1208" s="7">
        <v>1.8</v>
      </c>
      <c r="O1208" s="7">
        <v>232</v>
      </c>
      <c r="P1208" s="7" t="s">
        <v>28</v>
      </c>
      <c r="Q1208" s="7" t="str">
        <f t="shared" si="72"/>
        <v>Good</v>
      </c>
      <c r="R1208" s="7" t="str">
        <f t="shared" si="73"/>
        <v>Normal</v>
      </c>
      <c r="S1208" s="7" t="str">
        <f t="shared" si="74"/>
        <v>Normal Humidity</v>
      </c>
      <c r="T1208" s="7" t="str">
        <f t="shared" si="75"/>
        <v>Low Wind</v>
      </c>
    </row>
    <row r="1209" spans="1:20" x14ac:dyDescent="0.25">
      <c r="A1209" s="7" t="s">
        <v>1275</v>
      </c>
      <c r="B1209" s="10">
        <v>45742</v>
      </c>
      <c r="C1209" s="11" t="s">
        <v>99</v>
      </c>
      <c r="D1209" s="11" t="s">
        <v>36</v>
      </c>
      <c r="E1209" s="7" t="s">
        <v>91</v>
      </c>
      <c r="F1209" s="9">
        <v>29</v>
      </c>
      <c r="G1209" s="9">
        <v>52.4</v>
      </c>
      <c r="H1209" s="9">
        <v>6.5</v>
      </c>
      <c r="I1209" s="9">
        <v>19.8</v>
      </c>
      <c r="J1209" s="9">
        <v>1.24</v>
      </c>
      <c r="K1209" s="9">
        <v>25</v>
      </c>
      <c r="L1209" s="7">
        <v>33</v>
      </c>
      <c r="M1209" s="7">
        <v>82.9</v>
      </c>
      <c r="N1209" s="7">
        <v>1.6</v>
      </c>
      <c r="O1209" s="7">
        <v>142</v>
      </c>
      <c r="P1209" s="7" t="s">
        <v>33</v>
      </c>
      <c r="Q1209" s="7" t="str">
        <f t="shared" si="72"/>
        <v>Moderate</v>
      </c>
      <c r="R1209" s="7" t="str">
        <f t="shared" si="73"/>
        <v>Hot</v>
      </c>
      <c r="S1209" s="7" t="str">
        <f t="shared" si="74"/>
        <v>High Humidity</v>
      </c>
      <c r="T1209" s="7" t="str">
        <f t="shared" si="75"/>
        <v>Low Wind</v>
      </c>
    </row>
    <row r="1210" spans="1:20" x14ac:dyDescent="0.25">
      <c r="A1210" s="7" t="s">
        <v>1276</v>
      </c>
      <c r="B1210" s="10">
        <v>45977</v>
      </c>
      <c r="C1210" s="11" t="s">
        <v>26</v>
      </c>
      <c r="D1210" s="11" t="s">
        <v>23</v>
      </c>
      <c r="E1210" s="7" t="s">
        <v>55</v>
      </c>
      <c r="F1210" s="9">
        <v>20.2</v>
      </c>
      <c r="G1210" s="9">
        <v>177.4</v>
      </c>
      <c r="H1210" s="9">
        <v>38.5</v>
      </c>
      <c r="I1210" s="9">
        <v>9.6999999999999993</v>
      </c>
      <c r="J1210" s="9">
        <v>0.42</v>
      </c>
      <c r="K1210" s="9">
        <v>28.8</v>
      </c>
      <c r="L1210" s="7">
        <v>29.4</v>
      </c>
      <c r="M1210" s="7">
        <v>63.4</v>
      </c>
      <c r="N1210" s="7">
        <v>1.4</v>
      </c>
      <c r="O1210" s="7">
        <v>209</v>
      </c>
      <c r="P1210" s="7" t="s">
        <v>28</v>
      </c>
      <c r="Q1210" s="7" t="str">
        <f t="shared" si="72"/>
        <v>VeryUnhealthy</v>
      </c>
      <c r="R1210" s="7" t="str">
        <f t="shared" si="73"/>
        <v>Normal</v>
      </c>
      <c r="S1210" s="7" t="str">
        <f t="shared" si="74"/>
        <v>High Humidity</v>
      </c>
      <c r="T1210" s="7" t="str">
        <f t="shared" si="75"/>
        <v>Low Wind</v>
      </c>
    </row>
    <row r="1211" spans="1:20" x14ac:dyDescent="0.25">
      <c r="A1211" s="7" t="s">
        <v>1277</v>
      </c>
      <c r="B1211" s="10">
        <v>45751</v>
      </c>
      <c r="C1211" s="11" t="s">
        <v>50</v>
      </c>
      <c r="D1211" s="11" t="s">
        <v>31</v>
      </c>
      <c r="E1211" s="7" t="s">
        <v>24</v>
      </c>
      <c r="F1211" s="9">
        <v>20.399999999999999</v>
      </c>
      <c r="G1211" s="9">
        <v>96.1</v>
      </c>
      <c r="H1211" s="9">
        <v>16.600000000000001</v>
      </c>
      <c r="I1211" s="9">
        <v>6.2</v>
      </c>
      <c r="J1211" s="9">
        <v>0.45</v>
      </c>
      <c r="K1211" s="9">
        <v>12.2</v>
      </c>
      <c r="L1211" s="7">
        <v>28.3</v>
      </c>
      <c r="M1211" s="7">
        <v>97.8</v>
      </c>
      <c r="N1211" s="7">
        <v>3</v>
      </c>
      <c r="O1211" s="7">
        <v>129</v>
      </c>
      <c r="P1211" s="7" t="s">
        <v>33</v>
      </c>
      <c r="Q1211" s="7" t="str">
        <f t="shared" si="72"/>
        <v>Moderate</v>
      </c>
      <c r="R1211" s="7" t="str">
        <f t="shared" si="73"/>
        <v>Normal</v>
      </c>
      <c r="S1211" s="7" t="str">
        <f t="shared" si="74"/>
        <v>High Humidity</v>
      </c>
      <c r="T1211" s="7" t="str">
        <f t="shared" si="75"/>
        <v>Moderate Wind</v>
      </c>
    </row>
    <row r="1212" spans="1:20" x14ac:dyDescent="0.25">
      <c r="A1212" s="7" t="s">
        <v>1278</v>
      </c>
      <c r="B1212" s="10">
        <v>45987</v>
      </c>
      <c r="C1212" s="11" t="s">
        <v>93</v>
      </c>
      <c r="D1212" s="11" t="s">
        <v>36</v>
      </c>
      <c r="E1212" s="7" t="s">
        <v>97</v>
      </c>
      <c r="F1212" s="9">
        <v>28.4</v>
      </c>
      <c r="G1212" s="9">
        <v>173.7</v>
      </c>
      <c r="H1212" s="9">
        <v>6.8</v>
      </c>
      <c r="I1212" s="9">
        <v>15.9</v>
      </c>
      <c r="J1212" s="9">
        <v>0.45</v>
      </c>
      <c r="K1212" s="9">
        <v>13.1</v>
      </c>
      <c r="L1212" s="7">
        <v>24</v>
      </c>
      <c r="M1212" s="7">
        <v>65.599999999999994</v>
      </c>
      <c r="N1212" s="7">
        <v>0.1</v>
      </c>
      <c r="O1212" s="7">
        <v>192</v>
      </c>
      <c r="P1212" s="7" t="s">
        <v>33</v>
      </c>
      <c r="Q1212" s="7" t="str">
        <f t="shared" si="72"/>
        <v>VeryUnhealthy</v>
      </c>
      <c r="R1212" s="7" t="str">
        <f t="shared" si="73"/>
        <v>Normal</v>
      </c>
      <c r="S1212" s="7" t="str">
        <f t="shared" si="74"/>
        <v>High Humidity</v>
      </c>
      <c r="T1212" s="7" t="str">
        <f t="shared" si="75"/>
        <v>Low Wind</v>
      </c>
    </row>
    <row r="1213" spans="1:20" x14ac:dyDescent="0.25">
      <c r="A1213" s="7" t="s">
        <v>1279</v>
      </c>
      <c r="B1213" s="10">
        <v>45944</v>
      </c>
      <c r="C1213" s="11" t="s">
        <v>81</v>
      </c>
      <c r="D1213" s="11" t="s">
        <v>39</v>
      </c>
      <c r="E1213" s="7" t="s">
        <v>32</v>
      </c>
      <c r="F1213" s="9">
        <v>56.5</v>
      </c>
      <c r="G1213" s="9">
        <v>84</v>
      </c>
      <c r="H1213" s="9">
        <v>46.1</v>
      </c>
      <c r="I1213" s="9">
        <v>4.5999999999999996</v>
      </c>
      <c r="J1213" s="9">
        <v>0.2</v>
      </c>
      <c r="K1213" s="9">
        <v>71</v>
      </c>
      <c r="L1213" s="7">
        <v>32.799999999999997</v>
      </c>
      <c r="M1213" s="7">
        <v>79.599999999999994</v>
      </c>
      <c r="N1213" s="7">
        <v>0.9</v>
      </c>
      <c r="O1213" s="7">
        <v>222</v>
      </c>
      <c r="P1213" s="7" t="s">
        <v>28</v>
      </c>
      <c r="Q1213" s="7" t="str">
        <f t="shared" si="72"/>
        <v>Moderate</v>
      </c>
      <c r="R1213" s="7" t="str">
        <f t="shared" si="73"/>
        <v>Hot</v>
      </c>
      <c r="S1213" s="7" t="str">
        <f t="shared" si="74"/>
        <v>High Humidity</v>
      </c>
      <c r="T1213" s="7" t="str">
        <f t="shared" si="75"/>
        <v>Low Wind</v>
      </c>
    </row>
    <row r="1214" spans="1:20" x14ac:dyDescent="0.25">
      <c r="A1214" s="7" t="s">
        <v>1280</v>
      </c>
      <c r="B1214" s="10">
        <v>45687</v>
      </c>
      <c r="C1214" s="11" t="s">
        <v>99</v>
      </c>
      <c r="D1214" s="11" t="s">
        <v>36</v>
      </c>
      <c r="E1214" s="7" t="s">
        <v>27</v>
      </c>
      <c r="F1214" s="9">
        <v>58.1</v>
      </c>
      <c r="G1214" s="9">
        <v>44.2</v>
      </c>
      <c r="H1214" s="9">
        <v>55.6</v>
      </c>
      <c r="I1214" s="9">
        <v>17</v>
      </c>
      <c r="J1214" s="9">
        <v>1.1299999999999999</v>
      </c>
      <c r="K1214" s="9">
        <v>25.8</v>
      </c>
      <c r="L1214" s="7">
        <v>19.5</v>
      </c>
      <c r="M1214" s="7">
        <v>54.9</v>
      </c>
      <c r="N1214" s="7">
        <v>2.1</v>
      </c>
      <c r="O1214" s="7">
        <v>218</v>
      </c>
      <c r="P1214" s="7" t="s">
        <v>28</v>
      </c>
      <c r="Q1214" s="7" t="str">
        <f t="shared" si="72"/>
        <v>Good</v>
      </c>
      <c r="R1214" s="7" t="str">
        <f t="shared" si="73"/>
        <v>Cool</v>
      </c>
      <c r="S1214" s="7" t="str">
        <f t="shared" si="74"/>
        <v>Normal Humidity</v>
      </c>
      <c r="T1214" s="7" t="str">
        <f t="shared" si="75"/>
        <v>Moderate Wind</v>
      </c>
    </row>
    <row r="1215" spans="1:20" x14ac:dyDescent="0.25">
      <c r="A1215" s="7" t="s">
        <v>1281</v>
      </c>
      <c r="B1215" s="10">
        <v>45790</v>
      </c>
      <c r="C1215" s="11" t="s">
        <v>54</v>
      </c>
      <c r="D1215" s="11" t="s">
        <v>18</v>
      </c>
      <c r="E1215" s="7" t="s">
        <v>27</v>
      </c>
      <c r="F1215" s="9">
        <v>24.8</v>
      </c>
      <c r="G1215" s="9">
        <v>70</v>
      </c>
      <c r="H1215" s="9">
        <v>44.4</v>
      </c>
      <c r="I1215" s="9">
        <v>2.2000000000000002</v>
      </c>
      <c r="J1215" s="9">
        <v>1.41</v>
      </c>
      <c r="K1215" s="9">
        <v>31</v>
      </c>
      <c r="L1215" s="7">
        <v>31.9</v>
      </c>
      <c r="M1215" s="7">
        <v>62.4</v>
      </c>
      <c r="N1215" s="7">
        <v>2.6</v>
      </c>
      <c r="O1215" s="7">
        <v>171</v>
      </c>
      <c r="P1215" s="7" t="s">
        <v>33</v>
      </c>
      <c r="Q1215" s="7" t="str">
        <f t="shared" si="72"/>
        <v>Moderate</v>
      </c>
      <c r="R1215" s="7" t="str">
        <f t="shared" si="73"/>
        <v>Hot</v>
      </c>
      <c r="S1215" s="7" t="str">
        <f t="shared" si="74"/>
        <v>High Humidity</v>
      </c>
      <c r="T1215" s="7" t="str">
        <f t="shared" si="75"/>
        <v>Moderate Wind</v>
      </c>
    </row>
    <row r="1216" spans="1:20" x14ac:dyDescent="0.25">
      <c r="A1216" s="7" t="s">
        <v>1282</v>
      </c>
      <c r="B1216" s="10">
        <v>45669</v>
      </c>
      <c r="C1216" s="11" t="s">
        <v>26</v>
      </c>
      <c r="D1216" s="11" t="s">
        <v>23</v>
      </c>
      <c r="E1216" s="7" t="s">
        <v>61</v>
      </c>
      <c r="F1216" s="9">
        <v>47</v>
      </c>
      <c r="G1216" s="9">
        <v>55.4</v>
      </c>
      <c r="H1216" s="9">
        <v>31.1</v>
      </c>
      <c r="I1216" s="9">
        <v>7.9</v>
      </c>
      <c r="J1216" s="9">
        <v>0.27</v>
      </c>
      <c r="K1216" s="9">
        <v>48.9</v>
      </c>
      <c r="L1216" s="7">
        <v>24.9</v>
      </c>
      <c r="M1216" s="7">
        <v>85.2</v>
      </c>
      <c r="N1216" s="7">
        <v>2.7</v>
      </c>
      <c r="O1216" s="7">
        <v>170</v>
      </c>
      <c r="P1216" s="7" t="s">
        <v>33</v>
      </c>
      <c r="Q1216" s="7" t="str">
        <f t="shared" si="72"/>
        <v>Moderate</v>
      </c>
      <c r="R1216" s="7" t="str">
        <f t="shared" si="73"/>
        <v>Normal</v>
      </c>
      <c r="S1216" s="7" t="str">
        <f t="shared" si="74"/>
        <v>High Humidity</v>
      </c>
      <c r="T1216" s="7" t="str">
        <f t="shared" si="75"/>
        <v>Moderate Wind</v>
      </c>
    </row>
    <row r="1217" spans="1:20" x14ac:dyDescent="0.25">
      <c r="A1217" s="7" t="s">
        <v>1283</v>
      </c>
      <c r="B1217" s="10">
        <v>45797</v>
      </c>
      <c r="C1217" s="11" t="s">
        <v>93</v>
      </c>
      <c r="D1217" s="11" t="s">
        <v>36</v>
      </c>
      <c r="E1217" s="7" t="s">
        <v>40</v>
      </c>
      <c r="F1217" s="9">
        <v>32.5</v>
      </c>
      <c r="G1217" s="9">
        <v>90.9</v>
      </c>
      <c r="H1217" s="9">
        <v>48.4</v>
      </c>
      <c r="I1217" s="9">
        <v>18.399999999999999</v>
      </c>
      <c r="J1217" s="9">
        <v>0.46</v>
      </c>
      <c r="K1217" s="9">
        <v>25.2</v>
      </c>
      <c r="L1217" s="7">
        <v>24.5</v>
      </c>
      <c r="M1217" s="7">
        <v>51.7</v>
      </c>
      <c r="N1217" s="7">
        <v>3.7</v>
      </c>
      <c r="O1217" s="7">
        <v>186</v>
      </c>
      <c r="P1217" s="7" t="s">
        <v>33</v>
      </c>
      <c r="Q1217" s="7" t="str">
        <f t="shared" si="72"/>
        <v>Moderate</v>
      </c>
      <c r="R1217" s="7" t="str">
        <f t="shared" si="73"/>
        <v>Normal</v>
      </c>
      <c r="S1217" s="7" t="str">
        <f t="shared" si="74"/>
        <v>Normal Humidity</v>
      </c>
      <c r="T1217" s="7" t="str">
        <f t="shared" si="75"/>
        <v>Moderate Wind</v>
      </c>
    </row>
    <row r="1218" spans="1:20" x14ac:dyDescent="0.25">
      <c r="A1218" s="7" t="s">
        <v>1284</v>
      </c>
      <c r="B1218" s="10">
        <v>45805</v>
      </c>
      <c r="C1218" s="11" t="s">
        <v>99</v>
      </c>
      <c r="D1218" s="11" t="s">
        <v>36</v>
      </c>
      <c r="E1218" s="7" t="s">
        <v>61</v>
      </c>
      <c r="F1218" s="9">
        <v>35.799999999999997</v>
      </c>
      <c r="G1218" s="9">
        <v>56.7</v>
      </c>
      <c r="H1218" s="9">
        <v>29.2</v>
      </c>
      <c r="I1218" s="9">
        <v>14.2</v>
      </c>
      <c r="J1218" s="9">
        <v>0.8</v>
      </c>
      <c r="K1218" s="9">
        <v>82.6</v>
      </c>
      <c r="L1218" s="7">
        <v>26.8</v>
      </c>
      <c r="M1218" s="7">
        <v>55.6</v>
      </c>
      <c r="N1218" s="7">
        <v>3.4</v>
      </c>
      <c r="O1218" s="7">
        <v>185</v>
      </c>
      <c r="P1218" s="7" t="s">
        <v>33</v>
      </c>
      <c r="Q1218" s="7" t="str">
        <f t="shared" si="72"/>
        <v>Moderate</v>
      </c>
      <c r="R1218" s="7" t="str">
        <f t="shared" si="73"/>
        <v>Normal</v>
      </c>
      <c r="S1218" s="7" t="str">
        <f t="shared" si="74"/>
        <v>Normal Humidity</v>
      </c>
      <c r="T1218" s="7" t="str">
        <f t="shared" si="75"/>
        <v>Moderate Wind</v>
      </c>
    </row>
    <row r="1219" spans="1:20" x14ac:dyDescent="0.25">
      <c r="A1219" s="7" t="s">
        <v>1285</v>
      </c>
      <c r="B1219" s="10">
        <v>45943</v>
      </c>
      <c r="C1219" s="11" t="s">
        <v>77</v>
      </c>
      <c r="D1219" s="11" t="s">
        <v>39</v>
      </c>
      <c r="E1219" s="7" t="s">
        <v>91</v>
      </c>
      <c r="F1219" s="9">
        <v>25.1</v>
      </c>
      <c r="G1219" s="9">
        <v>86.6</v>
      </c>
      <c r="H1219" s="9">
        <v>9.6999999999999993</v>
      </c>
      <c r="I1219" s="9">
        <v>5.4</v>
      </c>
      <c r="J1219" s="9">
        <v>0.68</v>
      </c>
      <c r="K1219" s="9">
        <v>37.799999999999997</v>
      </c>
      <c r="L1219" s="7">
        <v>22.3</v>
      </c>
      <c r="M1219" s="7">
        <v>61.4</v>
      </c>
      <c r="N1219" s="7">
        <v>2</v>
      </c>
      <c r="O1219" s="7">
        <v>142</v>
      </c>
      <c r="P1219" s="7" t="s">
        <v>33</v>
      </c>
      <c r="Q1219" s="7" t="str">
        <f t="shared" ref="Q1219:Q1282" si="76">IF(G1219&lt;50,"Good",IF(G1219&lt;=100,"Moderate",IF(G1219&lt;=150,"Unhealthy","VeryUnhealthy")))</f>
        <v>Moderate</v>
      </c>
      <c r="R1219" s="7" t="str">
        <f t="shared" ref="R1219:R1282" si="77">IF(L1219&lt;20,"Cool",IF(L1219&lt;=30,"Normal","Hot"))</f>
        <v>Normal</v>
      </c>
      <c r="S1219" s="7" t="str">
        <f t="shared" ref="S1219:S1282" si="78">IF(M1219&lt;30,"Low Humidity",IF(M1219&lt;=60,"Normal Humidity","High Humidity"))</f>
        <v>High Humidity</v>
      </c>
      <c r="T1219" s="7" t="str">
        <f t="shared" ref="T1219:T1282" si="79">IF(N1219&lt;2,"Low Wind",IF(N1219&lt;=5,"Moderate Wind","High Wind"))</f>
        <v>Moderate Wind</v>
      </c>
    </row>
    <row r="1220" spans="1:20" x14ac:dyDescent="0.25">
      <c r="A1220" s="7" t="s">
        <v>1286</v>
      </c>
      <c r="B1220" s="10">
        <v>45786</v>
      </c>
      <c r="C1220" s="11" t="s">
        <v>93</v>
      </c>
      <c r="D1220" s="11" t="s">
        <v>36</v>
      </c>
      <c r="E1220" s="7" t="s">
        <v>68</v>
      </c>
      <c r="F1220" s="9">
        <v>23.8</v>
      </c>
      <c r="G1220" s="9">
        <v>87.5</v>
      </c>
      <c r="H1220" s="9">
        <v>3.1</v>
      </c>
      <c r="I1220" s="9">
        <v>1.6</v>
      </c>
      <c r="J1220" s="9">
        <v>0.65</v>
      </c>
      <c r="K1220" s="9">
        <v>89.2</v>
      </c>
      <c r="L1220" s="7">
        <v>36.9</v>
      </c>
      <c r="M1220" s="7">
        <v>61.7</v>
      </c>
      <c r="N1220" s="7">
        <v>3.6</v>
      </c>
      <c r="O1220" s="7">
        <v>155</v>
      </c>
      <c r="P1220" s="7" t="s">
        <v>33</v>
      </c>
      <c r="Q1220" s="7" t="str">
        <f t="shared" si="76"/>
        <v>Moderate</v>
      </c>
      <c r="R1220" s="7" t="str">
        <f t="shared" si="77"/>
        <v>Hot</v>
      </c>
      <c r="S1220" s="7" t="str">
        <f t="shared" si="78"/>
        <v>High Humidity</v>
      </c>
      <c r="T1220" s="7" t="str">
        <f t="shared" si="79"/>
        <v>Moderate Wind</v>
      </c>
    </row>
    <row r="1221" spans="1:20" x14ac:dyDescent="0.25">
      <c r="A1221" s="7" t="s">
        <v>1287</v>
      </c>
      <c r="B1221" s="10">
        <v>45938</v>
      </c>
      <c r="C1221" s="11" t="s">
        <v>30</v>
      </c>
      <c r="D1221" s="11" t="s">
        <v>31</v>
      </c>
      <c r="E1221" s="7" t="s">
        <v>55</v>
      </c>
      <c r="F1221" s="9">
        <v>98.3</v>
      </c>
      <c r="G1221" s="9">
        <v>222.6</v>
      </c>
      <c r="H1221" s="9">
        <v>42.4</v>
      </c>
      <c r="I1221" s="9">
        <v>9.5</v>
      </c>
      <c r="J1221" s="9">
        <v>0.6</v>
      </c>
      <c r="K1221" s="9">
        <v>21.7</v>
      </c>
      <c r="L1221" s="7">
        <v>23.2</v>
      </c>
      <c r="M1221" s="7">
        <v>83.6</v>
      </c>
      <c r="N1221" s="7">
        <v>1.2</v>
      </c>
      <c r="O1221" s="7">
        <v>367</v>
      </c>
      <c r="P1221" s="7" t="s">
        <v>20</v>
      </c>
      <c r="Q1221" s="7" t="str">
        <f t="shared" si="76"/>
        <v>VeryUnhealthy</v>
      </c>
      <c r="R1221" s="7" t="str">
        <f t="shared" si="77"/>
        <v>Normal</v>
      </c>
      <c r="S1221" s="7" t="str">
        <f t="shared" si="78"/>
        <v>High Humidity</v>
      </c>
      <c r="T1221" s="7" t="str">
        <f t="shared" si="79"/>
        <v>Low Wind</v>
      </c>
    </row>
    <row r="1222" spans="1:20" x14ac:dyDescent="0.25">
      <c r="A1222" s="7" t="s">
        <v>1288</v>
      </c>
      <c r="B1222" s="10">
        <v>45846</v>
      </c>
      <c r="C1222" s="11" t="s">
        <v>22</v>
      </c>
      <c r="D1222" s="11" t="s">
        <v>23</v>
      </c>
      <c r="E1222" s="7" t="s">
        <v>40</v>
      </c>
      <c r="F1222" s="9">
        <v>114</v>
      </c>
      <c r="G1222" s="9">
        <v>86.9</v>
      </c>
      <c r="H1222" s="9">
        <v>29.4</v>
      </c>
      <c r="I1222" s="9">
        <v>13.7</v>
      </c>
      <c r="J1222" s="9">
        <v>1</v>
      </c>
      <c r="K1222" s="9">
        <v>8.1</v>
      </c>
      <c r="L1222" s="7">
        <v>40.5</v>
      </c>
      <c r="M1222" s="7">
        <v>70.8</v>
      </c>
      <c r="N1222" s="7">
        <v>0.2</v>
      </c>
      <c r="O1222" s="7">
        <v>301</v>
      </c>
      <c r="P1222" s="7" t="s">
        <v>20</v>
      </c>
      <c r="Q1222" s="7" t="str">
        <f t="shared" si="76"/>
        <v>Moderate</v>
      </c>
      <c r="R1222" s="7" t="str">
        <f t="shared" si="77"/>
        <v>Hot</v>
      </c>
      <c r="S1222" s="7" t="str">
        <f t="shared" si="78"/>
        <v>High Humidity</v>
      </c>
      <c r="T1222" s="7" t="str">
        <f t="shared" si="79"/>
        <v>Low Wind</v>
      </c>
    </row>
    <row r="1223" spans="1:20" x14ac:dyDescent="0.25">
      <c r="A1223" s="7" t="s">
        <v>1289</v>
      </c>
      <c r="B1223" s="10">
        <v>45919</v>
      </c>
      <c r="C1223" s="11" t="s">
        <v>54</v>
      </c>
      <c r="D1223" s="11" t="s">
        <v>18</v>
      </c>
      <c r="E1223" s="7" t="s">
        <v>61</v>
      </c>
      <c r="F1223" s="9">
        <v>71.7</v>
      </c>
      <c r="G1223" s="9">
        <v>147.4</v>
      </c>
      <c r="H1223" s="9">
        <v>24</v>
      </c>
      <c r="I1223" s="9">
        <v>11.1</v>
      </c>
      <c r="J1223" s="9">
        <v>0.37</v>
      </c>
      <c r="K1223" s="9">
        <v>44.8</v>
      </c>
      <c r="L1223" s="7">
        <v>27.4</v>
      </c>
      <c r="M1223" s="7">
        <v>54.8</v>
      </c>
      <c r="N1223" s="7">
        <v>1.3</v>
      </c>
      <c r="O1223" s="7">
        <v>267</v>
      </c>
      <c r="P1223" s="7" t="s">
        <v>28</v>
      </c>
      <c r="Q1223" s="7" t="str">
        <f t="shared" si="76"/>
        <v>Unhealthy</v>
      </c>
      <c r="R1223" s="7" t="str">
        <f t="shared" si="77"/>
        <v>Normal</v>
      </c>
      <c r="S1223" s="7" t="str">
        <f t="shared" si="78"/>
        <v>Normal Humidity</v>
      </c>
      <c r="T1223" s="7" t="str">
        <f t="shared" si="79"/>
        <v>Low Wind</v>
      </c>
    </row>
    <row r="1224" spans="1:20" x14ac:dyDescent="0.25">
      <c r="A1224" s="7" t="s">
        <v>1290</v>
      </c>
      <c r="B1224" s="10">
        <v>45778</v>
      </c>
      <c r="C1224" s="11" t="s">
        <v>54</v>
      </c>
      <c r="D1224" s="11" t="s">
        <v>18</v>
      </c>
      <c r="E1224" s="7" t="s">
        <v>97</v>
      </c>
      <c r="F1224" s="9">
        <v>13.9</v>
      </c>
      <c r="G1224" s="9">
        <v>57</v>
      </c>
      <c r="H1224" s="9">
        <v>46.7</v>
      </c>
      <c r="I1224" s="9">
        <v>5</v>
      </c>
      <c r="J1224" s="9">
        <v>0.39</v>
      </c>
      <c r="K1224" s="9">
        <v>14.5</v>
      </c>
      <c r="L1224" s="7">
        <v>20.2</v>
      </c>
      <c r="M1224" s="7">
        <v>57.5</v>
      </c>
      <c r="N1224" s="7">
        <v>3</v>
      </c>
      <c r="O1224" s="7">
        <v>116</v>
      </c>
      <c r="P1224" s="7" t="s">
        <v>33</v>
      </c>
      <c r="Q1224" s="7" t="str">
        <f t="shared" si="76"/>
        <v>Moderate</v>
      </c>
      <c r="R1224" s="7" t="str">
        <f t="shared" si="77"/>
        <v>Normal</v>
      </c>
      <c r="S1224" s="7" t="str">
        <f t="shared" si="78"/>
        <v>Normal Humidity</v>
      </c>
      <c r="T1224" s="7" t="str">
        <f t="shared" si="79"/>
        <v>Moderate Wind</v>
      </c>
    </row>
    <row r="1225" spans="1:20" x14ac:dyDescent="0.25">
      <c r="A1225" s="7" t="s">
        <v>1291</v>
      </c>
      <c r="B1225" s="10">
        <v>45870</v>
      </c>
      <c r="C1225" s="11" t="s">
        <v>42</v>
      </c>
      <c r="D1225" s="11" t="s">
        <v>23</v>
      </c>
      <c r="E1225" s="7" t="s">
        <v>32</v>
      </c>
      <c r="F1225" s="9">
        <v>51.3</v>
      </c>
      <c r="G1225" s="9">
        <v>113.9</v>
      </c>
      <c r="H1225" s="9">
        <v>8.9</v>
      </c>
      <c r="I1225" s="9">
        <v>12.7</v>
      </c>
      <c r="J1225" s="9">
        <v>0.45</v>
      </c>
      <c r="K1225" s="9">
        <v>35.200000000000003</v>
      </c>
      <c r="L1225" s="7">
        <v>23.1</v>
      </c>
      <c r="M1225" s="7">
        <v>71.5</v>
      </c>
      <c r="N1225" s="7">
        <v>2.8</v>
      </c>
      <c r="O1225" s="7">
        <v>199</v>
      </c>
      <c r="P1225" s="7" t="s">
        <v>33</v>
      </c>
      <c r="Q1225" s="7" t="str">
        <f t="shared" si="76"/>
        <v>Unhealthy</v>
      </c>
      <c r="R1225" s="7" t="str">
        <f t="shared" si="77"/>
        <v>Normal</v>
      </c>
      <c r="S1225" s="7" t="str">
        <f t="shared" si="78"/>
        <v>High Humidity</v>
      </c>
      <c r="T1225" s="7" t="str">
        <f t="shared" si="79"/>
        <v>Moderate Wind</v>
      </c>
    </row>
    <row r="1226" spans="1:20" x14ac:dyDescent="0.25">
      <c r="A1226" s="7" t="s">
        <v>1292</v>
      </c>
      <c r="B1226" s="10">
        <v>45668</v>
      </c>
      <c r="C1226" s="11" t="s">
        <v>77</v>
      </c>
      <c r="D1226" s="11" t="s">
        <v>39</v>
      </c>
      <c r="E1226" s="7" t="s">
        <v>61</v>
      </c>
      <c r="F1226" s="9">
        <v>31.2</v>
      </c>
      <c r="G1226" s="9">
        <v>43</v>
      </c>
      <c r="H1226" s="9">
        <v>50</v>
      </c>
      <c r="I1226" s="9">
        <v>1.4</v>
      </c>
      <c r="J1226" s="9">
        <v>0.77</v>
      </c>
      <c r="K1226" s="9">
        <v>18.2</v>
      </c>
      <c r="L1226" s="7">
        <v>24.9</v>
      </c>
      <c r="M1226" s="7">
        <v>74.900000000000006</v>
      </c>
      <c r="N1226" s="7">
        <v>2.2999999999999998</v>
      </c>
      <c r="O1226" s="7">
        <v>146</v>
      </c>
      <c r="P1226" s="7" t="s">
        <v>33</v>
      </c>
      <c r="Q1226" s="7" t="str">
        <f t="shared" si="76"/>
        <v>Good</v>
      </c>
      <c r="R1226" s="7" t="str">
        <f t="shared" si="77"/>
        <v>Normal</v>
      </c>
      <c r="S1226" s="7" t="str">
        <f t="shared" si="78"/>
        <v>High Humidity</v>
      </c>
      <c r="T1226" s="7" t="str">
        <f t="shared" si="79"/>
        <v>Moderate Wind</v>
      </c>
    </row>
    <row r="1227" spans="1:20" x14ac:dyDescent="0.25">
      <c r="A1227" s="7" t="s">
        <v>1293</v>
      </c>
      <c r="B1227" s="10">
        <v>45681</v>
      </c>
      <c r="C1227" s="11" t="s">
        <v>50</v>
      </c>
      <c r="D1227" s="11" t="s">
        <v>31</v>
      </c>
      <c r="E1227" s="7" t="s">
        <v>55</v>
      </c>
      <c r="F1227" s="9">
        <v>80</v>
      </c>
      <c r="G1227" s="9">
        <v>79.3</v>
      </c>
      <c r="H1227" s="9">
        <v>55.4</v>
      </c>
      <c r="I1227" s="9">
        <v>17.600000000000001</v>
      </c>
      <c r="J1227" s="9">
        <v>1.76</v>
      </c>
      <c r="K1227" s="9">
        <v>26.4</v>
      </c>
      <c r="L1227" s="7">
        <v>24</v>
      </c>
      <c r="M1227" s="7">
        <v>42.4</v>
      </c>
      <c r="N1227" s="7">
        <v>5</v>
      </c>
      <c r="O1227" s="7">
        <v>292</v>
      </c>
      <c r="P1227" s="7" t="s">
        <v>28</v>
      </c>
      <c r="Q1227" s="7" t="str">
        <f t="shared" si="76"/>
        <v>Moderate</v>
      </c>
      <c r="R1227" s="7" t="str">
        <f t="shared" si="77"/>
        <v>Normal</v>
      </c>
      <c r="S1227" s="7" t="str">
        <f t="shared" si="78"/>
        <v>Normal Humidity</v>
      </c>
      <c r="T1227" s="7" t="str">
        <f t="shared" si="79"/>
        <v>Moderate Wind</v>
      </c>
    </row>
    <row r="1228" spans="1:20" x14ac:dyDescent="0.25">
      <c r="A1228" s="7" t="s">
        <v>1294</v>
      </c>
      <c r="B1228" s="10">
        <v>45927</v>
      </c>
      <c r="C1228" s="11" t="s">
        <v>35</v>
      </c>
      <c r="D1228" s="11" t="s">
        <v>36</v>
      </c>
      <c r="E1228" s="7" t="s">
        <v>40</v>
      </c>
      <c r="F1228" s="9">
        <v>36.299999999999997</v>
      </c>
      <c r="G1228" s="9">
        <v>90.3</v>
      </c>
      <c r="H1228" s="9">
        <v>52.3</v>
      </c>
      <c r="I1228" s="9">
        <v>9.3000000000000007</v>
      </c>
      <c r="J1228" s="9">
        <v>0.39</v>
      </c>
      <c r="K1228" s="9">
        <v>60.7</v>
      </c>
      <c r="L1228" s="7">
        <v>17</v>
      </c>
      <c r="M1228" s="7">
        <v>45</v>
      </c>
      <c r="N1228" s="7">
        <v>2.6</v>
      </c>
      <c r="O1228" s="7">
        <v>202</v>
      </c>
      <c r="P1228" s="7" t="s">
        <v>28</v>
      </c>
      <c r="Q1228" s="7" t="str">
        <f t="shared" si="76"/>
        <v>Moderate</v>
      </c>
      <c r="R1228" s="7" t="str">
        <f t="shared" si="77"/>
        <v>Cool</v>
      </c>
      <c r="S1228" s="7" t="str">
        <f t="shared" si="78"/>
        <v>Normal Humidity</v>
      </c>
      <c r="T1228" s="7" t="str">
        <f t="shared" si="79"/>
        <v>Moderate Wind</v>
      </c>
    </row>
    <row r="1229" spans="1:20" x14ac:dyDescent="0.25">
      <c r="A1229" s="7" t="s">
        <v>1295</v>
      </c>
      <c r="B1229" s="10">
        <v>45971</v>
      </c>
      <c r="C1229" s="11" t="s">
        <v>30</v>
      </c>
      <c r="D1229" s="11" t="s">
        <v>31</v>
      </c>
      <c r="E1229" s="7" t="s">
        <v>68</v>
      </c>
      <c r="F1229" s="9">
        <v>25.5</v>
      </c>
      <c r="G1229" s="9">
        <v>85.1</v>
      </c>
      <c r="H1229" s="9">
        <v>19.899999999999999</v>
      </c>
      <c r="I1229" s="9">
        <v>28.3</v>
      </c>
      <c r="J1229" s="9">
        <v>0.44</v>
      </c>
      <c r="K1229" s="9">
        <v>32</v>
      </c>
      <c r="L1229" s="7">
        <v>25.1</v>
      </c>
      <c r="M1229" s="7">
        <v>55.3</v>
      </c>
      <c r="N1229" s="7">
        <v>1.4</v>
      </c>
      <c r="O1229" s="7">
        <v>157</v>
      </c>
      <c r="P1229" s="7" t="s">
        <v>33</v>
      </c>
      <c r="Q1229" s="7" t="str">
        <f t="shared" si="76"/>
        <v>Moderate</v>
      </c>
      <c r="R1229" s="7" t="str">
        <f t="shared" si="77"/>
        <v>Normal</v>
      </c>
      <c r="S1229" s="7" t="str">
        <f t="shared" si="78"/>
        <v>Normal Humidity</v>
      </c>
      <c r="T1229" s="7" t="str">
        <f t="shared" si="79"/>
        <v>Low Wind</v>
      </c>
    </row>
    <row r="1230" spans="1:20" x14ac:dyDescent="0.25">
      <c r="A1230" s="7" t="s">
        <v>1296</v>
      </c>
      <c r="B1230" s="10">
        <v>45686</v>
      </c>
      <c r="C1230" s="11" t="s">
        <v>50</v>
      </c>
      <c r="D1230" s="11" t="s">
        <v>31</v>
      </c>
      <c r="E1230" s="7" t="s">
        <v>19</v>
      </c>
      <c r="F1230" s="9">
        <v>29.1</v>
      </c>
      <c r="G1230" s="9">
        <v>180.9</v>
      </c>
      <c r="H1230" s="9">
        <v>53.6</v>
      </c>
      <c r="I1230" s="9">
        <v>6.6</v>
      </c>
      <c r="J1230" s="9">
        <v>0.16</v>
      </c>
      <c r="K1230" s="9">
        <v>5.7</v>
      </c>
      <c r="L1230" s="7">
        <v>39.4</v>
      </c>
      <c r="M1230" s="7">
        <v>67.900000000000006</v>
      </c>
      <c r="N1230" s="7">
        <v>3.6</v>
      </c>
      <c r="O1230" s="7">
        <v>218</v>
      </c>
      <c r="P1230" s="7" t="s">
        <v>28</v>
      </c>
      <c r="Q1230" s="7" t="str">
        <f t="shared" si="76"/>
        <v>VeryUnhealthy</v>
      </c>
      <c r="R1230" s="7" t="str">
        <f t="shared" si="77"/>
        <v>Hot</v>
      </c>
      <c r="S1230" s="7" t="str">
        <f t="shared" si="78"/>
        <v>High Humidity</v>
      </c>
      <c r="T1230" s="7" t="str">
        <f t="shared" si="79"/>
        <v>Moderate Wind</v>
      </c>
    </row>
    <row r="1231" spans="1:20" x14ac:dyDescent="0.25">
      <c r="A1231" s="7" t="s">
        <v>1297</v>
      </c>
      <c r="B1231" s="10">
        <v>45886</v>
      </c>
      <c r="C1231" s="11" t="s">
        <v>17</v>
      </c>
      <c r="D1231" s="11" t="s">
        <v>18</v>
      </c>
      <c r="E1231" s="7" t="s">
        <v>91</v>
      </c>
      <c r="F1231" s="9">
        <v>46.4</v>
      </c>
      <c r="G1231" s="9">
        <v>163.6</v>
      </c>
      <c r="H1231" s="9">
        <v>8.5</v>
      </c>
      <c r="I1231" s="9">
        <v>21.1</v>
      </c>
      <c r="J1231" s="9">
        <v>0.66</v>
      </c>
      <c r="K1231" s="9">
        <v>39.299999999999997</v>
      </c>
      <c r="L1231" s="7">
        <v>17.2</v>
      </c>
      <c r="M1231" s="7">
        <v>56.3</v>
      </c>
      <c r="N1231" s="7">
        <v>2.2000000000000002</v>
      </c>
      <c r="O1231" s="7">
        <v>236</v>
      </c>
      <c r="P1231" s="7" t="s">
        <v>28</v>
      </c>
      <c r="Q1231" s="7" t="str">
        <f t="shared" si="76"/>
        <v>VeryUnhealthy</v>
      </c>
      <c r="R1231" s="7" t="str">
        <f t="shared" si="77"/>
        <v>Cool</v>
      </c>
      <c r="S1231" s="7" t="str">
        <f t="shared" si="78"/>
        <v>Normal Humidity</v>
      </c>
      <c r="T1231" s="7" t="str">
        <f t="shared" si="79"/>
        <v>Moderate Wind</v>
      </c>
    </row>
    <row r="1232" spans="1:20" x14ac:dyDescent="0.25">
      <c r="A1232" s="7" t="s">
        <v>1298</v>
      </c>
      <c r="B1232" s="10">
        <v>45699</v>
      </c>
      <c r="C1232" s="11" t="s">
        <v>77</v>
      </c>
      <c r="D1232" s="11" t="s">
        <v>39</v>
      </c>
      <c r="E1232" s="7" t="s">
        <v>91</v>
      </c>
      <c r="F1232" s="9">
        <v>60.9</v>
      </c>
      <c r="G1232" s="9">
        <v>77.5</v>
      </c>
      <c r="H1232" s="9">
        <v>14.5</v>
      </c>
      <c r="I1232" s="9">
        <v>25.3</v>
      </c>
      <c r="J1232" s="9">
        <v>0.2</v>
      </c>
      <c r="K1232" s="9">
        <v>23.5</v>
      </c>
      <c r="L1232" s="7">
        <v>26.3</v>
      </c>
      <c r="M1232" s="7">
        <v>38.4</v>
      </c>
      <c r="N1232" s="7">
        <v>1.3</v>
      </c>
      <c r="O1232" s="7">
        <v>193</v>
      </c>
      <c r="P1232" s="7" t="s">
        <v>33</v>
      </c>
      <c r="Q1232" s="7" t="str">
        <f t="shared" si="76"/>
        <v>Moderate</v>
      </c>
      <c r="R1232" s="7" t="str">
        <f t="shared" si="77"/>
        <v>Normal</v>
      </c>
      <c r="S1232" s="7" t="str">
        <f t="shared" si="78"/>
        <v>Normal Humidity</v>
      </c>
      <c r="T1232" s="7" t="str">
        <f t="shared" si="79"/>
        <v>Low Wind</v>
      </c>
    </row>
    <row r="1233" spans="1:20" x14ac:dyDescent="0.25">
      <c r="A1233" s="7" t="s">
        <v>1299</v>
      </c>
      <c r="B1233" s="10">
        <v>46001</v>
      </c>
      <c r="C1233" s="11" t="s">
        <v>77</v>
      </c>
      <c r="D1233" s="11" t="s">
        <v>39</v>
      </c>
      <c r="E1233" s="7" t="s">
        <v>74</v>
      </c>
      <c r="F1233" s="9">
        <v>29.6</v>
      </c>
      <c r="G1233" s="9">
        <v>32.700000000000003</v>
      </c>
      <c r="H1233" s="9">
        <v>11.1</v>
      </c>
      <c r="I1233" s="9">
        <v>9.6</v>
      </c>
      <c r="J1233" s="9">
        <v>1.38</v>
      </c>
      <c r="K1233" s="9">
        <v>38.5</v>
      </c>
      <c r="L1233" s="7">
        <v>30.3</v>
      </c>
      <c r="M1233" s="7">
        <v>61.7</v>
      </c>
      <c r="N1233" s="7">
        <v>1.8</v>
      </c>
      <c r="O1233" s="7">
        <v>136</v>
      </c>
      <c r="P1233" s="7" t="s">
        <v>33</v>
      </c>
      <c r="Q1233" s="7" t="str">
        <f t="shared" si="76"/>
        <v>Good</v>
      </c>
      <c r="R1233" s="7" t="str">
        <f t="shared" si="77"/>
        <v>Hot</v>
      </c>
      <c r="S1233" s="7" t="str">
        <f t="shared" si="78"/>
        <v>High Humidity</v>
      </c>
      <c r="T1233" s="7" t="str">
        <f t="shared" si="79"/>
        <v>Low Wind</v>
      </c>
    </row>
    <row r="1234" spans="1:20" x14ac:dyDescent="0.25">
      <c r="A1234" s="7" t="s">
        <v>1300</v>
      </c>
      <c r="B1234" s="10">
        <v>45682</v>
      </c>
      <c r="C1234" s="11" t="s">
        <v>22</v>
      </c>
      <c r="D1234" s="11" t="s">
        <v>23</v>
      </c>
      <c r="E1234" s="7" t="s">
        <v>91</v>
      </c>
      <c r="F1234" s="9">
        <v>28.5</v>
      </c>
      <c r="G1234" s="9">
        <v>95</v>
      </c>
      <c r="H1234" s="9">
        <v>15.2</v>
      </c>
      <c r="I1234" s="9">
        <v>11</v>
      </c>
      <c r="J1234" s="9">
        <v>0.38</v>
      </c>
      <c r="K1234" s="9">
        <v>27.9</v>
      </c>
      <c r="L1234" s="7">
        <v>27.4</v>
      </c>
      <c r="M1234" s="7">
        <v>51.2</v>
      </c>
      <c r="N1234" s="7">
        <v>2.2999999999999998</v>
      </c>
      <c r="O1234" s="7">
        <v>149</v>
      </c>
      <c r="P1234" s="7" t="s">
        <v>33</v>
      </c>
      <c r="Q1234" s="7" t="str">
        <f t="shared" si="76"/>
        <v>Moderate</v>
      </c>
      <c r="R1234" s="7" t="str">
        <f t="shared" si="77"/>
        <v>Normal</v>
      </c>
      <c r="S1234" s="7" t="str">
        <f t="shared" si="78"/>
        <v>Normal Humidity</v>
      </c>
      <c r="T1234" s="7" t="str">
        <f t="shared" si="79"/>
        <v>Moderate Wind</v>
      </c>
    </row>
    <row r="1235" spans="1:20" x14ac:dyDescent="0.25">
      <c r="A1235" s="7" t="s">
        <v>1301</v>
      </c>
      <c r="B1235" s="10">
        <v>45724</v>
      </c>
      <c r="C1235" s="11" t="s">
        <v>38</v>
      </c>
      <c r="D1235" s="11" t="s">
        <v>39</v>
      </c>
      <c r="E1235" s="7" t="s">
        <v>19</v>
      </c>
      <c r="F1235" s="9">
        <v>44.1</v>
      </c>
      <c r="G1235" s="9">
        <v>60.8</v>
      </c>
      <c r="H1235" s="9">
        <v>14.4</v>
      </c>
      <c r="I1235" s="9">
        <v>6.4</v>
      </c>
      <c r="J1235" s="9">
        <v>0.22</v>
      </c>
      <c r="K1235" s="9">
        <v>15.6</v>
      </c>
      <c r="L1235" s="7">
        <v>31.5</v>
      </c>
      <c r="M1235" s="7">
        <v>65.3</v>
      </c>
      <c r="N1235" s="7">
        <v>2.5</v>
      </c>
      <c r="O1235" s="7">
        <v>139</v>
      </c>
      <c r="P1235" s="7" t="s">
        <v>33</v>
      </c>
      <c r="Q1235" s="7" t="str">
        <f t="shared" si="76"/>
        <v>Moderate</v>
      </c>
      <c r="R1235" s="7" t="str">
        <f t="shared" si="77"/>
        <v>Hot</v>
      </c>
      <c r="S1235" s="7" t="str">
        <f t="shared" si="78"/>
        <v>High Humidity</v>
      </c>
      <c r="T1235" s="7" t="str">
        <f t="shared" si="79"/>
        <v>Moderate Wind</v>
      </c>
    </row>
    <row r="1236" spans="1:20" x14ac:dyDescent="0.25">
      <c r="A1236" s="7" t="s">
        <v>1302</v>
      </c>
      <c r="B1236" s="10">
        <v>45958</v>
      </c>
      <c r="C1236" s="11" t="s">
        <v>52</v>
      </c>
      <c r="D1236" s="11" t="s">
        <v>31</v>
      </c>
      <c r="E1236" s="7" t="s">
        <v>45</v>
      </c>
      <c r="F1236" s="9">
        <v>66.3</v>
      </c>
      <c r="G1236" s="9">
        <v>29.1</v>
      </c>
      <c r="H1236" s="9">
        <v>19.5</v>
      </c>
      <c r="I1236" s="9">
        <v>17.600000000000001</v>
      </c>
      <c r="J1236" s="9">
        <v>0.44</v>
      </c>
      <c r="K1236" s="9">
        <v>85.9</v>
      </c>
      <c r="L1236" s="7">
        <v>22.3</v>
      </c>
      <c r="M1236" s="7">
        <v>59.3</v>
      </c>
      <c r="N1236" s="7">
        <v>1.7</v>
      </c>
      <c r="O1236" s="7">
        <v>203</v>
      </c>
      <c r="P1236" s="7" t="s">
        <v>28</v>
      </c>
      <c r="Q1236" s="7" t="str">
        <f t="shared" si="76"/>
        <v>Good</v>
      </c>
      <c r="R1236" s="7" t="str">
        <f t="shared" si="77"/>
        <v>Normal</v>
      </c>
      <c r="S1236" s="7" t="str">
        <f t="shared" si="78"/>
        <v>Normal Humidity</v>
      </c>
      <c r="T1236" s="7" t="str">
        <f t="shared" si="79"/>
        <v>Low Wind</v>
      </c>
    </row>
    <row r="1237" spans="1:20" x14ac:dyDescent="0.25">
      <c r="A1237" s="7" t="s">
        <v>1303</v>
      </c>
      <c r="B1237" s="10">
        <v>45700</v>
      </c>
      <c r="C1237" s="11" t="s">
        <v>50</v>
      </c>
      <c r="D1237" s="11" t="s">
        <v>31</v>
      </c>
      <c r="E1237" s="7" t="s">
        <v>43</v>
      </c>
      <c r="F1237" s="9">
        <v>28.6</v>
      </c>
      <c r="G1237" s="9">
        <v>23.6</v>
      </c>
      <c r="H1237" s="9">
        <v>26.5</v>
      </c>
      <c r="I1237" s="9">
        <v>15.6</v>
      </c>
      <c r="J1237" s="9">
        <v>0.64</v>
      </c>
      <c r="K1237" s="9">
        <v>58.2</v>
      </c>
      <c r="L1237" s="7">
        <v>29.3</v>
      </c>
      <c r="M1237" s="7">
        <v>55.2</v>
      </c>
      <c r="N1237" s="7">
        <v>2.1</v>
      </c>
      <c r="O1237" s="7">
        <v>135</v>
      </c>
      <c r="P1237" s="7" t="s">
        <v>33</v>
      </c>
      <c r="Q1237" s="7" t="str">
        <f t="shared" si="76"/>
        <v>Good</v>
      </c>
      <c r="R1237" s="7" t="str">
        <f t="shared" si="77"/>
        <v>Normal</v>
      </c>
      <c r="S1237" s="7" t="str">
        <f t="shared" si="78"/>
        <v>Normal Humidity</v>
      </c>
      <c r="T1237" s="7" t="str">
        <f t="shared" si="79"/>
        <v>Moderate Wind</v>
      </c>
    </row>
    <row r="1238" spans="1:20" x14ac:dyDescent="0.25">
      <c r="A1238" s="7" t="s">
        <v>1304</v>
      </c>
      <c r="B1238" s="10">
        <v>45718</v>
      </c>
      <c r="C1238" s="11" t="s">
        <v>35</v>
      </c>
      <c r="D1238" s="11" t="s">
        <v>36</v>
      </c>
      <c r="E1238" s="7" t="s">
        <v>24</v>
      </c>
      <c r="F1238" s="9">
        <v>169</v>
      </c>
      <c r="G1238" s="9">
        <v>80.3</v>
      </c>
      <c r="H1238" s="9">
        <v>20.6</v>
      </c>
      <c r="I1238" s="9">
        <v>4.5999999999999996</v>
      </c>
      <c r="J1238" s="9">
        <v>0.67</v>
      </c>
      <c r="K1238" s="9">
        <v>86</v>
      </c>
      <c r="L1238" s="7">
        <v>28.3</v>
      </c>
      <c r="M1238" s="7">
        <v>61.9</v>
      </c>
      <c r="N1238" s="7">
        <v>0.6</v>
      </c>
      <c r="O1238" s="7">
        <v>398</v>
      </c>
      <c r="P1238" s="7" t="s">
        <v>20</v>
      </c>
      <c r="Q1238" s="7" t="str">
        <f t="shared" si="76"/>
        <v>Moderate</v>
      </c>
      <c r="R1238" s="7" t="str">
        <f t="shared" si="77"/>
        <v>Normal</v>
      </c>
      <c r="S1238" s="7" t="str">
        <f t="shared" si="78"/>
        <v>High Humidity</v>
      </c>
      <c r="T1238" s="7" t="str">
        <f t="shared" si="79"/>
        <v>Low Wind</v>
      </c>
    </row>
    <row r="1239" spans="1:20" x14ac:dyDescent="0.25">
      <c r="A1239" s="7" t="s">
        <v>1305</v>
      </c>
      <c r="B1239" s="10">
        <v>45987</v>
      </c>
      <c r="C1239" s="11" t="s">
        <v>64</v>
      </c>
      <c r="D1239" s="11" t="s">
        <v>36</v>
      </c>
      <c r="E1239" s="7" t="s">
        <v>43</v>
      </c>
      <c r="F1239" s="9">
        <v>79.2</v>
      </c>
      <c r="G1239" s="9">
        <v>24.7</v>
      </c>
      <c r="H1239" s="9">
        <v>25.1</v>
      </c>
      <c r="I1239" s="9">
        <v>8.1999999999999993</v>
      </c>
      <c r="J1239" s="9">
        <v>0.3</v>
      </c>
      <c r="K1239" s="9">
        <v>11.2</v>
      </c>
      <c r="L1239" s="7">
        <v>27.7</v>
      </c>
      <c r="M1239" s="7">
        <v>56.1</v>
      </c>
      <c r="N1239" s="7">
        <v>0.6</v>
      </c>
      <c r="O1239" s="7">
        <v>181</v>
      </c>
      <c r="P1239" s="7" t="s">
        <v>33</v>
      </c>
      <c r="Q1239" s="7" t="str">
        <f t="shared" si="76"/>
        <v>Good</v>
      </c>
      <c r="R1239" s="7" t="str">
        <f t="shared" si="77"/>
        <v>Normal</v>
      </c>
      <c r="S1239" s="7" t="str">
        <f t="shared" si="78"/>
        <v>Normal Humidity</v>
      </c>
      <c r="T1239" s="7" t="str">
        <f t="shared" si="79"/>
        <v>Low Wind</v>
      </c>
    </row>
    <row r="1240" spans="1:20" x14ac:dyDescent="0.25">
      <c r="A1240" s="7" t="s">
        <v>1306</v>
      </c>
      <c r="B1240" s="10">
        <v>45687</v>
      </c>
      <c r="C1240" s="11" t="s">
        <v>52</v>
      </c>
      <c r="D1240" s="11" t="s">
        <v>31</v>
      </c>
      <c r="E1240" s="7" t="s">
        <v>55</v>
      </c>
      <c r="F1240" s="9">
        <v>51.5</v>
      </c>
      <c r="G1240" s="9">
        <v>114</v>
      </c>
      <c r="H1240" s="9">
        <v>42.4</v>
      </c>
      <c r="I1240" s="9">
        <v>27.2</v>
      </c>
      <c r="J1240" s="9">
        <v>0.75</v>
      </c>
      <c r="K1240" s="9">
        <v>38.700000000000003</v>
      </c>
      <c r="L1240" s="7">
        <v>17.3</v>
      </c>
      <c r="M1240" s="7">
        <v>66.3</v>
      </c>
      <c r="N1240" s="7">
        <v>3</v>
      </c>
      <c r="O1240" s="7">
        <v>246</v>
      </c>
      <c r="P1240" s="7" t="s">
        <v>28</v>
      </c>
      <c r="Q1240" s="7" t="str">
        <f t="shared" si="76"/>
        <v>Unhealthy</v>
      </c>
      <c r="R1240" s="7" t="str">
        <f t="shared" si="77"/>
        <v>Cool</v>
      </c>
      <c r="S1240" s="7" t="str">
        <f t="shared" si="78"/>
        <v>High Humidity</v>
      </c>
      <c r="T1240" s="7" t="str">
        <f t="shared" si="79"/>
        <v>Moderate Wind</v>
      </c>
    </row>
    <row r="1241" spans="1:20" x14ac:dyDescent="0.25">
      <c r="A1241" s="7" t="s">
        <v>1307</v>
      </c>
      <c r="B1241" s="10">
        <v>45773</v>
      </c>
      <c r="C1241" s="11" t="s">
        <v>26</v>
      </c>
      <c r="D1241" s="11" t="s">
        <v>23</v>
      </c>
      <c r="E1241" s="7" t="s">
        <v>70</v>
      </c>
      <c r="F1241" s="9">
        <v>76.8</v>
      </c>
      <c r="G1241" s="9">
        <v>67.400000000000006</v>
      </c>
      <c r="H1241" s="9">
        <v>25.3</v>
      </c>
      <c r="I1241" s="9">
        <v>22</v>
      </c>
      <c r="J1241" s="9">
        <v>0.8</v>
      </c>
      <c r="K1241" s="9">
        <v>3</v>
      </c>
      <c r="L1241" s="7">
        <v>28.6</v>
      </c>
      <c r="M1241" s="7">
        <v>64.8</v>
      </c>
      <c r="N1241" s="7">
        <v>1.4</v>
      </c>
      <c r="O1241" s="7">
        <v>224</v>
      </c>
      <c r="P1241" s="7" t="s">
        <v>28</v>
      </c>
      <c r="Q1241" s="7" t="str">
        <f t="shared" si="76"/>
        <v>Moderate</v>
      </c>
      <c r="R1241" s="7" t="str">
        <f t="shared" si="77"/>
        <v>Normal</v>
      </c>
      <c r="S1241" s="7" t="str">
        <f t="shared" si="78"/>
        <v>High Humidity</v>
      </c>
      <c r="T1241" s="7" t="str">
        <f t="shared" si="79"/>
        <v>Low Wind</v>
      </c>
    </row>
    <row r="1242" spans="1:20" x14ac:dyDescent="0.25">
      <c r="A1242" s="7" t="s">
        <v>1308</v>
      </c>
      <c r="B1242" s="10">
        <v>45977</v>
      </c>
      <c r="C1242" s="11" t="s">
        <v>93</v>
      </c>
      <c r="D1242" s="11" t="s">
        <v>36</v>
      </c>
      <c r="E1242" s="7" t="s">
        <v>58</v>
      </c>
      <c r="F1242" s="9">
        <v>23.9</v>
      </c>
      <c r="G1242" s="9">
        <v>60.1</v>
      </c>
      <c r="H1242" s="9">
        <v>19.399999999999999</v>
      </c>
      <c r="I1242" s="9">
        <v>11.5</v>
      </c>
      <c r="J1242" s="9">
        <v>0.35</v>
      </c>
      <c r="K1242" s="9">
        <v>31</v>
      </c>
      <c r="L1242" s="7">
        <v>38.4</v>
      </c>
      <c r="M1242" s="7">
        <v>80.8</v>
      </c>
      <c r="N1242" s="7">
        <v>2.9</v>
      </c>
      <c r="O1242" s="7">
        <v>124</v>
      </c>
      <c r="P1242" s="7" t="s">
        <v>33</v>
      </c>
      <c r="Q1242" s="7" t="str">
        <f t="shared" si="76"/>
        <v>Moderate</v>
      </c>
      <c r="R1242" s="7" t="str">
        <f t="shared" si="77"/>
        <v>Hot</v>
      </c>
      <c r="S1242" s="7" t="str">
        <f t="shared" si="78"/>
        <v>High Humidity</v>
      </c>
      <c r="T1242" s="7" t="str">
        <f t="shared" si="79"/>
        <v>Moderate Wind</v>
      </c>
    </row>
    <row r="1243" spans="1:20" x14ac:dyDescent="0.25">
      <c r="A1243" s="7" t="s">
        <v>1309</v>
      </c>
      <c r="B1243" s="10">
        <v>46008</v>
      </c>
      <c r="C1243" s="11" t="s">
        <v>52</v>
      </c>
      <c r="D1243" s="11" t="s">
        <v>31</v>
      </c>
      <c r="E1243" s="7" t="s">
        <v>74</v>
      </c>
      <c r="F1243" s="9">
        <v>52.5</v>
      </c>
      <c r="G1243" s="9">
        <v>125</v>
      </c>
      <c r="H1243" s="9">
        <v>25.1</v>
      </c>
      <c r="I1243" s="9">
        <v>20.2</v>
      </c>
      <c r="J1243" s="9">
        <v>0.7</v>
      </c>
      <c r="K1243" s="9">
        <v>11.1</v>
      </c>
      <c r="L1243" s="7">
        <v>28.4</v>
      </c>
      <c r="M1243" s="7">
        <v>60.4</v>
      </c>
      <c r="N1243" s="7">
        <v>2.5</v>
      </c>
      <c r="O1243" s="7">
        <v>222</v>
      </c>
      <c r="P1243" s="7" t="s">
        <v>28</v>
      </c>
      <c r="Q1243" s="7" t="str">
        <f t="shared" si="76"/>
        <v>Unhealthy</v>
      </c>
      <c r="R1243" s="7" t="str">
        <f t="shared" si="77"/>
        <v>Normal</v>
      </c>
      <c r="S1243" s="7" t="str">
        <f t="shared" si="78"/>
        <v>High Humidity</v>
      </c>
      <c r="T1243" s="7" t="str">
        <f t="shared" si="79"/>
        <v>Moderate Wind</v>
      </c>
    </row>
    <row r="1244" spans="1:20" x14ac:dyDescent="0.25">
      <c r="A1244" s="7" t="s">
        <v>1310</v>
      </c>
      <c r="B1244" s="10">
        <v>45704</v>
      </c>
      <c r="C1244" s="11" t="s">
        <v>30</v>
      </c>
      <c r="D1244" s="11" t="s">
        <v>31</v>
      </c>
      <c r="E1244" s="7" t="s">
        <v>24</v>
      </c>
      <c r="F1244" s="9">
        <v>22.7</v>
      </c>
      <c r="G1244" s="9">
        <v>103.5</v>
      </c>
      <c r="H1244" s="9">
        <v>56.6</v>
      </c>
      <c r="I1244" s="9">
        <v>11.6</v>
      </c>
      <c r="J1244" s="9">
        <v>2.54</v>
      </c>
      <c r="K1244" s="9">
        <v>58</v>
      </c>
      <c r="L1244" s="7">
        <v>19.7</v>
      </c>
      <c r="M1244" s="7">
        <v>57.5</v>
      </c>
      <c r="N1244" s="7">
        <v>1.6</v>
      </c>
      <c r="O1244" s="7">
        <v>247</v>
      </c>
      <c r="P1244" s="7" t="s">
        <v>28</v>
      </c>
      <c r="Q1244" s="7" t="str">
        <f t="shared" si="76"/>
        <v>Unhealthy</v>
      </c>
      <c r="R1244" s="7" t="str">
        <f t="shared" si="77"/>
        <v>Cool</v>
      </c>
      <c r="S1244" s="7" t="str">
        <f t="shared" si="78"/>
        <v>Normal Humidity</v>
      </c>
      <c r="T1244" s="7" t="str">
        <f t="shared" si="79"/>
        <v>Low Wind</v>
      </c>
    </row>
    <row r="1245" spans="1:20" x14ac:dyDescent="0.25">
      <c r="A1245" s="7" t="s">
        <v>1311</v>
      </c>
      <c r="B1245" s="10">
        <v>45934</v>
      </c>
      <c r="C1245" s="11" t="s">
        <v>50</v>
      </c>
      <c r="D1245" s="11" t="s">
        <v>31</v>
      </c>
      <c r="E1245" s="7" t="s">
        <v>43</v>
      </c>
      <c r="F1245" s="9">
        <v>21.2</v>
      </c>
      <c r="G1245" s="9">
        <v>39.200000000000003</v>
      </c>
      <c r="H1245" s="9">
        <v>29.2</v>
      </c>
      <c r="I1245" s="9">
        <v>4.0999999999999996</v>
      </c>
      <c r="J1245" s="9">
        <v>0.55000000000000004</v>
      </c>
      <c r="K1245" s="9">
        <v>44.6</v>
      </c>
      <c r="L1245" s="7">
        <v>38.700000000000003</v>
      </c>
      <c r="M1245" s="7">
        <v>60.9</v>
      </c>
      <c r="N1245" s="7">
        <v>1.8</v>
      </c>
      <c r="O1245" s="7">
        <v>119</v>
      </c>
      <c r="P1245" s="7" t="s">
        <v>33</v>
      </c>
      <c r="Q1245" s="7" t="str">
        <f t="shared" si="76"/>
        <v>Good</v>
      </c>
      <c r="R1245" s="7" t="str">
        <f t="shared" si="77"/>
        <v>Hot</v>
      </c>
      <c r="S1245" s="7" t="str">
        <f t="shared" si="78"/>
        <v>High Humidity</v>
      </c>
      <c r="T1245" s="7" t="str">
        <f t="shared" si="79"/>
        <v>Low Wind</v>
      </c>
    </row>
    <row r="1246" spans="1:20" x14ac:dyDescent="0.25">
      <c r="A1246" s="7" t="s">
        <v>1312</v>
      </c>
      <c r="B1246" s="10">
        <v>46001</v>
      </c>
      <c r="C1246" s="11" t="s">
        <v>50</v>
      </c>
      <c r="D1246" s="11" t="s">
        <v>31</v>
      </c>
      <c r="E1246" s="7" t="s">
        <v>74</v>
      </c>
      <c r="F1246" s="9">
        <v>28.6</v>
      </c>
      <c r="G1246" s="9">
        <v>72.5</v>
      </c>
      <c r="H1246" s="9">
        <v>72.5</v>
      </c>
      <c r="I1246" s="9">
        <v>13.7</v>
      </c>
      <c r="J1246" s="9">
        <v>1.33</v>
      </c>
      <c r="K1246" s="9">
        <v>26</v>
      </c>
      <c r="L1246" s="7">
        <v>28.1</v>
      </c>
      <c r="M1246" s="7">
        <v>38.9</v>
      </c>
      <c r="N1246" s="7">
        <v>0.6</v>
      </c>
      <c r="O1246" s="7">
        <v>205</v>
      </c>
      <c r="P1246" s="7" t="s">
        <v>28</v>
      </c>
      <c r="Q1246" s="7" t="str">
        <f t="shared" si="76"/>
        <v>Moderate</v>
      </c>
      <c r="R1246" s="7" t="str">
        <f t="shared" si="77"/>
        <v>Normal</v>
      </c>
      <c r="S1246" s="7" t="str">
        <f t="shared" si="78"/>
        <v>Normal Humidity</v>
      </c>
      <c r="T1246" s="7" t="str">
        <f t="shared" si="79"/>
        <v>Low Wind</v>
      </c>
    </row>
    <row r="1247" spans="1:20" x14ac:dyDescent="0.25">
      <c r="A1247" s="7" t="s">
        <v>1313</v>
      </c>
      <c r="B1247" s="10">
        <v>45740</v>
      </c>
      <c r="C1247" s="11" t="s">
        <v>17</v>
      </c>
      <c r="D1247" s="11" t="s">
        <v>18</v>
      </c>
      <c r="E1247" s="7" t="s">
        <v>45</v>
      </c>
      <c r="F1247" s="9">
        <v>10.7</v>
      </c>
      <c r="G1247" s="9">
        <v>34.200000000000003</v>
      </c>
      <c r="H1247" s="9">
        <v>25.6</v>
      </c>
      <c r="I1247" s="9">
        <v>36.6</v>
      </c>
      <c r="J1247" s="9">
        <v>1.02</v>
      </c>
      <c r="K1247" s="9">
        <v>7</v>
      </c>
      <c r="L1247" s="7">
        <v>30.6</v>
      </c>
      <c r="M1247" s="7">
        <v>49.8</v>
      </c>
      <c r="N1247" s="7">
        <v>3.2</v>
      </c>
      <c r="O1247" s="7">
        <v>114</v>
      </c>
      <c r="P1247" s="7" t="s">
        <v>33</v>
      </c>
      <c r="Q1247" s="7" t="str">
        <f t="shared" si="76"/>
        <v>Good</v>
      </c>
      <c r="R1247" s="7" t="str">
        <f t="shared" si="77"/>
        <v>Hot</v>
      </c>
      <c r="S1247" s="7" t="str">
        <f t="shared" si="78"/>
        <v>Normal Humidity</v>
      </c>
      <c r="T1247" s="7" t="str">
        <f t="shared" si="79"/>
        <v>Moderate Wind</v>
      </c>
    </row>
    <row r="1248" spans="1:20" x14ac:dyDescent="0.25">
      <c r="A1248" s="7" t="s">
        <v>1315</v>
      </c>
      <c r="B1248" s="10">
        <v>45847</v>
      </c>
      <c r="C1248" s="11" t="s">
        <v>35</v>
      </c>
      <c r="D1248" s="11" t="s">
        <v>36</v>
      </c>
      <c r="E1248" s="7" t="s">
        <v>91</v>
      </c>
      <c r="F1248" s="9">
        <v>38.1</v>
      </c>
      <c r="G1248" s="9">
        <v>108.8</v>
      </c>
      <c r="H1248" s="9">
        <v>18.899999999999999</v>
      </c>
      <c r="I1248" s="9">
        <v>11.9</v>
      </c>
      <c r="J1248" s="9">
        <v>0.55000000000000004</v>
      </c>
      <c r="K1248" s="9">
        <v>45.7</v>
      </c>
      <c r="L1248" s="7">
        <v>27.4</v>
      </c>
      <c r="M1248" s="7">
        <v>98</v>
      </c>
      <c r="N1248" s="7">
        <v>2.4</v>
      </c>
      <c r="O1248" s="7">
        <v>189</v>
      </c>
      <c r="P1248" s="7" t="s">
        <v>33</v>
      </c>
      <c r="Q1248" s="7" t="str">
        <f t="shared" si="76"/>
        <v>Unhealthy</v>
      </c>
      <c r="R1248" s="7" t="str">
        <f t="shared" si="77"/>
        <v>Normal</v>
      </c>
      <c r="S1248" s="7" t="str">
        <f t="shared" si="78"/>
        <v>High Humidity</v>
      </c>
      <c r="T1248" s="7" t="str">
        <f t="shared" si="79"/>
        <v>Moderate Wind</v>
      </c>
    </row>
    <row r="1249" spans="1:20" x14ac:dyDescent="0.25">
      <c r="A1249" s="7" t="s">
        <v>1316</v>
      </c>
      <c r="B1249" s="10">
        <v>45886</v>
      </c>
      <c r="C1249" s="11" t="s">
        <v>38</v>
      </c>
      <c r="D1249" s="11" t="s">
        <v>39</v>
      </c>
      <c r="E1249" s="7" t="s">
        <v>45</v>
      </c>
      <c r="F1249" s="9">
        <v>123.7</v>
      </c>
      <c r="G1249" s="9">
        <v>143.80000000000001</v>
      </c>
      <c r="H1249" s="9">
        <v>4.4000000000000004</v>
      </c>
      <c r="I1249" s="9">
        <v>15.3</v>
      </c>
      <c r="J1249" s="9">
        <v>1.1200000000000001</v>
      </c>
      <c r="K1249" s="9">
        <v>31.4</v>
      </c>
      <c r="L1249" s="7">
        <v>11.7</v>
      </c>
      <c r="M1249" s="7">
        <v>56.7</v>
      </c>
      <c r="N1249" s="7">
        <v>2.1</v>
      </c>
      <c r="O1249" s="7">
        <v>348</v>
      </c>
      <c r="P1249" s="7" t="s">
        <v>20</v>
      </c>
      <c r="Q1249" s="7" t="str">
        <f t="shared" si="76"/>
        <v>Unhealthy</v>
      </c>
      <c r="R1249" s="7" t="str">
        <f t="shared" si="77"/>
        <v>Cool</v>
      </c>
      <c r="S1249" s="7" t="str">
        <f t="shared" si="78"/>
        <v>Normal Humidity</v>
      </c>
      <c r="T1249" s="7" t="str">
        <f t="shared" si="79"/>
        <v>Moderate Wind</v>
      </c>
    </row>
    <row r="1250" spans="1:20" x14ac:dyDescent="0.25">
      <c r="A1250" s="7" t="s">
        <v>1317</v>
      </c>
      <c r="B1250" s="10">
        <v>45785</v>
      </c>
      <c r="C1250" s="11" t="s">
        <v>77</v>
      </c>
      <c r="D1250" s="11" t="s">
        <v>39</v>
      </c>
      <c r="E1250" s="7" t="s">
        <v>91</v>
      </c>
      <c r="F1250" s="9">
        <v>52.1</v>
      </c>
      <c r="G1250" s="9">
        <v>70.099999999999994</v>
      </c>
      <c r="H1250" s="9">
        <v>40.299999999999997</v>
      </c>
      <c r="I1250" s="9">
        <v>7.5</v>
      </c>
      <c r="J1250" s="9">
        <v>0.89</v>
      </c>
      <c r="K1250" s="9">
        <v>58.9</v>
      </c>
      <c r="L1250" s="7">
        <v>28.1</v>
      </c>
      <c r="M1250" s="7">
        <v>81.7</v>
      </c>
      <c r="N1250" s="7">
        <v>1.2</v>
      </c>
      <c r="O1250" s="7">
        <v>215</v>
      </c>
      <c r="P1250" s="7" t="s">
        <v>28</v>
      </c>
      <c r="Q1250" s="7" t="str">
        <f t="shared" si="76"/>
        <v>Moderate</v>
      </c>
      <c r="R1250" s="7" t="str">
        <f t="shared" si="77"/>
        <v>Normal</v>
      </c>
      <c r="S1250" s="7" t="str">
        <f t="shared" si="78"/>
        <v>High Humidity</v>
      </c>
      <c r="T1250" s="7" t="str">
        <f t="shared" si="79"/>
        <v>Low Wind</v>
      </c>
    </row>
    <row r="1251" spans="1:20" x14ac:dyDescent="0.25">
      <c r="A1251" s="7" t="s">
        <v>1318</v>
      </c>
      <c r="B1251" s="10">
        <v>45782</v>
      </c>
      <c r="C1251" s="11" t="s">
        <v>52</v>
      </c>
      <c r="D1251" s="11" t="s">
        <v>31</v>
      </c>
      <c r="E1251" s="7" t="s">
        <v>40</v>
      </c>
      <c r="F1251" s="9">
        <v>70.099999999999994</v>
      </c>
      <c r="G1251" s="9">
        <v>69.2</v>
      </c>
      <c r="H1251" s="9">
        <v>4.5</v>
      </c>
      <c r="I1251" s="9">
        <v>19.399999999999999</v>
      </c>
      <c r="J1251" s="9">
        <v>0.18</v>
      </c>
      <c r="K1251" s="9">
        <v>53.8</v>
      </c>
      <c r="L1251" s="7">
        <v>29.7</v>
      </c>
      <c r="M1251" s="7">
        <v>60.5</v>
      </c>
      <c r="N1251" s="7">
        <v>2.2999999999999998</v>
      </c>
      <c r="O1251" s="7">
        <v>203</v>
      </c>
      <c r="P1251" s="7" t="s">
        <v>28</v>
      </c>
      <c r="Q1251" s="7" t="str">
        <f t="shared" si="76"/>
        <v>Moderate</v>
      </c>
      <c r="R1251" s="7" t="str">
        <f t="shared" si="77"/>
        <v>Normal</v>
      </c>
      <c r="S1251" s="7" t="str">
        <f t="shared" si="78"/>
        <v>High Humidity</v>
      </c>
      <c r="T1251" s="7" t="str">
        <f t="shared" si="79"/>
        <v>Moderate Wind</v>
      </c>
    </row>
    <row r="1252" spans="1:20" x14ac:dyDescent="0.25">
      <c r="A1252" s="7" t="s">
        <v>1319</v>
      </c>
      <c r="B1252" s="10">
        <v>45792</v>
      </c>
      <c r="C1252" s="11" t="s">
        <v>99</v>
      </c>
      <c r="D1252" s="11" t="s">
        <v>36</v>
      </c>
      <c r="E1252" s="7" t="s">
        <v>55</v>
      </c>
      <c r="F1252" s="9">
        <v>32.799999999999997</v>
      </c>
      <c r="G1252" s="9">
        <v>114.8</v>
      </c>
      <c r="H1252" s="9">
        <v>21.5</v>
      </c>
      <c r="I1252" s="9">
        <v>7.5</v>
      </c>
      <c r="J1252" s="9">
        <v>0.86</v>
      </c>
      <c r="K1252" s="9">
        <v>11.2</v>
      </c>
      <c r="L1252" s="7">
        <v>38.4</v>
      </c>
      <c r="M1252" s="7">
        <v>74.8</v>
      </c>
      <c r="N1252" s="7">
        <v>3.2</v>
      </c>
      <c r="O1252" s="7">
        <v>176</v>
      </c>
      <c r="P1252" s="7" t="s">
        <v>33</v>
      </c>
      <c r="Q1252" s="7" t="str">
        <f t="shared" si="76"/>
        <v>Unhealthy</v>
      </c>
      <c r="R1252" s="7" t="str">
        <f t="shared" si="77"/>
        <v>Hot</v>
      </c>
      <c r="S1252" s="7" t="str">
        <f t="shared" si="78"/>
        <v>High Humidity</v>
      </c>
      <c r="T1252" s="7" t="str">
        <f t="shared" si="79"/>
        <v>Moderate Wind</v>
      </c>
    </row>
    <row r="1253" spans="1:20" x14ac:dyDescent="0.25">
      <c r="A1253" s="7" t="s">
        <v>1320</v>
      </c>
      <c r="B1253" s="10">
        <v>45957</v>
      </c>
      <c r="C1253" s="11" t="s">
        <v>52</v>
      </c>
      <c r="D1253" s="11" t="s">
        <v>31</v>
      </c>
      <c r="E1253" s="7" t="s">
        <v>91</v>
      </c>
      <c r="F1253" s="9">
        <v>131.69999999999999</v>
      </c>
      <c r="G1253" s="9">
        <v>67.8</v>
      </c>
      <c r="H1253" s="9">
        <v>3.8</v>
      </c>
      <c r="I1253" s="9">
        <v>7.4</v>
      </c>
      <c r="J1253" s="9">
        <v>0.25</v>
      </c>
      <c r="K1253" s="9">
        <v>83.8</v>
      </c>
      <c r="L1253" s="7">
        <v>34.200000000000003</v>
      </c>
      <c r="M1253" s="7">
        <v>60.7</v>
      </c>
      <c r="N1253" s="7">
        <v>2.8</v>
      </c>
      <c r="O1253" s="7">
        <v>307</v>
      </c>
      <c r="P1253" s="7" t="s">
        <v>20</v>
      </c>
      <c r="Q1253" s="7" t="str">
        <f t="shared" si="76"/>
        <v>Moderate</v>
      </c>
      <c r="R1253" s="7" t="str">
        <f t="shared" si="77"/>
        <v>Hot</v>
      </c>
      <c r="S1253" s="7" t="str">
        <f t="shared" si="78"/>
        <v>High Humidity</v>
      </c>
      <c r="T1253" s="7" t="str">
        <f t="shared" si="79"/>
        <v>Moderate Wind</v>
      </c>
    </row>
    <row r="1254" spans="1:20" x14ac:dyDescent="0.25">
      <c r="A1254" s="7" t="s">
        <v>1321</v>
      </c>
      <c r="B1254" s="10">
        <v>45667</v>
      </c>
      <c r="C1254" s="11" t="s">
        <v>22</v>
      </c>
      <c r="D1254" s="11" t="s">
        <v>23</v>
      </c>
      <c r="E1254" s="7" t="s">
        <v>40</v>
      </c>
      <c r="F1254" s="9">
        <v>57.9</v>
      </c>
      <c r="G1254" s="9">
        <v>26.2</v>
      </c>
      <c r="H1254" s="9">
        <v>50.2</v>
      </c>
      <c r="I1254" s="9">
        <v>2.9</v>
      </c>
      <c r="J1254" s="9">
        <v>0.68</v>
      </c>
      <c r="K1254" s="9">
        <v>31.3</v>
      </c>
      <c r="L1254" s="7">
        <v>32.9</v>
      </c>
      <c r="M1254" s="7">
        <v>85.2</v>
      </c>
      <c r="N1254" s="7">
        <v>3.3</v>
      </c>
      <c r="O1254" s="7">
        <v>183</v>
      </c>
      <c r="P1254" s="7" t="s">
        <v>33</v>
      </c>
      <c r="Q1254" s="7" t="str">
        <f t="shared" si="76"/>
        <v>Good</v>
      </c>
      <c r="R1254" s="7" t="str">
        <f t="shared" si="77"/>
        <v>Hot</v>
      </c>
      <c r="S1254" s="7" t="str">
        <f t="shared" si="78"/>
        <v>High Humidity</v>
      </c>
      <c r="T1254" s="7" t="str">
        <f t="shared" si="79"/>
        <v>Moderate Wind</v>
      </c>
    </row>
    <row r="1255" spans="1:20" x14ac:dyDescent="0.25">
      <c r="A1255" s="7" t="s">
        <v>1322</v>
      </c>
      <c r="B1255" s="10">
        <v>45892</v>
      </c>
      <c r="C1255" s="11" t="s">
        <v>64</v>
      </c>
      <c r="D1255" s="11" t="s">
        <v>36</v>
      </c>
      <c r="E1255" s="7" t="s">
        <v>19</v>
      </c>
      <c r="F1255" s="9">
        <v>28.6</v>
      </c>
      <c r="G1255" s="9">
        <v>72.7</v>
      </c>
      <c r="H1255" s="9">
        <v>47.5</v>
      </c>
      <c r="I1255" s="9">
        <v>31.1</v>
      </c>
      <c r="J1255" s="9">
        <v>1</v>
      </c>
      <c r="K1255" s="9">
        <v>39.700000000000003</v>
      </c>
      <c r="L1255" s="7">
        <v>22.3</v>
      </c>
      <c r="M1255" s="7">
        <v>68.900000000000006</v>
      </c>
      <c r="N1255" s="7">
        <v>2.8</v>
      </c>
      <c r="O1255" s="7">
        <v>196</v>
      </c>
      <c r="P1255" s="7" t="s">
        <v>33</v>
      </c>
      <c r="Q1255" s="7" t="str">
        <f t="shared" si="76"/>
        <v>Moderate</v>
      </c>
      <c r="R1255" s="7" t="str">
        <f t="shared" si="77"/>
        <v>Normal</v>
      </c>
      <c r="S1255" s="7" t="str">
        <f t="shared" si="78"/>
        <v>High Humidity</v>
      </c>
      <c r="T1255" s="7" t="str">
        <f t="shared" si="79"/>
        <v>Moderate Wind</v>
      </c>
    </row>
    <row r="1256" spans="1:20" x14ac:dyDescent="0.25">
      <c r="A1256" s="7" t="s">
        <v>1323</v>
      </c>
      <c r="B1256" s="10">
        <v>45850</v>
      </c>
      <c r="C1256" s="11" t="s">
        <v>30</v>
      </c>
      <c r="D1256" s="11" t="s">
        <v>31</v>
      </c>
      <c r="E1256" s="7" t="s">
        <v>45</v>
      </c>
      <c r="F1256" s="9">
        <v>99.7</v>
      </c>
      <c r="G1256" s="9">
        <v>23.8</v>
      </c>
      <c r="H1256" s="9">
        <v>24.4</v>
      </c>
      <c r="I1256" s="9">
        <v>7.1</v>
      </c>
      <c r="J1256" s="9">
        <v>0.49</v>
      </c>
      <c r="K1256" s="9">
        <v>18.399999999999999</v>
      </c>
      <c r="L1256" s="7">
        <v>26.9</v>
      </c>
      <c r="M1256" s="7">
        <v>59.1</v>
      </c>
      <c r="N1256" s="7">
        <v>2.2999999999999998</v>
      </c>
      <c r="O1256" s="7">
        <v>220</v>
      </c>
      <c r="P1256" s="7" t="s">
        <v>28</v>
      </c>
      <c r="Q1256" s="7" t="str">
        <f t="shared" si="76"/>
        <v>Good</v>
      </c>
      <c r="R1256" s="7" t="str">
        <f t="shared" si="77"/>
        <v>Normal</v>
      </c>
      <c r="S1256" s="7" t="str">
        <f t="shared" si="78"/>
        <v>Normal Humidity</v>
      </c>
      <c r="T1256" s="7" t="str">
        <f t="shared" si="79"/>
        <v>Moderate Wind</v>
      </c>
    </row>
    <row r="1257" spans="1:20" x14ac:dyDescent="0.25">
      <c r="A1257" s="7" t="s">
        <v>1324</v>
      </c>
      <c r="B1257" s="10">
        <v>45924</v>
      </c>
      <c r="C1257" s="11" t="s">
        <v>50</v>
      </c>
      <c r="D1257" s="11" t="s">
        <v>31</v>
      </c>
      <c r="E1257" s="7" t="s">
        <v>27</v>
      </c>
      <c r="F1257" s="9">
        <v>53.1</v>
      </c>
      <c r="G1257" s="9">
        <v>190.6</v>
      </c>
      <c r="H1257" s="9">
        <v>37.6</v>
      </c>
      <c r="I1257" s="9">
        <v>17.3</v>
      </c>
      <c r="J1257" s="9">
        <v>0.38</v>
      </c>
      <c r="K1257" s="9">
        <v>26.1</v>
      </c>
      <c r="L1257" s="7">
        <v>22.8</v>
      </c>
      <c r="M1257" s="7">
        <v>49.5</v>
      </c>
      <c r="N1257" s="7">
        <v>2</v>
      </c>
      <c r="O1257" s="7">
        <v>272</v>
      </c>
      <c r="P1257" s="7" t="s">
        <v>28</v>
      </c>
      <c r="Q1257" s="7" t="str">
        <f t="shared" si="76"/>
        <v>VeryUnhealthy</v>
      </c>
      <c r="R1257" s="7" t="str">
        <f t="shared" si="77"/>
        <v>Normal</v>
      </c>
      <c r="S1257" s="7" t="str">
        <f t="shared" si="78"/>
        <v>Normal Humidity</v>
      </c>
      <c r="T1257" s="7" t="str">
        <f t="shared" si="79"/>
        <v>Moderate Wind</v>
      </c>
    </row>
    <row r="1258" spans="1:20" x14ac:dyDescent="0.25">
      <c r="A1258" s="7" t="s">
        <v>1325</v>
      </c>
      <c r="B1258" s="10">
        <v>45923</v>
      </c>
      <c r="C1258" s="11" t="s">
        <v>42</v>
      </c>
      <c r="D1258" s="11" t="s">
        <v>23</v>
      </c>
      <c r="E1258" s="7" t="s">
        <v>91</v>
      </c>
      <c r="F1258" s="9">
        <v>40.5</v>
      </c>
      <c r="G1258" s="9">
        <v>33.799999999999997</v>
      </c>
      <c r="H1258" s="9">
        <v>17.8</v>
      </c>
      <c r="I1258" s="9">
        <v>34.299999999999997</v>
      </c>
      <c r="J1258" s="9">
        <v>1.47</v>
      </c>
      <c r="K1258" s="9">
        <v>30.9</v>
      </c>
      <c r="L1258" s="7">
        <v>23.5</v>
      </c>
      <c r="M1258" s="7">
        <v>52.1</v>
      </c>
      <c r="N1258" s="7">
        <v>0.7</v>
      </c>
      <c r="O1258" s="7">
        <v>176</v>
      </c>
      <c r="P1258" s="7" t="s">
        <v>33</v>
      </c>
      <c r="Q1258" s="7" t="str">
        <f t="shared" si="76"/>
        <v>Good</v>
      </c>
      <c r="R1258" s="7" t="str">
        <f t="shared" si="77"/>
        <v>Normal</v>
      </c>
      <c r="S1258" s="7" t="str">
        <f t="shared" si="78"/>
        <v>Normal Humidity</v>
      </c>
      <c r="T1258" s="7" t="str">
        <f t="shared" si="79"/>
        <v>Low Wind</v>
      </c>
    </row>
    <row r="1259" spans="1:20" x14ac:dyDescent="0.25">
      <c r="A1259" s="7" t="s">
        <v>1326</v>
      </c>
      <c r="B1259" s="10">
        <v>45762</v>
      </c>
      <c r="C1259" s="11" t="s">
        <v>67</v>
      </c>
      <c r="D1259" s="11" t="s">
        <v>18</v>
      </c>
      <c r="E1259" s="7" t="s">
        <v>68</v>
      </c>
      <c r="F1259" s="9">
        <v>27.9</v>
      </c>
      <c r="G1259" s="9">
        <v>35.4</v>
      </c>
      <c r="H1259" s="9">
        <v>9.3000000000000007</v>
      </c>
      <c r="I1259" s="9">
        <v>7.3</v>
      </c>
      <c r="J1259" s="9">
        <v>0.48</v>
      </c>
      <c r="K1259" s="9">
        <v>41.4</v>
      </c>
      <c r="L1259" s="7">
        <v>31.6</v>
      </c>
      <c r="M1259" s="7">
        <v>29.6</v>
      </c>
      <c r="N1259" s="7">
        <v>1.3</v>
      </c>
      <c r="O1259" s="7">
        <v>111</v>
      </c>
      <c r="P1259" s="7" t="s">
        <v>33</v>
      </c>
      <c r="Q1259" s="7" t="str">
        <f t="shared" si="76"/>
        <v>Good</v>
      </c>
      <c r="R1259" s="7" t="str">
        <f t="shared" si="77"/>
        <v>Hot</v>
      </c>
      <c r="S1259" s="7" t="str">
        <f t="shared" si="78"/>
        <v>Low Humidity</v>
      </c>
      <c r="T1259" s="7" t="str">
        <f t="shared" si="79"/>
        <v>Low Wind</v>
      </c>
    </row>
    <row r="1260" spans="1:20" x14ac:dyDescent="0.25">
      <c r="A1260" s="7" t="s">
        <v>1327</v>
      </c>
      <c r="B1260" s="10">
        <v>45822</v>
      </c>
      <c r="C1260" s="11" t="s">
        <v>50</v>
      </c>
      <c r="D1260" s="11" t="s">
        <v>31</v>
      </c>
      <c r="E1260" s="7" t="s">
        <v>70</v>
      </c>
      <c r="F1260" s="9">
        <v>32.1</v>
      </c>
      <c r="G1260" s="9">
        <v>134.4</v>
      </c>
      <c r="H1260" s="9">
        <v>6.4</v>
      </c>
      <c r="I1260" s="9">
        <v>10.4</v>
      </c>
      <c r="J1260" s="9">
        <v>0.86</v>
      </c>
      <c r="K1260" s="9">
        <v>56.3</v>
      </c>
      <c r="L1260" s="7">
        <v>33.299999999999997</v>
      </c>
      <c r="M1260" s="7">
        <v>71.900000000000006</v>
      </c>
      <c r="N1260" s="7">
        <v>2.8</v>
      </c>
      <c r="O1260" s="7">
        <v>198</v>
      </c>
      <c r="P1260" s="7" t="s">
        <v>33</v>
      </c>
      <c r="Q1260" s="7" t="str">
        <f t="shared" si="76"/>
        <v>Unhealthy</v>
      </c>
      <c r="R1260" s="7" t="str">
        <f t="shared" si="77"/>
        <v>Hot</v>
      </c>
      <c r="S1260" s="7" t="str">
        <f t="shared" si="78"/>
        <v>High Humidity</v>
      </c>
      <c r="T1260" s="7" t="str">
        <f t="shared" si="79"/>
        <v>Moderate Wind</v>
      </c>
    </row>
    <row r="1261" spans="1:20" x14ac:dyDescent="0.25">
      <c r="A1261" s="7" t="s">
        <v>1328</v>
      </c>
      <c r="B1261" s="10">
        <v>45666</v>
      </c>
      <c r="C1261" s="11" t="s">
        <v>35</v>
      </c>
      <c r="D1261" s="11" t="s">
        <v>36</v>
      </c>
      <c r="E1261" s="7" t="s">
        <v>58</v>
      </c>
      <c r="F1261" s="9">
        <v>31.6</v>
      </c>
      <c r="G1261" s="9">
        <v>50.7</v>
      </c>
      <c r="H1261" s="9">
        <v>22.2</v>
      </c>
      <c r="I1261" s="9">
        <v>30</v>
      </c>
      <c r="J1261" s="9">
        <v>1.72</v>
      </c>
      <c r="K1261" s="9">
        <v>30.1</v>
      </c>
      <c r="L1261" s="7">
        <v>27.1</v>
      </c>
      <c r="M1261" s="7">
        <v>60</v>
      </c>
      <c r="N1261" s="7">
        <v>3</v>
      </c>
      <c r="O1261" s="7">
        <v>179</v>
      </c>
      <c r="P1261" s="7" t="s">
        <v>33</v>
      </c>
      <c r="Q1261" s="7" t="str">
        <f t="shared" si="76"/>
        <v>Moderate</v>
      </c>
      <c r="R1261" s="7" t="str">
        <f t="shared" si="77"/>
        <v>Normal</v>
      </c>
      <c r="S1261" s="7" t="str">
        <f t="shared" si="78"/>
        <v>Normal Humidity</v>
      </c>
      <c r="T1261" s="7" t="str">
        <f t="shared" si="79"/>
        <v>Moderate Wind</v>
      </c>
    </row>
    <row r="1262" spans="1:20" x14ac:dyDescent="0.25">
      <c r="A1262" s="7" t="s">
        <v>1329</v>
      </c>
      <c r="B1262" s="10">
        <v>45831</v>
      </c>
      <c r="C1262" s="11" t="s">
        <v>30</v>
      </c>
      <c r="D1262" s="11" t="s">
        <v>31</v>
      </c>
      <c r="E1262" s="7" t="s">
        <v>27</v>
      </c>
      <c r="F1262" s="9">
        <v>89.6</v>
      </c>
      <c r="G1262" s="9">
        <v>29.9</v>
      </c>
      <c r="H1262" s="9">
        <v>20.399999999999999</v>
      </c>
      <c r="I1262" s="9">
        <v>1.9</v>
      </c>
      <c r="J1262" s="9">
        <v>1.1499999999999999</v>
      </c>
      <c r="K1262" s="9">
        <v>35.6</v>
      </c>
      <c r="L1262" s="7">
        <v>19.5</v>
      </c>
      <c r="M1262" s="7">
        <v>40.299999999999997</v>
      </c>
      <c r="N1262" s="7">
        <v>1.7</v>
      </c>
      <c r="O1262" s="7">
        <v>225</v>
      </c>
      <c r="P1262" s="7" t="s">
        <v>28</v>
      </c>
      <c r="Q1262" s="7" t="str">
        <f t="shared" si="76"/>
        <v>Good</v>
      </c>
      <c r="R1262" s="7" t="str">
        <f t="shared" si="77"/>
        <v>Cool</v>
      </c>
      <c r="S1262" s="7" t="str">
        <f t="shared" si="78"/>
        <v>Normal Humidity</v>
      </c>
      <c r="T1262" s="7" t="str">
        <f t="shared" si="79"/>
        <v>Low Wind</v>
      </c>
    </row>
    <row r="1263" spans="1:20" x14ac:dyDescent="0.25">
      <c r="A1263" s="7" t="s">
        <v>1330</v>
      </c>
      <c r="B1263" s="10">
        <v>45808</v>
      </c>
      <c r="C1263" s="11" t="s">
        <v>64</v>
      </c>
      <c r="D1263" s="11" t="s">
        <v>36</v>
      </c>
      <c r="E1263" s="7" t="s">
        <v>70</v>
      </c>
      <c r="F1263" s="9">
        <v>25.6</v>
      </c>
      <c r="G1263" s="9">
        <v>108.9</v>
      </c>
      <c r="H1263" s="9">
        <v>25.1</v>
      </c>
      <c r="I1263" s="9">
        <v>8.5</v>
      </c>
      <c r="J1263" s="9">
        <v>0.49</v>
      </c>
      <c r="K1263" s="9">
        <v>62.4</v>
      </c>
      <c r="L1263" s="7">
        <v>29</v>
      </c>
      <c r="M1263" s="7">
        <v>64.900000000000006</v>
      </c>
      <c r="N1263" s="7">
        <v>1.9</v>
      </c>
      <c r="O1263" s="7">
        <v>178</v>
      </c>
      <c r="P1263" s="7" t="s">
        <v>33</v>
      </c>
      <c r="Q1263" s="7" t="str">
        <f t="shared" si="76"/>
        <v>Unhealthy</v>
      </c>
      <c r="R1263" s="7" t="str">
        <f t="shared" si="77"/>
        <v>Normal</v>
      </c>
      <c r="S1263" s="7" t="str">
        <f t="shared" si="78"/>
        <v>High Humidity</v>
      </c>
      <c r="T1263" s="7" t="str">
        <f t="shared" si="79"/>
        <v>Low Wind</v>
      </c>
    </row>
    <row r="1264" spans="1:20" x14ac:dyDescent="0.25">
      <c r="A1264" s="7" t="s">
        <v>1331</v>
      </c>
      <c r="B1264" s="10">
        <v>45954</v>
      </c>
      <c r="C1264" s="11" t="s">
        <v>42</v>
      </c>
      <c r="D1264" s="11" t="s">
        <v>23</v>
      </c>
      <c r="E1264" s="7" t="s">
        <v>91</v>
      </c>
      <c r="F1264" s="9">
        <v>32.799999999999997</v>
      </c>
      <c r="G1264" s="9">
        <v>126.9</v>
      </c>
      <c r="H1264" s="9">
        <v>11.2</v>
      </c>
      <c r="I1264" s="9">
        <v>8.5</v>
      </c>
      <c r="J1264" s="9">
        <v>0.67</v>
      </c>
      <c r="K1264" s="9">
        <v>35.700000000000003</v>
      </c>
      <c r="L1264" s="7">
        <v>33.200000000000003</v>
      </c>
      <c r="M1264" s="7">
        <v>53.1</v>
      </c>
      <c r="N1264" s="7">
        <v>2.6</v>
      </c>
      <c r="O1264" s="7">
        <v>183</v>
      </c>
      <c r="P1264" s="7" t="s">
        <v>33</v>
      </c>
      <c r="Q1264" s="7" t="str">
        <f t="shared" si="76"/>
        <v>Unhealthy</v>
      </c>
      <c r="R1264" s="7" t="str">
        <f t="shared" si="77"/>
        <v>Hot</v>
      </c>
      <c r="S1264" s="7" t="str">
        <f t="shared" si="78"/>
        <v>Normal Humidity</v>
      </c>
      <c r="T1264" s="7" t="str">
        <f t="shared" si="79"/>
        <v>Moderate Wind</v>
      </c>
    </row>
    <row r="1265" spans="1:20" x14ac:dyDescent="0.25">
      <c r="A1265" s="7" t="s">
        <v>1332</v>
      </c>
      <c r="B1265" s="10">
        <v>45919</v>
      </c>
      <c r="C1265" s="11" t="s">
        <v>77</v>
      </c>
      <c r="D1265" s="11" t="s">
        <v>39</v>
      </c>
      <c r="E1265" s="7" t="s">
        <v>70</v>
      </c>
      <c r="F1265" s="9">
        <v>71.099999999999994</v>
      </c>
      <c r="G1265" s="9">
        <v>129.80000000000001</v>
      </c>
      <c r="H1265" s="9">
        <v>9.5</v>
      </c>
      <c r="I1265" s="9">
        <v>18.600000000000001</v>
      </c>
      <c r="J1265" s="9">
        <v>1.21</v>
      </c>
      <c r="K1265" s="9">
        <v>45.1</v>
      </c>
      <c r="L1265" s="7">
        <v>28.4</v>
      </c>
      <c r="M1265" s="7">
        <v>62.7</v>
      </c>
      <c r="N1265" s="7">
        <v>2.4</v>
      </c>
      <c r="O1265" s="7">
        <v>269</v>
      </c>
      <c r="P1265" s="7" t="s">
        <v>28</v>
      </c>
      <c r="Q1265" s="7" t="str">
        <f t="shared" si="76"/>
        <v>Unhealthy</v>
      </c>
      <c r="R1265" s="7" t="str">
        <f t="shared" si="77"/>
        <v>Normal</v>
      </c>
      <c r="S1265" s="7" t="str">
        <f t="shared" si="78"/>
        <v>High Humidity</v>
      </c>
      <c r="T1265" s="7" t="str">
        <f t="shared" si="79"/>
        <v>Moderate Wind</v>
      </c>
    </row>
    <row r="1266" spans="1:20" x14ac:dyDescent="0.25">
      <c r="A1266" s="7" t="s">
        <v>1333</v>
      </c>
      <c r="B1266" s="10">
        <v>45794</v>
      </c>
      <c r="C1266" s="11" t="s">
        <v>54</v>
      </c>
      <c r="D1266" s="11" t="s">
        <v>18</v>
      </c>
      <c r="E1266" s="7" t="s">
        <v>70</v>
      </c>
      <c r="F1266" s="9">
        <v>87</v>
      </c>
      <c r="G1266" s="9">
        <v>47.7</v>
      </c>
      <c r="H1266" s="9">
        <v>48.1</v>
      </c>
      <c r="I1266" s="9">
        <v>7.8</v>
      </c>
      <c r="J1266" s="9">
        <v>0.98</v>
      </c>
      <c r="K1266" s="9">
        <v>15.8</v>
      </c>
      <c r="L1266" s="7">
        <v>26.5</v>
      </c>
      <c r="M1266" s="7">
        <v>38.799999999999997</v>
      </c>
      <c r="N1266" s="7">
        <v>1.9</v>
      </c>
      <c r="O1266" s="7">
        <v>246</v>
      </c>
      <c r="P1266" s="7" t="s">
        <v>28</v>
      </c>
      <c r="Q1266" s="7" t="str">
        <f t="shared" si="76"/>
        <v>Good</v>
      </c>
      <c r="R1266" s="7" t="str">
        <f t="shared" si="77"/>
        <v>Normal</v>
      </c>
      <c r="S1266" s="7" t="str">
        <f t="shared" si="78"/>
        <v>Normal Humidity</v>
      </c>
      <c r="T1266" s="7" t="str">
        <f t="shared" si="79"/>
        <v>Low Wind</v>
      </c>
    </row>
    <row r="1267" spans="1:20" x14ac:dyDescent="0.25">
      <c r="A1267" s="7" t="s">
        <v>1334</v>
      </c>
      <c r="B1267" s="10">
        <v>45991</v>
      </c>
      <c r="C1267" s="11" t="s">
        <v>54</v>
      </c>
      <c r="D1267" s="11" t="s">
        <v>18</v>
      </c>
      <c r="E1267" s="7" t="s">
        <v>61</v>
      </c>
      <c r="F1267" s="9">
        <v>49.3</v>
      </c>
      <c r="G1267" s="9">
        <v>40.5</v>
      </c>
      <c r="H1267" s="9">
        <v>27.8</v>
      </c>
      <c r="I1267" s="9">
        <v>12.5</v>
      </c>
      <c r="J1267" s="9">
        <v>0.67</v>
      </c>
      <c r="K1267" s="9">
        <v>65.400000000000006</v>
      </c>
      <c r="L1267" s="7">
        <v>29.9</v>
      </c>
      <c r="M1267" s="7">
        <v>49.2</v>
      </c>
      <c r="N1267" s="7">
        <v>1.9</v>
      </c>
      <c r="O1267" s="7">
        <v>182</v>
      </c>
      <c r="P1267" s="7" t="s">
        <v>33</v>
      </c>
      <c r="Q1267" s="7" t="str">
        <f t="shared" si="76"/>
        <v>Good</v>
      </c>
      <c r="R1267" s="7" t="str">
        <f t="shared" si="77"/>
        <v>Normal</v>
      </c>
      <c r="S1267" s="7" t="str">
        <f t="shared" si="78"/>
        <v>Normal Humidity</v>
      </c>
      <c r="T1267" s="7" t="str">
        <f t="shared" si="79"/>
        <v>Low Wind</v>
      </c>
    </row>
    <row r="1268" spans="1:20" x14ac:dyDescent="0.25">
      <c r="A1268" s="7" t="s">
        <v>1335</v>
      </c>
      <c r="B1268" s="10">
        <v>45841</v>
      </c>
      <c r="C1268" s="11" t="s">
        <v>42</v>
      </c>
      <c r="D1268" s="11" t="s">
        <v>23</v>
      </c>
      <c r="E1268" s="7" t="s">
        <v>27</v>
      </c>
      <c r="F1268" s="9">
        <v>148.69999999999999</v>
      </c>
      <c r="G1268" s="9">
        <v>25.5</v>
      </c>
      <c r="H1268" s="9">
        <v>35.9</v>
      </c>
      <c r="I1268" s="9">
        <v>5.8</v>
      </c>
      <c r="J1268" s="9">
        <v>0.8</v>
      </c>
      <c r="K1268" s="9">
        <v>47.1</v>
      </c>
      <c r="L1268" s="7">
        <v>29.5</v>
      </c>
      <c r="M1268" s="7">
        <v>67.3</v>
      </c>
      <c r="N1268" s="7">
        <v>2.8</v>
      </c>
      <c r="O1268" s="7">
        <v>328</v>
      </c>
      <c r="P1268" s="7" t="s">
        <v>20</v>
      </c>
      <c r="Q1268" s="7" t="str">
        <f t="shared" si="76"/>
        <v>Good</v>
      </c>
      <c r="R1268" s="7" t="str">
        <f t="shared" si="77"/>
        <v>Normal</v>
      </c>
      <c r="S1268" s="7" t="str">
        <f t="shared" si="78"/>
        <v>High Humidity</v>
      </c>
      <c r="T1268" s="7" t="str">
        <f t="shared" si="79"/>
        <v>Moderate Wind</v>
      </c>
    </row>
    <row r="1269" spans="1:20" x14ac:dyDescent="0.25">
      <c r="A1269" s="7" t="s">
        <v>1336</v>
      </c>
      <c r="B1269" s="10">
        <v>45770</v>
      </c>
      <c r="C1269" s="11" t="s">
        <v>77</v>
      </c>
      <c r="D1269" s="11" t="s">
        <v>39</v>
      </c>
      <c r="E1269" s="7" t="s">
        <v>40</v>
      </c>
      <c r="F1269" s="9">
        <v>9.9</v>
      </c>
      <c r="G1269" s="9">
        <v>116.9</v>
      </c>
      <c r="H1269" s="9">
        <v>22.2</v>
      </c>
      <c r="I1269" s="9">
        <v>19.100000000000001</v>
      </c>
      <c r="J1269" s="9">
        <v>0.61</v>
      </c>
      <c r="K1269" s="9">
        <v>21.5</v>
      </c>
      <c r="L1269" s="7">
        <v>32.299999999999997</v>
      </c>
      <c r="M1269" s="7">
        <v>47.4</v>
      </c>
      <c r="N1269" s="7">
        <v>2.6</v>
      </c>
      <c r="O1269" s="7">
        <v>148</v>
      </c>
      <c r="P1269" s="7" t="s">
        <v>33</v>
      </c>
      <c r="Q1269" s="7" t="str">
        <f t="shared" si="76"/>
        <v>Unhealthy</v>
      </c>
      <c r="R1269" s="7" t="str">
        <f t="shared" si="77"/>
        <v>Hot</v>
      </c>
      <c r="S1269" s="7" t="str">
        <f t="shared" si="78"/>
        <v>Normal Humidity</v>
      </c>
      <c r="T1269" s="7" t="str">
        <f t="shared" si="79"/>
        <v>Moderate Wind</v>
      </c>
    </row>
    <row r="1270" spans="1:20" x14ac:dyDescent="0.25">
      <c r="A1270" s="7" t="s">
        <v>1337</v>
      </c>
      <c r="B1270" s="10">
        <v>45891</v>
      </c>
      <c r="C1270" s="11" t="s">
        <v>42</v>
      </c>
      <c r="D1270" s="11" t="s">
        <v>23</v>
      </c>
      <c r="E1270" s="7" t="s">
        <v>40</v>
      </c>
      <c r="F1270" s="9">
        <v>38.5</v>
      </c>
      <c r="G1270" s="9">
        <v>27.2</v>
      </c>
      <c r="H1270" s="9">
        <v>23.3</v>
      </c>
      <c r="I1270" s="9">
        <v>13.5</v>
      </c>
      <c r="J1270" s="9">
        <v>0.65</v>
      </c>
      <c r="K1270" s="9">
        <v>13.4</v>
      </c>
      <c r="L1270" s="7">
        <v>27.6</v>
      </c>
      <c r="M1270" s="7">
        <v>55.4</v>
      </c>
      <c r="N1270" s="7">
        <v>2.1</v>
      </c>
      <c r="O1270" s="7">
        <v>130</v>
      </c>
      <c r="P1270" s="7" t="s">
        <v>33</v>
      </c>
      <c r="Q1270" s="7" t="str">
        <f t="shared" si="76"/>
        <v>Good</v>
      </c>
      <c r="R1270" s="7" t="str">
        <f t="shared" si="77"/>
        <v>Normal</v>
      </c>
      <c r="S1270" s="7" t="str">
        <f t="shared" si="78"/>
        <v>Normal Humidity</v>
      </c>
      <c r="T1270" s="7" t="str">
        <f t="shared" si="79"/>
        <v>Moderate Wind</v>
      </c>
    </row>
    <row r="1271" spans="1:20" x14ac:dyDescent="0.25">
      <c r="A1271" s="7" t="s">
        <v>1338</v>
      </c>
      <c r="B1271" s="10">
        <v>45825</v>
      </c>
      <c r="C1271" s="11" t="s">
        <v>67</v>
      </c>
      <c r="D1271" s="11" t="s">
        <v>18</v>
      </c>
      <c r="E1271" s="7" t="s">
        <v>91</v>
      </c>
      <c r="F1271" s="9">
        <v>48.8</v>
      </c>
      <c r="G1271" s="9">
        <v>115.2</v>
      </c>
      <c r="H1271" s="9">
        <v>23.2</v>
      </c>
      <c r="I1271" s="9">
        <v>4.8</v>
      </c>
      <c r="J1271" s="9">
        <v>1.36</v>
      </c>
      <c r="K1271" s="9">
        <v>32.299999999999997</v>
      </c>
      <c r="L1271" s="7">
        <v>34.299999999999997</v>
      </c>
      <c r="M1271" s="7">
        <v>47</v>
      </c>
      <c r="N1271" s="7">
        <v>3.3</v>
      </c>
      <c r="O1271" s="7">
        <v>223</v>
      </c>
      <c r="P1271" s="7" t="s">
        <v>28</v>
      </c>
      <c r="Q1271" s="7" t="str">
        <f t="shared" si="76"/>
        <v>Unhealthy</v>
      </c>
      <c r="R1271" s="7" t="str">
        <f t="shared" si="77"/>
        <v>Hot</v>
      </c>
      <c r="S1271" s="7" t="str">
        <f t="shared" si="78"/>
        <v>Normal Humidity</v>
      </c>
      <c r="T1271" s="7" t="str">
        <f t="shared" si="79"/>
        <v>Moderate Wind</v>
      </c>
    </row>
    <row r="1272" spans="1:20" x14ac:dyDescent="0.25">
      <c r="A1272" s="7" t="s">
        <v>1339</v>
      </c>
      <c r="B1272" s="10">
        <v>46008</v>
      </c>
      <c r="C1272" s="11" t="s">
        <v>99</v>
      </c>
      <c r="D1272" s="11" t="s">
        <v>36</v>
      </c>
      <c r="E1272" s="7" t="s">
        <v>40</v>
      </c>
      <c r="F1272" s="9">
        <v>60</v>
      </c>
      <c r="G1272" s="9">
        <v>67.2</v>
      </c>
      <c r="H1272" s="9">
        <v>35.799999999999997</v>
      </c>
      <c r="I1272" s="9">
        <v>40.9</v>
      </c>
      <c r="J1272" s="9">
        <v>0.86</v>
      </c>
      <c r="K1272" s="9">
        <v>52.5</v>
      </c>
      <c r="L1272" s="7">
        <v>36.799999999999997</v>
      </c>
      <c r="M1272" s="7">
        <v>88.3</v>
      </c>
      <c r="N1272" s="7">
        <v>0.1</v>
      </c>
      <c r="O1272" s="7">
        <v>242</v>
      </c>
      <c r="P1272" s="7" t="s">
        <v>28</v>
      </c>
      <c r="Q1272" s="7" t="str">
        <f t="shared" si="76"/>
        <v>Moderate</v>
      </c>
      <c r="R1272" s="7" t="str">
        <f t="shared" si="77"/>
        <v>Hot</v>
      </c>
      <c r="S1272" s="7" t="str">
        <f t="shared" si="78"/>
        <v>High Humidity</v>
      </c>
      <c r="T1272" s="7" t="str">
        <f t="shared" si="79"/>
        <v>Low Wind</v>
      </c>
    </row>
    <row r="1273" spans="1:20" x14ac:dyDescent="0.25">
      <c r="A1273" s="7" t="s">
        <v>1340</v>
      </c>
      <c r="B1273" s="10">
        <v>45979</v>
      </c>
      <c r="C1273" s="11" t="s">
        <v>54</v>
      </c>
      <c r="D1273" s="11" t="s">
        <v>18</v>
      </c>
      <c r="E1273" s="7" t="s">
        <v>40</v>
      </c>
      <c r="F1273" s="9">
        <v>51.5</v>
      </c>
      <c r="G1273" s="9">
        <v>46.7</v>
      </c>
      <c r="H1273" s="9">
        <v>23.3</v>
      </c>
      <c r="I1273" s="9">
        <v>13.4</v>
      </c>
      <c r="J1273" s="9">
        <v>0.32</v>
      </c>
      <c r="K1273" s="9">
        <v>38.6</v>
      </c>
      <c r="L1273" s="7">
        <v>23.8</v>
      </c>
      <c r="M1273" s="7">
        <v>63.6</v>
      </c>
      <c r="N1273" s="7">
        <v>3.3</v>
      </c>
      <c r="O1273" s="7">
        <v>166</v>
      </c>
      <c r="P1273" s="7" t="s">
        <v>33</v>
      </c>
      <c r="Q1273" s="7" t="str">
        <f t="shared" si="76"/>
        <v>Good</v>
      </c>
      <c r="R1273" s="7" t="str">
        <f t="shared" si="77"/>
        <v>Normal</v>
      </c>
      <c r="S1273" s="7" t="str">
        <f t="shared" si="78"/>
        <v>High Humidity</v>
      </c>
      <c r="T1273" s="7" t="str">
        <f t="shared" si="79"/>
        <v>Moderate Wind</v>
      </c>
    </row>
    <row r="1274" spans="1:20" x14ac:dyDescent="0.25">
      <c r="A1274" s="7" t="s">
        <v>1341</v>
      </c>
      <c r="B1274" s="10">
        <v>45661</v>
      </c>
      <c r="C1274" s="11" t="s">
        <v>81</v>
      </c>
      <c r="D1274" s="11" t="s">
        <v>39</v>
      </c>
      <c r="E1274" s="7" t="s">
        <v>24</v>
      </c>
      <c r="F1274" s="9">
        <v>34.700000000000003</v>
      </c>
      <c r="G1274" s="9">
        <v>156</v>
      </c>
      <c r="H1274" s="9">
        <v>43.8</v>
      </c>
      <c r="I1274" s="9">
        <v>7.6</v>
      </c>
      <c r="J1274" s="9">
        <v>0.51</v>
      </c>
      <c r="K1274" s="9">
        <v>19.100000000000001</v>
      </c>
      <c r="L1274" s="7">
        <v>28.5</v>
      </c>
      <c r="M1274" s="7">
        <v>52.7</v>
      </c>
      <c r="N1274" s="7">
        <v>0.7</v>
      </c>
      <c r="O1274" s="7">
        <v>219</v>
      </c>
      <c r="P1274" s="7" t="s">
        <v>28</v>
      </c>
      <c r="Q1274" s="7" t="str">
        <f t="shared" si="76"/>
        <v>VeryUnhealthy</v>
      </c>
      <c r="R1274" s="7" t="str">
        <f t="shared" si="77"/>
        <v>Normal</v>
      </c>
      <c r="S1274" s="7" t="str">
        <f t="shared" si="78"/>
        <v>Normal Humidity</v>
      </c>
      <c r="T1274" s="7" t="str">
        <f t="shared" si="79"/>
        <v>Low Wind</v>
      </c>
    </row>
    <row r="1275" spans="1:20" x14ac:dyDescent="0.25">
      <c r="A1275" s="7" t="s">
        <v>1342</v>
      </c>
      <c r="B1275" s="10">
        <v>45749</v>
      </c>
      <c r="C1275" s="11" t="s">
        <v>52</v>
      </c>
      <c r="D1275" s="11" t="s">
        <v>31</v>
      </c>
      <c r="E1275" s="7" t="s">
        <v>32</v>
      </c>
      <c r="F1275" s="9">
        <v>30</v>
      </c>
      <c r="G1275" s="9">
        <v>26.2</v>
      </c>
      <c r="H1275" s="9">
        <v>13.3</v>
      </c>
      <c r="I1275" s="9">
        <v>8.5</v>
      </c>
      <c r="J1275" s="9">
        <v>0.52</v>
      </c>
      <c r="K1275" s="9">
        <v>58.8</v>
      </c>
      <c r="L1275" s="7">
        <v>26.9</v>
      </c>
      <c r="M1275" s="7">
        <v>57.2</v>
      </c>
      <c r="N1275" s="7">
        <v>2</v>
      </c>
      <c r="O1275" s="7">
        <v>121</v>
      </c>
      <c r="P1275" s="7" t="s">
        <v>33</v>
      </c>
      <c r="Q1275" s="7" t="str">
        <f t="shared" si="76"/>
        <v>Good</v>
      </c>
      <c r="R1275" s="7" t="str">
        <f t="shared" si="77"/>
        <v>Normal</v>
      </c>
      <c r="S1275" s="7" t="str">
        <f t="shared" si="78"/>
        <v>Normal Humidity</v>
      </c>
      <c r="T1275" s="7" t="str">
        <f t="shared" si="79"/>
        <v>Moderate Wind</v>
      </c>
    </row>
    <row r="1276" spans="1:20" x14ac:dyDescent="0.25">
      <c r="A1276" s="7" t="s">
        <v>1343</v>
      </c>
      <c r="B1276" s="10">
        <v>45805</v>
      </c>
      <c r="C1276" s="11" t="s">
        <v>26</v>
      </c>
      <c r="D1276" s="11" t="s">
        <v>23</v>
      </c>
      <c r="E1276" s="7" t="s">
        <v>70</v>
      </c>
      <c r="F1276" s="9">
        <v>56.5</v>
      </c>
      <c r="G1276" s="9">
        <v>192</v>
      </c>
      <c r="H1276" s="9">
        <v>7.4</v>
      </c>
      <c r="I1276" s="9">
        <v>10.7</v>
      </c>
      <c r="J1276" s="9">
        <v>0.27</v>
      </c>
      <c r="K1276" s="9">
        <v>8.1999999999999993</v>
      </c>
      <c r="L1276" s="7">
        <v>34.4</v>
      </c>
      <c r="M1276" s="7">
        <v>60.8</v>
      </c>
      <c r="N1276" s="7">
        <v>1.7</v>
      </c>
      <c r="O1276" s="7">
        <v>239</v>
      </c>
      <c r="P1276" s="7" t="s">
        <v>28</v>
      </c>
      <c r="Q1276" s="7" t="str">
        <f t="shared" si="76"/>
        <v>VeryUnhealthy</v>
      </c>
      <c r="R1276" s="7" t="str">
        <f t="shared" si="77"/>
        <v>Hot</v>
      </c>
      <c r="S1276" s="7" t="str">
        <f t="shared" si="78"/>
        <v>High Humidity</v>
      </c>
      <c r="T1276" s="7" t="str">
        <f t="shared" si="79"/>
        <v>Low Wind</v>
      </c>
    </row>
    <row r="1277" spans="1:20" x14ac:dyDescent="0.25">
      <c r="A1277" s="7" t="s">
        <v>1344</v>
      </c>
      <c r="B1277" s="10">
        <v>45906</v>
      </c>
      <c r="C1277" s="11" t="s">
        <v>52</v>
      </c>
      <c r="D1277" s="11" t="s">
        <v>31</v>
      </c>
      <c r="E1277" s="7" t="s">
        <v>68</v>
      </c>
      <c r="F1277" s="9">
        <v>78.7</v>
      </c>
      <c r="G1277" s="9">
        <v>51.6</v>
      </c>
      <c r="H1277" s="9">
        <v>18.2</v>
      </c>
      <c r="I1277" s="9">
        <v>26.4</v>
      </c>
      <c r="J1277" s="9">
        <v>0.28999999999999998</v>
      </c>
      <c r="K1277" s="9">
        <v>47</v>
      </c>
      <c r="L1277" s="7">
        <v>23.3</v>
      </c>
      <c r="M1277" s="7">
        <v>57.6</v>
      </c>
      <c r="N1277" s="7">
        <v>1.9</v>
      </c>
      <c r="O1277" s="7">
        <v>221</v>
      </c>
      <c r="P1277" s="7" t="s">
        <v>28</v>
      </c>
      <c r="Q1277" s="7" t="str">
        <f t="shared" si="76"/>
        <v>Moderate</v>
      </c>
      <c r="R1277" s="7" t="str">
        <f t="shared" si="77"/>
        <v>Normal</v>
      </c>
      <c r="S1277" s="7" t="str">
        <f t="shared" si="78"/>
        <v>Normal Humidity</v>
      </c>
      <c r="T1277" s="7" t="str">
        <f t="shared" si="79"/>
        <v>Low Wind</v>
      </c>
    </row>
    <row r="1278" spans="1:20" x14ac:dyDescent="0.25">
      <c r="A1278" s="7" t="s">
        <v>1345</v>
      </c>
      <c r="B1278" s="10">
        <v>45881</v>
      </c>
      <c r="C1278" s="11" t="s">
        <v>77</v>
      </c>
      <c r="D1278" s="11" t="s">
        <v>39</v>
      </c>
      <c r="E1278" s="7" t="s">
        <v>61</v>
      </c>
      <c r="F1278" s="9">
        <v>4.3</v>
      </c>
      <c r="G1278" s="9">
        <v>85.2</v>
      </c>
      <c r="H1278" s="9">
        <v>46.6</v>
      </c>
      <c r="I1278" s="9">
        <v>15</v>
      </c>
      <c r="J1278" s="9">
        <v>0.66</v>
      </c>
      <c r="K1278" s="9">
        <v>70.400000000000006</v>
      </c>
      <c r="L1278" s="7">
        <v>25.1</v>
      </c>
      <c r="M1278" s="7">
        <v>90.5</v>
      </c>
      <c r="N1278" s="7">
        <v>1.1000000000000001</v>
      </c>
      <c r="O1278" s="7">
        <v>158</v>
      </c>
      <c r="P1278" s="7" t="s">
        <v>33</v>
      </c>
      <c r="Q1278" s="7" t="str">
        <f t="shared" si="76"/>
        <v>Moderate</v>
      </c>
      <c r="R1278" s="7" t="str">
        <f t="shared" si="77"/>
        <v>Normal</v>
      </c>
      <c r="S1278" s="7" t="str">
        <f t="shared" si="78"/>
        <v>High Humidity</v>
      </c>
      <c r="T1278" s="7" t="str">
        <f t="shared" si="79"/>
        <v>Low Wind</v>
      </c>
    </row>
    <row r="1279" spans="1:20" x14ac:dyDescent="0.25">
      <c r="A1279" s="7" t="s">
        <v>1346</v>
      </c>
      <c r="B1279" s="10">
        <v>45980</v>
      </c>
      <c r="C1279" s="11" t="s">
        <v>22</v>
      </c>
      <c r="D1279" s="11" t="s">
        <v>23</v>
      </c>
      <c r="E1279" s="7" t="s">
        <v>97</v>
      </c>
      <c r="F1279" s="9">
        <v>119.2</v>
      </c>
      <c r="G1279" s="9">
        <v>142.9</v>
      </c>
      <c r="H1279" s="9">
        <v>29.8</v>
      </c>
      <c r="I1279" s="9">
        <v>16.8</v>
      </c>
      <c r="J1279" s="9">
        <v>1.22</v>
      </c>
      <c r="K1279" s="9">
        <v>22.2</v>
      </c>
      <c r="L1279" s="7">
        <v>21.1</v>
      </c>
      <c r="M1279" s="7">
        <v>27.7</v>
      </c>
      <c r="N1279" s="7">
        <v>1.6</v>
      </c>
      <c r="O1279" s="7">
        <v>360</v>
      </c>
      <c r="P1279" s="7" t="s">
        <v>20</v>
      </c>
      <c r="Q1279" s="7" t="str">
        <f t="shared" si="76"/>
        <v>Unhealthy</v>
      </c>
      <c r="R1279" s="7" t="str">
        <f t="shared" si="77"/>
        <v>Normal</v>
      </c>
      <c r="S1279" s="7" t="str">
        <f t="shared" si="78"/>
        <v>Low Humidity</v>
      </c>
      <c r="T1279" s="7" t="str">
        <f t="shared" si="79"/>
        <v>Low Wind</v>
      </c>
    </row>
    <row r="1280" spans="1:20" x14ac:dyDescent="0.25">
      <c r="A1280" s="7" t="s">
        <v>1347</v>
      </c>
      <c r="B1280" s="10">
        <v>45715</v>
      </c>
      <c r="C1280" s="11" t="s">
        <v>38</v>
      </c>
      <c r="D1280" s="11" t="s">
        <v>39</v>
      </c>
      <c r="E1280" s="7" t="s">
        <v>27</v>
      </c>
      <c r="F1280" s="9">
        <v>67.5</v>
      </c>
      <c r="G1280" s="9">
        <v>86.6</v>
      </c>
      <c r="H1280" s="9">
        <v>6.2</v>
      </c>
      <c r="I1280" s="9">
        <v>11.4</v>
      </c>
      <c r="J1280" s="9">
        <v>0.77</v>
      </c>
      <c r="K1280" s="9">
        <v>23.1</v>
      </c>
      <c r="L1280" s="7">
        <v>27.9</v>
      </c>
      <c r="M1280" s="7">
        <v>56.9</v>
      </c>
      <c r="N1280" s="7">
        <v>1.4</v>
      </c>
      <c r="O1280" s="7">
        <v>207</v>
      </c>
      <c r="P1280" s="7" t="s">
        <v>28</v>
      </c>
      <c r="Q1280" s="7" t="str">
        <f t="shared" si="76"/>
        <v>Moderate</v>
      </c>
      <c r="R1280" s="7" t="str">
        <f t="shared" si="77"/>
        <v>Normal</v>
      </c>
      <c r="S1280" s="7" t="str">
        <f t="shared" si="78"/>
        <v>Normal Humidity</v>
      </c>
      <c r="T1280" s="7" t="str">
        <f t="shared" si="79"/>
        <v>Low Wind</v>
      </c>
    </row>
    <row r="1281" spans="1:20" x14ac:dyDescent="0.25">
      <c r="A1281" s="7" t="s">
        <v>1348</v>
      </c>
      <c r="B1281" s="10">
        <v>45888</v>
      </c>
      <c r="C1281" s="11" t="s">
        <v>35</v>
      </c>
      <c r="D1281" s="11" t="s">
        <v>36</v>
      </c>
      <c r="E1281" s="7" t="s">
        <v>58</v>
      </c>
      <c r="F1281" s="9">
        <v>34.9</v>
      </c>
      <c r="G1281" s="9">
        <v>182.3</v>
      </c>
      <c r="H1281" s="9">
        <v>34.700000000000003</v>
      </c>
      <c r="I1281" s="9">
        <v>5.8</v>
      </c>
      <c r="J1281" s="9">
        <v>0.92</v>
      </c>
      <c r="K1281" s="9">
        <v>14</v>
      </c>
      <c r="L1281" s="7">
        <v>27.9</v>
      </c>
      <c r="M1281" s="7">
        <v>60.8</v>
      </c>
      <c r="N1281" s="7">
        <v>3</v>
      </c>
      <c r="O1281" s="7">
        <v>235</v>
      </c>
      <c r="P1281" s="7" t="s">
        <v>28</v>
      </c>
      <c r="Q1281" s="7" t="str">
        <f t="shared" si="76"/>
        <v>VeryUnhealthy</v>
      </c>
      <c r="R1281" s="7" t="str">
        <f t="shared" si="77"/>
        <v>Normal</v>
      </c>
      <c r="S1281" s="7" t="str">
        <f t="shared" si="78"/>
        <v>High Humidity</v>
      </c>
      <c r="T1281" s="7" t="str">
        <f t="shared" si="79"/>
        <v>Moderate Wind</v>
      </c>
    </row>
    <row r="1282" spans="1:20" x14ac:dyDescent="0.25">
      <c r="A1282" s="7" t="s">
        <v>1349</v>
      </c>
      <c r="B1282" s="10">
        <v>45990</v>
      </c>
      <c r="C1282" s="11" t="s">
        <v>26</v>
      </c>
      <c r="D1282" s="11" t="s">
        <v>23</v>
      </c>
      <c r="E1282" s="7" t="s">
        <v>68</v>
      </c>
      <c r="F1282" s="9">
        <v>36</v>
      </c>
      <c r="G1282" s="9">
        <v>134</v>
      </c>
      <c r="H1282" s="9">
        <v>21.7</v>
      </c>
      <c r="I1282" s="9">
        <v>31.8</v>
      </c>
      <c r="J1282" s="9">
        <v>0.91</v>
      </c>
      <c r="K1282" s="9">
        <v>48.3</v>
      </c>
      <c r="L1282" s="7">
        <v>29.1</v>
      </c>
      <c r="M1282" s="7">
        <v>90.4</v>
      </c>
      <c r="N1282" s="7">
        <v>0.8</v>
      </c>
      <c r="O1282" s="7">
        <v>229</v>
      </c>
      <c r="P1282" s="7" t="s">
        <v>28</v>
      </c>
      <c r="Q1282" s="7" t="str">
        <f t="shared" si="76"/>
        <v>Unhealthy</v>
      </c>
      <c r="R1282" s="7" t="str">
        <f t="shared" si="77"/>
        <v>Normal</v>
      </c>
      <c r="S1282" s="7" t="str">
        <f t="shared" si="78"/>
        <v>High Humidity</v>
      </c>
      <c r="T1282" s="7" t="str">
        <f t="shared" si="79"/>
        <v>Low Wind</v>
      </c>
    </row>
    <row r="1283" spans="1:20" x14ac:dyDescent="0.25">
      <c r="A1283" s="7" t="s">
        <v>1350</v>
      </c>
      <c r="B1283" s="10">
        <v>45700</v>
      </c>
      <c r="C1283" s="11" t="s">
        <v>50</v>
      </c>
      <c r="D1283" s="11" t="s">
        <v>31</v>
      </c>
      <c r="E1283" s="7" t="s">
        <v>74</v>
      </c>
      <c r="F1283" s="9">
        <v>61</v>
      </c>
      <c r="G1283" s="9">
        <v>64.2</v>
      </c>
      <c r="H1283" s="9">
        <v>7.6</v>
      </c>
      <c r="I1283" s="9">
        <v>7.5</v>
      </c>
      <c r="J1283" s="9">
        <v>0.51</v>
      </c>
      <c r="K1283" s="9">
        <v>62.3</v>
      </c>
      <c r="L1283" s="7">
        <v>27</v>
      </c>
      <c r="M1283" s="7">
        <v>74.099999999999994</v>
      </c>
      <c r="N1283" s="7">
        <v>2.9</v>
      </c>
      <c r="O1283" s="7">
        <v>191</v>
      </c>
      <c r="P1283" s="7" t="s">
        <v>33</v>
      </c>
      <c r="Q1283" s="7" t="str">
        <f t="shared" ref="Q1283:Q1346" si="80">IF(G1283&lt;50,"Good",IF(G1283&lt;=100,"Moderate",IF(G1283&lt;=150,"Unhealthy","VeryUnhealthy")))</f>
        <v>Moderate</v>
      </c>
      <c r="R1283" s="7" t="str">
        <f t="shared" ref="R1283:R1346" si="81">IF(L1283&lt;20,"Cool",IF(L1283&lt;=30,"Normal","Hot"))</f>
        <v>Normal</v>
      </c>
      <c r="S1283" s="7" t="str">
        <f t="shared" ref="S1283:S1346" si="82">IF(M1283&lt;30,"Low Humidity",IF(M1283&lt;=60,"Normal Humidity","High Humidity"))</f>
        <v>High Humidity</v>
      </c>
      <c r="T1283" s="7" t="str">
        <f t="shared" ref="T1283:T1346" si="83">IF(N1283&lt;2,"Low Wind",IF(N1283&lt;=5,"Moderate Wind","High Wind"))</f>
        <v>Moderate Wind</v>
      </c>
    </row>
    <row r="1284" spans="1:20" x14ac:dyDescent="0.25">
      <c r="A1284" s="7" t="s">
        <v>1351</v>
      </c>
      <c r="B1284" s="10">
        <v>45903</v>
      </c>
      <c r="C1284" s="11" t="s">
        <v>30</v>
      </c>
      <c r="D1284" s="11" t="s">
        <v>31</v>
      </c>
      <c r="E1284" s="7" t="s">
        <v>32</v>
      </c>
      <c r="F1284" s="9">
        <v>35.5</v>
      </c>
      <c r="G1284" s="9">
        <v>148</v>
      </c>
      <c r="H1284" s="9">
        <v>36.799999999999997</v>
      </c>
      <c r="I1284" s="9">
        <v>15.8</v>
      </c>
      <c r="J1284" s="9">
        <v>1.18</v>
      </c>
      <c r="K1284" s="9">
        <v>41.1</v>
      </c>
      <c r="L1284" s="7">
        <v>25</v>
      </c>
      <c r="M1284" s="7">
        <v>78</v>
      </c>
      <c r="N1284" s="7">
        <v>1.5</v>
      </c>
      <c r="O1284" s="7">
        <v>241</v>
      </c>
      <c r="P1284" s="7" t="s">
        <v>28</v>
      </c>
      <c r="Q1284" s="7" t="str">
        <f t="shared" si="80"/>
        <v>Unhealthy</v>
      </c>
      <c r="R1284" s="7" t="str">
        <f t="shared" si="81"/>
        <v>Normal</v>
      </c>
      <c r="S1284" s="7" t="str">
        <f t="shared" si="82"/>
        <v>High Humidity</v>
      </c>
      <c r="T1284" s="7" t="str">
        <f t="shared" si="83"/>
        <v>Low Wind</v>
      </c>
    </row>
    <row r="1285" spans="1:20" x14ac:dyDescent="0.25">
      <c r="A1285" s="7" t="s">
        <v>1352</v>
      </c>
      <c r="B1285" s="10">
        <v>45896</v>
      </c>
      <c r="C1285" s="11" t="s">
        <v>99</v>
      </c>
      <c r="D1285" s="11" t="s">
        <v>36</v>
      </c>
      <c r="E1285" s="7" t="s">
        <v>24</v>
      </c>
      <c r="F1285" s="9">
        <v>12.6</v>
      </c>
      <c r="G1285" s="9">
        <v>104.6</v>
      </c>
      <c r="H1285" s="9">
        <v>13.2</v>
      </c>
      <c r="I1285" s="9">
        <v>10.3</v>
      </c>
      <c r="J1285" s="9">
        <v>0.23</v>
      </c>
      <c r="K1285" s="9">
        <v>26.2</v>
      </c>
      <c r="L1285" s="7">
        <v>35.200000000000003</v>
      </c>
      <c r="M1285" s="7">
        <v>59.1</v>
      </c>
      <c r="N1285" s="7">
        <v>2</v>
      </c>
      <c r="O1285" s="7">
        <v>123</v>
      </c>
      <c r="P1285" s="7" t="s">
        <v>33</v>
      </c>
      <c r="Q1285" s="7" t="str">
        <f t="shared" si="80"/>
        <v>Unhealthy</v>
      </c>
      <c r="R1285" s="7" t="str">
        <f t="shared" si="81"/>
        <v>Hot</v>
      </c>
      <c r="S1285" s="7" t="str">
        <f t="shared" si="82"/>
        <v>Normal Humidity</v>
      </c>
      <c r="T1285" s="7" t="str">
        <f t="shared" si="83"/>
        <v>Moderate Wind</v>
      </c>
    </row>
    <row r="1286" spans="1:20" x14ac:dyDescent="0.25">
      <c r="A1286" s="7" t="s">
        <v>1353</v>
      </c>
      <c r="B1286" s="10">
        <v>45672</v>
      </c>
      <c r="C1286" s="11" t="s">
        <v>64</v>
      </c>
      <c r="D1286" s="11" t="s">
        <v>36</v>
      </c>
      <c r="E1286" s="7" t="s">
        <v>32</v>
      </c>
      <c r="F1286" s="9">
        <v>35.4</v>
      </c>
      <c r="G1286" s="9">
        <v>161.6</v>
      </c>
      <c r="H1286" s="9">
        <v>34.9</v>
      </c>
      <c r="I1286" s="9">
        <v>2.4</v>
      </c>
      <c r="J1286" s="9">
        <v>0.47</v>
      </c>
      <c r="K1286" s="9">
        <v>40.6</v>
      </c>
      <c r="L1286" s="7">
        <v>23.9</v>
      </c>
      <c r="M1286" s="7">
        <v>51.4</v>
      </c>
      <c r="N1286" s="7">
        <v>3.1</v>
      </c>
      <c r="O1286" s="7">
        <v>221</v>
      </c>
      <c r="P1286" s="7" t="s">
        <v>28</v>
      </c>
      <c r="Q1286" s="7" t="str">
        <f t="shared" si="80"/>
        <v>VeryUnhealthy</v>
      </c>
      <c r="R1286" s="7" t="str">
        <f t="shared" si="81"/>
        <v>Normal</v>
      </c>
      <c r="S1286" s="7" t="str">
        <f t="shared" si="82"/>
        <v>Normal Humidity</v>
      </c>
      <c r="T1286" s="7" t="str">
        <f t="shared" si="83"/>
        <v>Moderate Wind</v>
      </c>
    </row>
    <row r="1287" spans="1:20" x14ac:dyDescent="0.25">
      <c r="A1287" s="7" t="s">
        <v>1354</v>
      </c>
      <c r="B1287" s="10">
        <v>45673</v>
      </c>
      <c r="C1287" s="11" t="s">
        <v>93</v>
      </c>
      <c r="D1287" s="11" t="s">
        <v>36</v>
      </c>
      <c r="E1287" s="7" t="s">
        <v>27</v>
      </c>
      <c r="F1287" s="9">
        <v>19.600000000000001</v>
      </c>
      <c r="G1287" s="9">
        <v>104.2</v>
      </c>
      <c r="H1287" s="9">
        <v>24</v>
      </c>
      <c r="I1287" s="9">
        <v>20.8</v>
      </c>
      <c r="J1287" s="9">
        <v>0.34</v>
      </c>
      <c r="K1287" s="9">
        <v>11.2</v>
      </c>
      <c r="L1287" s="7">
        <v>23.8</v>
      </c>
      <c r="M1287" s="7">
        <v>59.7</v>
      </c>
      <c r="N1287" s="7">
        <v>3.8</v>
      </c>
      <c r="O1287" s="7">
        <v>146</v>
      </c>
      <c r="P1287" s="7" t="s">
        <v>33</v>
      </c>
      <c r="Q1287" s="7" t="str">
        <f t="shared" si="80"/>
        <v>Unhealthy</v>
      </c>
      <c r="R1287" s="7" t="str">
        <f t="shared" si="81"/>
        <v>Normal</v>
      </c>
      <c r="S1287" s="7" t="str">
        <f t="shared" si="82"/>
        <v>Normal Humidity</v>
      </c>
      <c r="T1287" s="7" t="str">
        <f t="shared" si="83"/>
        <v>Moderate Wind</v>
      </c>
    </row>
    <row r="1288" spans="1:20" x14ac:dyDescent="0.25">
      <c r="A1288" s="7" t="s">
        <v>1355</v>
      </c>
      <c r="B1288" s="10">
        <v>45677</v>
      </c>
      <c r="C1288" s="11" t="s">
        <v>50</v>
      </c>
      <c r="D1288" s="11" t="s">
        <v>31</v>
      </c>
      <c r="E1288" s="7" t="s">
        <v>19</v>
      </c>
      <c r="F1288" s="9">
        <v>29.1</v>
      </c>
      <c r="G1288" s="9">
        <v>89.2</v>
      </c>
      <c r="H1288" s="9">
        <v>14.9</v>
      </c>
      <c r="I1288" s="9">
        <v>20.399999999999999</v>
      </c>
      <c r="J1288" s="9">
        <v>0.36</v>
      </c>
      <c r="K1288" s="9">
        <v>36</v>
      </c>
      <c r="L1288" s="7">
        <v>18.600000000000001</v>
      </c>
      <c r="M1288" s="7">
        <v>53.6</v>
      </c>
      <c r="N1288" s="7">
        <v>1.7</v>
      </c>
      <c r="O1288" s="7">
        <v>156</v>
      </c>
      <c r="P1288" s="7" t="s">
        <v>33</v>
      </c>
      <c r="Q1288" s="7" t="str">
        <f t="shared" si="80"/>
        <v>Moderate</v>
      </c>
      <c r="R1288" s="7" t="str">
        <f t="shared" si="81"/>
        <v>Cool</v>
      </c>
      <c r="S1288" s="7" t="str">
        <f t="shared" si="82"/>
        <v>Normal Humidity</v>
      </c>
      <c r="T1288" s="7" t="str">
        <f t="shared" si="83"/>
        <v>Low Wind</v>
      </c>
    </row>
    <row r="1289" spans="1:20" x14ac:dyDescent="0.25">
      <c r="A1289" s="7" t="s">
        <v>1356</v>
      </c>
      <c r="B1289" s="10">
        <v>45760</v>
      </c>
      <c r="C1289" s="11" t="s">
        <v>42</v>
      </c>
      <c r="D1289" s="11" t="s">
        <v>23</v>
      </c>
      <c r="E1289" s="7" t="s">
        <v>61</v>
      </c>
      <c r="F1289" s="9">
        <v>38.700000000000003</v>
      </c>
      <c r="G1289" s="9">
        <v>81.099999999999994</v>
      </c>
      <c r="H1289" s="9">
        <v>16.3</v>
      </c>
      <c r="I1289" s="9">
        <v>15.6</v>
      </c>
      <c r="J1289" s="9">
        <v>0.22</v>
      </c>
      <c r="K1289" s="9">
        <v>7.4</v>
      </c>
      <c r="L1289" s="7">
        <v>28</v>
      </c>
      <c r="M1289" s="7">
        <v>81.3</v>
      </c>
      <c r="N1289" s="7">
        <v>0.2</v>
      </c>
      <c r="O1289" s="7">
        <v>147</v>
      </c>
      <c r="P1289" s="7" t="s">
        <v>33</v>
      </c>
      <c r="Q1289" s="7" t="str">
        <f t="shared" si="80"/>
        <v>Moderate</v>
      </c>
      <c r="R1289" s="7" t="str">
        <f t="shared" si="81"/>
        <v>Normal</v>
      </c>
      <c r="S1289" s="7" t="str">
        <f t="shared" si="82"/>
        <v>High Humidity</v>
      </c>
      <c r="T1289" s="7" t="str">
        <f t="shared" si="83"/>
        <v>Low Wind</v>
      </c>
    </row>
    <row r="1290" spans="1:20" x14ac:dyDescent="0.25">
      <c r="A1290" s="7" t="s">
        <v>1357</v>
      </c>
      <c r="B1290" s="10">
        <v>45908</v>
      </c>
      <c r="C1290" s="11" t="s">
        <v>81</v>
      </c>
      <c r="D1290" s="11" t="s">
        <v>39</v>
      </c>
      <c r="E1290" s="7" t="s">
        <v>43</v>
      </c>
      <c r="F1290" s="9">
        <v>22.8</v>
      </c>
      <c r="G1290" s="9">
        <v>111.3</v>
      </c>
      <c r="H1290" s="9">
        <v>6.1</v>
      </c>
      <c r="I1290" s="9">
        <v>4.9000000000000004</v>
      </c>
      <c r="J1290" s="9">
        <v>0.1</v>
      </c>
      <c r="K1290" s="9">
        <v>16.3</v>
      </c>
      <c r="L1290" s="7">
        <v>19.899999999999999</v>
      </c>
      <c r="M1290" s="7">
        <v>61.6</v>
      </c>
      <c r="N1290" s="7">
        <v>3.1</v>
      </c>
      <c r="O1290" s="7">
        <v>127</v>
      </c>
      <c r="P1290" s="7" t="s">
        <v>33</v>
      </c>
      <c r="Q1290" s="7" t="str">
        <f t="shared" si="80"/>
        <v>Unhealthy</v>
      </c>
      <c r="R1290" s="7" t="str">
        <f t="shared" si="81"/>
        <v>Cool</v>
      </c>
      <c r="S1290" s="7" t="str">
        <f t="shared" si="82"/>
        <v>High Humidity</v>
      </c>
      <c r="T1290" s="7" t="str">
        <f t="shared" si="83"/>
        <v>Moderate Wind</v>
      </c>
    </row>
    <row r="1291" spans="1:20" x14ac:dyDescent="0.25">
      <c r="A1291" s="7" t="s">
        <v>1358</v>
      </c>
      <c r="B1291" s="10">
        <v>45980</v>
      </c>
      <c r="C1291" s="11" t="s">
        <v>93</v>
      </c>
      <c r="D1291" s="11" t="s">
        <v>36</v>
      </c>
      <c r="E1291" s="7" t="s">
        <v>45</v>
      </c>
      <c r="F1291" s="9">
        <v>52.7</v>
      </c>
      <c r="G1291" s="9">
        <v>53</v>
      </c>
      <c r="H1291" s="9">
        <v>26.7</v>
      </c>
      <c r="I1291" s="9">
        <v>21.4</v>
      </c>
      <c r="J1291" s="9">
        <v>0.54</v>
      </c>
      <c r="K1291" s="9">
        <v>17.899999999999999</v>
      </c>
      <c r="L1291" s="7">
        <v>25.8</v>
      </c>
      <c r="M1291" s="7">
        <v>57.2</v>
      </c>
      <c r="N1291" s="7">
        <v>1.7</v>
      </c>
      <c r="O1291" s="7">
        <v>177</v>
      </c>
      <c r="P1291" s="7" t="s">
        <v>33</v>
      </c>
      <c r="Q1291" s="7" t="str">
        <f t="shared" si="80"/>
        <v>Moderate</v>
      </c>
      <c r="R1291" s="7" t="str">
        <f t="shared" si="81"/>
        <v>Normal</v>
      </c>
      <c r="S1291" s="7" t="str">
        <f t="shared" si="82"/>
        <v>Normal Humidity</v>
      </c>
      <c r="T1291" s="7" t="str">
        <f t="shared" si="83"/>
        <v>Low Wind</v>
      </c>
    </row>
    <row r="1292" spans="1:20" x14ac:dyDescent="0.25">
      <c r="A1292" s="7" t="s">
        <v>1359</v>
      </c>
      <c r="B1292" s="10">
        <v>45907</v>
      </c>
      <c r="C1292" s="11" t="s">
        <v>42</v>
      </c>
      <c r="D1292" s="11" t="s">
        <v>23</v>
      </c>
      <c r="E1292" s="7" t="s">
        <v>70</v>
      </c>
      <c r="F1292" s="9">
        <v>78.900000000000006</v>
      </c>
      <c r="G1292" s="9">
        <v>175.9</v>
      </c>
      <c r="H1292" s="9">
        <v>21.7</v>
      </c>
      <c r="I1292" s="9">
        <v>23.1</v>
      </c>
      <c r="J1292" s="9">
        <v>2.15</v>
      </c>
      <c r="K1292" s="9">
        <v>37.700000000000003</v>
      </c>
      <c r="L1292" s="7">
        <v>23</v>
      </c>
      <c r="M1292" s="7">
        <v>66</v>
      </c>
      <c r="N1292" s="7">
        <v>3.3</v>
      </c>
      <c r="O1292" s="7">
        <v>345</v>
      </c>
      <c r="P1292" s="7" t="s">
        <v>20</v>
      </c>
      <c r="Q1292" s="7" t="str">
        <f t="shared" si="80"/>
        <v>VeryUnhealthy</v>
      </c>
      <c r="R1292" s="7" t="str">
        <f t="shared" si="81"/>
        <v>Normal</v>
      </c>
      <c r="S1292" s="7" t="str">
        <f t="shared" si="82"/>
        <v>High Humidity</v>
      </c>
      <c r="T1292" s="7" t="str">
        <f t="shared" si="83"/>
        <v>Moderate Wind</v>
      </c>
    </row>
    <row r="1293" spans="1:20" x14ac:dyDescent="0.25">
      <c r="A1293" s="7" t="s">
        <v>1360</v>
      </c>
      <c r="B1293" s="10">
        <v>45918</v>
      </c>
      <c r="C1293" s="11" t="s">
        <v>77</v>
      </c>
      <c r="D1293" s="11" t="s">
        <v>39</v>
      </c>
      <c r="E1293" s="7" t="s">
        <v>91</v>
      </c>
      <c r="F1293" s="9">
        <v>62.6</v>
      </c>
      <c r="G1293" s="9">
        <v>160.1</v>
      </c>
      <c r="H1293" s="9">
        <v>20.9</v>
      </c>
      <c r="I1293" s="9">
        <v>25.1</v>
      </c>
      <c r="J1293" s="9">
        <v>0.75</v>
      </c>
      <c r="K1293" s="9">
        <v>14.6</v>
      </c>
      <c r="L1293" s="7">
        <v>23.4</v>
      </c>
      <c r="M1293" s="7">
        <v>72.900000000000006</v>
      </c>
      <c r="N1293" s="7">
        <v>3.3</v>
      </c>
      <c r="O1293" s="7">
        <v>264</v>
      </c>
      <c r="P1293" s="7" t="s">
        <v>28</v>
      </c>
      <c r="Q1293" s="7" t="str">
        <f t="shared" si="80"/>
        <v>VeryUnhealthy</v>
      </c>
      <c r="R1293" s="7" t="str">
        <f t="shared" si="81"/>
        <v>Normal</v>
      </c>
      <c r="S1293" s="7" t="str">
        <f t="shared" si="82"/>
        <v>High Humidity</v>
      </c>
      <c r="T1293" s="7" t="str">
        <f t="shared" si="83"/>
        <v>Moderate Wind</v>
      </c>
    </row>
    <row r="1294" spans="1:20" x14ac:dyDescent="0.25">
      <c r="A1294" s="7" t="s">
        <v>1361</v>
      </c>
      <c r="B1294" s="10">
        <v>45803</v>
      </c>
      <c r="C1294" s="11" t="s">
        <v>64</v>
      </c>
      <c r="D1294" s="11" t="s">
        <v>36</v>
      </c>
      <c r="E1294" s="7" t="s">
        <v>58</v>
      </c>
      <c r="F1294" s="9">
        <v>22.5</v>
      </c>
      <c r="G1294" s="9">
        <v>86.9</v>
      </c>
      <c r="H1294" s="9">
        <v>20.7</v>
      </c>
      <c r="I1294" s="9">
        <v>12.4</v>
      </c>
      <c r="J1294" s="9">
        <v>0.75</v>
      </c>
      <c r="K1294" s="9">
        <v>42.4</v>
      </c>
      <c r="L1294" s="7">
        <v>35.700000000000003</v>
      </c>
      <c r="M1294" s="7">
        <v>70.8</v>
      </c>
      <c r="N1294" s="7">
        <v>3</v>
      </c>
      <c r="O1294" s="7">
        <v>156</v>
      </c>
      <c r="P1294" s="7" t="s">
        <v>33</v>
      </c>
      <c r="Q1294" s="7" t="str">
        <f t="shared" si="80"/>
        <v>Moderate</v>
      </c>
      <c r="R1294" s="7" t="str">
        <f t="shared" si="81"/>
        <v>Hot</v>
      </c>
      <c r="S1294" s="7" t="str">
        <f t="shared" si="82"/>
        <v>High Humidity</v>
      </c>
      <c r="T1294" s="7" t="str">
        <f t="shared" si="83"/>
        <v>Moderate Wind</v>
      </c>
    </row>
    <row r="1295" spans="1:20" x14ac:dyDescent="0.25">
      <c r="A1295" s="7" t="s">
        <v>1362</v>
      </c>
      <c r="B1295" s="10">
        <v>45736</v>
      </c>
      <c r="C1295" s="11" t="s">
        <v>54</v>
      </c>
      <c r="D1295" s="11" t="s">
        <v>18</v>
      </c>
      <c r="E1295" s="7" t="s">
        <v>68</v>
      </c>
      <c r="F1295" s="9">
        <v>23.7</v>
      </c>
      <c r="G1295" s="9">
        <v>88.4</v>
      </c>
      <c r="H1295" s="9">
        <v>24.6</v>
      </c>
      <c r="I1295" s="9">
        <v>12.7</v>
      </c>
      <c r="J1295" s="9">
        <v>1.06</v>
      </c>
      <c r="K1295" s="9">
        <v>55.2</v>
      </c>
      <c r="L1295" s="7">
        <v>28.6</v>
      </c>
      <c r="M1295" s="7">
        <v>47.8</v>
      </c>
      <c r="N1295" s="7">
        <v>2.7</v>
      </c>
      <c r="O1295" s="7">
        <v>175</v>
      </c>
      <c r="P1295" s="7" t="s">
        <v>33</v>
      </c>
      <c r="Q1295" s="7" t="str">
        <f t="shared" si="80"/>
        <v>Moderate</v>
      </c>
      <c r="R1295" s="7" t="str">
        <f t="shared" si="81"/>
        <v>Normal</v>
      </c>
      <c r="S1295" s="7" t="str">
        <f t="shared" si="82"/>
        <v>Normal Humidity</v>
      </c>
      <c r="T1295" s="7" t="str">
        <f t="shared" si="83"/>
        <v>Moderate Wind</v>
      </c>
    </row>
    <row r="1296" spans="1:20" x14ac:dyDescent="0.25">
      <c r="A1296" s="7" t="s">
        <v>1363</v>
      </c>
      <c r="B1296" s="10">
        <v>45861</v>
      </c>
      <c r="C1296" s="11" t="s">
        <v>52</v>
      </c>
      <c r="D1296" s="11" t="s">
        <v>31</v>
      </c>
      <c r="E1296" s="7" t="s">
        <v>45</v>
      </c>
      <c r="F1296" s="9">
        <v>129.9</v>
      </c>
      <c r="G1296" s="9">
        <v>78.7</v>
      </c>
      <c r="H1296" s="9">
        <v>14</v>
      </c>
      <c r="I1296" s="9">
        <v>27.2</v>
      </c>
      <c r="J1296" s="9">
        <v>0.79</v>
      </c>
      <c r="K1296" s="9">
        <v>17.7</v>
      </c>
      <c r="L1296" s="7">
        <v>30.6</v>
      </c>
      <c r="M1296" s="7">
        <v>37.200000000000003</v>
      </c>
      <c r="N1296" s="7">
        <v>1.7</v>
      </c>
      <c r="O1296" s="7">
        <v>317</v>
      </c>
      <c r="P1296" s="7" t="s">
        <v>20</v>
      </c>
      <c r="Q1296" s="7" t="str">
        <f t="shared" si="80"/>
        <v>Moderate</v>
      </c>
      <c r="R1296" s="7" t="str">
        <f t="shared" si="81"/>
        <v>Hot</v>
      </c>
      <c r="S1296" s="7" t="str">
        <f t="shared" si="82"/>
        <v>Normal Humidity</v>
      </c>
      <c r="T1296" s="7" t="str">
        <f t="shared" si="83"/>
        <v>Low Wind</v>
      </c>
    </row>
    <row r="1297" spans="1:20" x14ac:dyDescent="0.25">
      <c r="A1297" s="7" t="s">
        <v>1364</v>
      </c>
      <c r="B1297" s="10">
        <v>45910</v>
      </c>
      <c r="C1297" s="11" t="s">
        <v>99</v>
      </c>
      <c r="D1297" s="11" t="s">
        <v>36</v>
      </c>
      <c r="E1297" s="7" t="s">
        <v>70</v>
      </c>
      <c r="F1297" s="9">
        <v>45.9</v>
      </c>
      <c r="G1297" s="9">
        <v>151.4</v>
      </c>
      <c r="H1297" s="9">
        <v>6.1</v>
      </c>
      <c r="I1297" s="9">
        <v>3.8</v>
      </c>
      <c r="J1297" s="9">
        <v>0.39</v>
      </c>
      <c r="K1297" s="9">
        <v>36.5</v>
      </c>
      <c r="L1297" s="7">
        <v>23</v>
      </c>
      <c r="M1297" s="7">
        <v>71</v>
      </c>
      <c r="N1297" s="7">
        <v>1.8</v>
      </c>
      <c r="O1297" s="7">
        <v>206</v>
      </c>
      <c r="P1297" s="7" t="s">
        <v>28</v>
      </c>
      <c r="Q1297" s="7" t="str">
        <f t="shared" si="80"/>
        <v>VeryUnhealthy</v>
      </c>
      <c r="R1297" s="7" t="str">
        <f t="shared" si="81"/>
        <v>Normal</v>
      </c>
      <c r="S1297" s="7" t="str">
        <f t="shared" si="82"/>
        <v>High Humidity</v>
      </c>
      <c r="T1297" s="7" t="str">
        <f t="shared" si="83"/>
        <v>Low Wind</v>
      </c>
    </row>
    <row r="1298" spans="1:20" x14ac:dyDescent="0.25">
      <c r="A1298" s="7" t="s">
        <v>1365</v>
      </c>
      <c r="B1298" s="10">
        <v>45973</v>
      </c>
      <c r="C1298" s="11" t="s">
        <v>67</v>
      </c>
      <c r="D1298" s="11" t="s">
        <v>18</v>
      </c>
      <c r="E1298" s="7" t="s">
        <v>24</v>
      </c>
      <c r="F1298" s="9">
        <v>26.7</v>
      </c>
      <c r="G1298" s="9">
        <v>52.6</v>
      </c>
      <c r="H1298" s="9">
        <v>25.7</v>
      </c>
      <c r="I1298" s="9">
        <v>19.100000000000001</v>
      </c>
      <c r="J1298" s="9">
        <v>1.4</v>
      </c>
      <c r="K1298" s="9">
        <v>46.3</v>
      </c>
      <c r="L1298" s="7">
        <v>25.6</v>
      </c>
      <c r="M1298" s="7">
        <v>49.5</v>
      </c>
      <c r="N1298" s="7">
        <v>2.5</v>
      </c>
      <c r="O1298" s="7">
        <v>167</v>
      </c>
      <c r="P1298" s="7" t="s">
        <v>33</v>
      </c>
      <c r="Q1298" s="7" t="str">
        <f t="shared" si="80"/>
        <v>Moderate</v>
      </c>
      <c r="R1298" s="7" t="str">
        <f t="shared" si="81"/>
        <v>Normal</v>
      </c>
      <c r="S1298" s="7" t="str">
        <f t="shared" si="82"/>
        <v>Normal Humidity</v>
      </c>
      <c r="T1298" s="7" t="str">
        <f t="shared" si="83"/>
        <v>Moderate Wind</v>
      </c>
    </row>
    <row r="1299" spans="1:20" x14ac:dyDescent="0.25">
      <c r="A1299" s="7" t="s">
        <v>1366</v>
      </c>
      <c r="B1299" s="10">
        <v>45867</v>
      </c>
      <c r="C1299" s="11" t="s">
        <v>50</v>
      </c>
      <c r="D1299" s="11" t="s">
        <v>31</v>
      </c>
      <c r="E1299" s="7" t="s">
        <v>45</v>
      </c>
      <c r="F1299" s="9">
        <v>26.8</v>
      </c>
      <c r="G1299" s="9">
        <v>98.3</v>
      </c>
      <c r="H1299" s="9">
        <v>39.299999999999997</v>
      </c>
      <c r="I1299" s="9">
        <v>19.8</v>
      </c>
      <c r="J1299" s="9">
        <v>1.87</v>
      </c>
      <c r="K1299" s="9">
        <v>61.2</v>
      </c>
      <c r="L1299" s="7">
        <v>25.2</v>
      </c>
      <c r="M1299" s="7">
        <v>98</v>
      </c>
      <c r="N1299" s="7">
        <v>0.1</v>
      </c>
      <c r="O1299" s="7">
        <v>226</v>
      </c>
      <c r="P1299" s="7" t="s">
        <v>28</v>
      </c>
      <c r="Q1299" s="7" t="str">
        <f t="shared" si="80"/>
        <v>Moderate</v>
      </c>
      <c r="R1299" s="7" t="str">
        <f t="shared" si="81"/>
        <v>Normal</v>
      </c>
      <c r="S1299" s="7" t="str">
        <f t="shared" si="82"/>
        <v>High Humidity</v>
      </c>
      <c r="T1299" s="7" t="str">
        <f t="shared" si="83"/>
        <v>Low Wind</v>
      </c>
    </row>
    <row r="1300" spans="1:20" x14ac:dyDescent="0.25">
      <c r="A1300" s="7" t="s">
        <v>1367</v>
      </c>
      <c r="B1300" s="10">
        <v>46013</v>
      </c>
      <c r="C1300" s="11" t="s">
        <v>38</v>
      </c>
      <c r="D1300" s="11" t="s">
        <v>39</v>
      </c>
      <c r="E1300" s="7" t="s">
        <v>32</v>
      </c>
      <c r="F1300" s="9">
        <v>90.8</v>
      </c>
      <c r="G1300" s="9">
        <v>74.2</v>
      </c>
      <c r="H1300" s="9">
        <v>42.7</v>
      </c>
      <c r="I1300" s="9">
        <v>10.3</v>
      </c>
      <c r="J1300" s="9">
        <v>0.52</v>
      </c>
      <c r="K1300" s="9">
        <v>38.200000000000003</v>
      </c>
      <c r="L1300" s="7">
        <v>15.5</v>
      </c>
      <c r="M1300" s="7">
        <v>69.8</v>
      </c>
      <c r="N1300" s="7">
        <v>3.1</v>
      </c>
      <c r="O1300" s="7">
        <v>265</v>
      </c>
      <c r="P1300" s="7" t="s">
        <v>28</v>
      </c>
      <c r="Q1300" s="7" t="str">
        <f t="shared" si="80"/>
        <v>Moderate</v>
      </c>
      <c r="R1300" s="7" t="str">
        <f t="shared" si="81"/>
        <v>Cool</v>
      </c>
      <c r="S1300" s="7" t="str">
        <f t="shared" si="82"/>
        <v>High Humidity</v>
      </c>
      <c r="T1300" s="7" t="str">
        <f t="shared" si="83"/>
        <v>Moderate Wind</v>
      </c>
    </row>
    <row r="1301" spans="1:20" x14ac:dyDescent="0.25">
      <c r="A1301" s="7" t="s">
        <v>1368</v>
      </c>
      <c r="B1301" s="10">
        <v>45953</v>
      </c>
      <c r="C1301" s="11" t="s">
        <v>22</v>
      </c>
      <c r="D1301" s="11" t="s">
        <v>23</v>
      </c>
      <c r="E1301" s="7" t="s">
        <v>43</v>
      </c>
      <c r="F1301" s="9">
        <v>69.2</v>
      </c>
      <c r="G1301" s="9">
        <v>102.9</v>
      </c>
      <c r="H1301" s="9">
        <v>60.6</v>
      </c>
      <c r="I1301" s="9">
        <v>8.8000000000000007</v>
      </c>
      <c r="J1301" s="9">
        <v>1.45</v>
      </c>
      <c r="K1301" s="9">
        <v>52</v>
      </c>
      <c r="L1301" s="7">
        <v>24.1</v>
      </c>
      <c r="M1301" s="7">
        <v>66.400000000000006</v>
      </c>
      <c r="N1301" s="7">
        <v>1.6</v>
      </c>
      <c r="O1301" s="7">
        <v>292</v>
      </c>
      <c r="P1301" s="7" t="s">
        <v>28</v>
      </c>
      <c r="Q1301" s="7" t="str">
        <f t="shared" si="80"/>
        <v>Unhealthy</v>
      </c>
      <c r="R1301" s="7" t="str">
        <f t="shared" si="81"/>
        <v>Normal</v>
      </c>
      <c r="S1301" s="7" t="str">
        <f t="shared" si="82"/>
        <v>High Humidity</v>
      </c>
      <c r="T1301" s="7" t="str">
        <f t="shared" si="83"/>
        <v>Low Wind</v>
      </c>
    </row>
    <row r="1302" spans="1:20" x14ac:dyDescent="0.25">
      <c r="A1302" s="7" t="s">
        <v>1369</v>
      </c>
      <c r="B1302" s="10">
        <v>46003</v>
      </c>
      <c r="C1302" s="11" t="s">
        <v>42</v>
      </c>
      <c r="D1302" s="11" t="s">
        <v>23</v>
      </c>
      <c r="E1302" s="7" t="s">
        <v>19</v>
      </c>
      <c r="F1302" s="9">
        <v>49.9</v>
      </c>
      <c r="G1302" s="9">
        <v>104</v>
      </c>
      <c r="H1302" s="9">
        <v>39.6</v>
      </c>
      <c r="I1302" s="9">
        <v>7.1</v>
      </c>
      <c r="J1302" s="9">
        <v>1.1499999999999999</v>
      </c>
      <c r="K1302" s="9">
        <v>13</v>
      </c>
      <c r="L1302" s="7">
        <v>21.3</v>
      </c>
      <c r="M1302" s="7">
        <v>47.4</v>
      </c>
      <c r="N1302" s="7">
        <v>2.9</v>
      </c>
      <c r="O1302" s="7">
        <v>219</v>
      </c>
      <c r="P1302" s="7" t="s">
        <v>28</v>
      </c>
      <c r="Q1302" s="7" t="str">
        <f t="shared" si="80"/>
        <v>Unhealthy</v>
      </c>
      <c r="R1302" s="7" t="str">
        <f t="shared" si="81"/>
        <v>Normal</v>
      </c>
      <c r="S1302" s="7" t="str">
        <f t="shared" si="82"/>
        <v>Normal Humidity</v>
      </c>
      <c r="T1302" s="7" t="str">
        <f t="shared" si="83"/>
        <v>Moderate Wind</v>
      </c>
    </row>
    <row r="1303" spans="1:20" x14ac:dyDescent="0.25">
      <c r="A1303" s="7" t="s">
        <v>1370</v>
      </c>
      <c r="B1303" s="10">
        <v>45903</v>
      </c>
      <c r="C1303" s="11" t="s">
        <v>17</v>
      </c>
      <c r="D1303" s="11" t="s">
        <v>18</v>
      </c>
      <c r="E1303" s="7" t="s">
        <v>32</v>
      </c>
      <c r="F1303" s="9">
        <v>50.6</v>
      </c>
      <c r="G1303" s="9">
        <v>136.6</v>
      </c>
      <c r="H1303" s="9">
        <v>26</v>
      </c>
      <c r="I1303" s="9">
        <v>1.1000000000000001</v>
      </c>
      <c r="J1303" s="9">
        <v>0.34</v>
      </c>
      <c r="K1303" s="9">
        <v>34.799999999999997</v>
      </c>
      <c r="L1303" s="7">
        <v>37.700000000000003</v>
      </c>
      <c r="M1303" s="7">
        <v>89.6</v>
      </c>
      <c r="N1303" s="7">
        <v>1.1000000000000001</v>
      </c>
      <c r="O1303" s="7">
        <v>215</v>
      </c>
      <c r="P1303" s="7" t="s">
        <v>28</v>
      </c>
      <c r="Q1303" s="7" t="str">
        <f t="shared" si="80"/>
        <v>Unhealthy</v>
      </c>
      <c r="R1303" s="7" t="str">
        <f t="shared" si="81"/>
        <v>Hot</v>
      </c>
      <c r="S1303" s="7" t="str">
        <f t="shared" si="82"/>
        <v>High Humidity</v>
      </c>
      <c r="T1303" s="7" t="str">
        <f t="shared" si="83"/>
        <v>Low Wind</v>
      </c>
    </row>
    <row r="1304" spans="1:20" x14ac:dyDescent="0.25">
      <c r="A1304" s="7" t="s">
        <v>1371</v>
      </c>
      <c r="B1304" s="10">
        <v>45744</v>
      </c>
      <c r="C1304" s="11" t="s">
        <v>38</v>
      </c>
      <c r="D1304" s="11" t="s">
        <v>39</v>
      </c>
      <c r="E1304" s="7" t="s">
        <v>61</v>
      </c>
      <c r="F1304" s="9">
        <v>39.799999999999997</v>
      </c>
      <c r="G1304" s="9">
        <v>68.3</v>
      </c>
      <c r="H1304" s="9">
        <v>25.9</v>
      </c>
      <c r="I1304" s="9">
        <v>16.3</v>
      </c>
      <c r="J1304" s="9">
        <v>1.02</v>
      </c>
      <c r="K1304" s="9">
        <v>51.8</v>
      </c>
      <c r="L1304" s="7">
        <v>25.1</v>
      </c>
      <c r="M1304" s="7">
        <v>56.2</v>
      </c>
      <c r="N1304" s="7">
        <v>1.4</v>
      </c>
      <c r="O1304" s="7">
        <v>189</v>
      </c>
      <c r="P1304" s="7" t="s">
        <v>33</v>
      </c>
      <c r="Q1304" s="7" t="str">
        <f t="shared" si="80"/>
        <v>Moderate</v>
      </c>
      <c r="R1304" s="7" t="str">
        <f t="shared" si="81"/>
        <v>Normal</v>
      </c>
      <c r="S1304" s="7" t="str">
        <f t="shared" si="82"/>
        <v>Normal Humidity</v>
      </c>
      <c r="T1304" s="7" t="str">
        <f t="shared" si="83"/>
        <v>Low Wind</v>
      </c>
    </row>
    <row r="1305" spans="1:20" x14ac:dyDescent="0.25">
      <c r="A1305" s="7" t="s">
        <v>1372</v>
      </c>
      <c r="B1305" s="10">
        <v>45959</v>
      </c>
      <c r="C1305" s="11" t="s">
        <v>54</v>
      </c>
      <c r="D1305" s="11" t="s">
        <v>18</v>
      </c>
      <c r="E1305" s="7" t="s">
        <v>68</v>
      </c>
      <c r="F1305" s="9">
        <v>18.7</v>
      </c>
      <c r="G1305" s="9">
        <v>63</v>
      </c>
      <c r="H1305" s="9">
        <v>11.2</v>
      </c>
      <c r="I1305" s="9">
        <v>5.8</v>
      </c>
      <c r="J1305" s="9">
        <v>0.99</v>
      </c>
      <c r="K1305" s="9">
        <v>25.7</v>
      </c>
      <c r="L1305" s="7">
        <v>34.4</v>
      </c>
      <c r="M1305" s="7">
        <v>42</v>
      </c>
      <c r="N1305" s="7">
        <v>1.6</v>
      </c>
      <c r="O1305" s="7">
        <v>120</v>
      </c>
      <c r="P1305" s="7" t="s">
        <v>33</v>
      </c>
      <c r="Q1305" s="7" t="str">
        <f t="shared" si="80"/>
        <v>Moderate</v>
      </c>
      <c r="R1305" s="7" t="str">
        <f t="shared" si="81"/>
        <v>Hot</v>
      </c>
      <c r="S1305" s="7" t="str">
        <f t="shared" si="82"/>
        <v>Normal Humidity</v>
      </c>
      <c r="T1305" s="7" t="str">
        <f t="shared" si="83"/>
        <v>Low Wind</v>
      </c>
    </row>
    <row r="1306" spans="1:20" x14ac:dyDescent="0.25">
      <c r="A1306" s="7" t="s">
        <v>1373</v>
      </c>
      <c r="B1306" s="10">
        <v>45888</v>
      </c>
      <c r="C1306" s="11" t="s">
        <v>38</v>
      </c>
      <c r="D1306" s="11" t="s">
        <v>39</v>
      </c>
      <c r="E1306" s="7" t="s">
        <v>43</v>
      </c>
      <c r="F1306" s="9">
        <v>57.9</v>
      </c>
      <c r="G1306" s="9">
        <v>75.900000000000006</v>
      </c>
      <c r="H1306" s="9">
        <v>10.4</v>
      </c>
      <c r="I1306" s="9">
        <v>33.799999999999997</v>
      </c>
      <c r="J1306" s="9">
        <v>1.08</v>
      </c>
      <c r="K1306" s="9">
        <v>70</v>
      </c>
      <c r="L1306" s="7">
        <v>34.299999999999997</v>
      </c>
      <c r="M1306" s="7">
        <v>74.599999999999994</v>
      </c>
      <c r="N1306" s="7">
        <v>2</v>
      </c>
      <c r="O1306" s="7">
        <v>232</v>
      </c>
      <c r="P1306" s="7" t="s">
        <v>28</v>
      </c>
      <c r="Q1306" s="7" t="str">
        <f t="shared" si="80"/>
        <v>Moderate</v>
      </c>
      <c r="R1306" s="7" t="str">
        <f t="shared" si="81"/>
        <v>Hot</v>
      </c>
      <c r="S1306" s="7" t="str">
        <f t="shared" si="82"/>
        <v>High Humidity</v>
      </c>
      <c r="T1306" s="7" t="str">
        <f t="shared" si="83"/>
        <v>Moderate Wind</v>
      </c>
    </row>
    <row r="1307" spans="1:20" x14ac:dyDescent="0.25">
      <c r="A1307" s="7" t="s">
        <v>1374</v>
      </c>
      <c r="B1307" s="10">
        <v>45924</v>
      </c>
      <c r="C1307" s="11" t="s">
        <v>81</v>
      </c>
      <c r="D1307" s="11" t="s">
        <v>39</v>
      </c>
      <c r="E1307" s="7" t="s">
        <v>24</v>
      </c>
      <c r="F1307" s="9">
        <v>47.1</v>
      </c>
      <c r="G1307" s="9">
        <v>65.900000000000006</v>
      </c>
      <c r="H1307" s="9">
        <v>41.6</v>
      </c>
      <c r="I1307" s="9">
        <v>10.1</v>
      </c>
      <c r="J1307" s="9">
        <v>0.91</v>
      </c>
      <c r="K1307" s="9">
        <v>50.7</v>
      </c>
      <c r="L1307" s="7">
        <v>25.8</v>
      </c>
      <c r="M1307" s="7">
        <v>74.400000000000006</v>
      </c>
      <c r="N1307" s="7">
        <v>3.6</v>
      </c>
      <c r="O1307" s="7">
        <v>204</v>
      </c>
      <c r="P1307" s="7" t="s">
        <v>28</v>
      </c>
      <c r="Q1307" s="7" t="str">
        <f t="shared" si="80"/>
        <v>Moderate</v>
      </c>
      <c r="R1307" s="7" t="str">
        <f t="shared" si="81"/>
        <v>Normal</v>
      </c>
      <c r="S1307" s="7" t="str">
        <f t="shared" si="82"/>
        <v>High Humidity</v>
      </c>
      <c r="T1307" s="7" t="str">
        <f t="shared" si="83"/>
        <v>Moderate Wind</v>
      </c>
    </row>
    <row r="1308" spans="1:20" x14ac:dyDescent="0.25">
      <c r="A1308" s="7" t="s">
        <v>1375</v>
      </c>
      <c r="B1308" s="10">
        <v>45761</v>
      </c>
      <c r="C1308" s="11" t="s">
        <v>17</v>
      </c>
      <c r="D1308" s="11" t="s">
        <v>18</v>
      </c>
      <c r="E1308" s="7" t="s">
        <v>68</v>
      </c>
      <c r="F1308" s="9">
        <v>58.1</v>
      </c>
      <c r="G1308" s="9">
        <v>161.1</v>
      </c>
      <c r="H1308" s="9">
        <v>33.799999999999997</v>
      </c>
      <c r="I1308" s="9">
        <v>13.9</v>
      </c>
      <c r="J1308" s="9">
        <v>0.45</v>
      </c>
      <c r="K1308" s="9">
        <v>39.9</v>
      </c>
      <c r="L1308" s="7">
        <v>25.8</v>
      </c>
      <c r="M1308" s="7">
        <v>60.3</v>
      </c>
      <c r="N1308" s="7">
        <v>1.4</v>
      </c>
      <c r="O1308" s="7">
        <v>264</v>
      </c>
      <c r="P1308" s="7" t="s">
        <v>28</v>
      </c>
      <c r="Q1308" s="7" t="str">
        <f t="shared" si="80"/>
        <v>VeryUnhealthy</v>
      </c>
      <c r="R1308" s="7" t="str">
        <f t="shared" si="81"/>
        <v>Normal</v>
      </c>
      <c r="S1308" s="7" t="str">
        <f t="shared" si="82"/>
        <v>High Humidity</v>
      </c>
      <c r="T1308" s="7" t="str">
        <f t="shared" si="83"/>
        <v>Low Wind</v>
      </c>
    </row>
    <row r="1309" spans="1:20" x14ac:dyDescent="0.25">
      <c r="A1309" s="7" t="s">
        <v>1376</v>
      </c>
      <c r="B1309" s="10">
        <v>45688</v>
      </c>
      <c r="C1309" s="11" t="s">
        <v>38</v>
      </c>
      <c r="D1309" s="11" t="s">
        <v>39</v>
      </c>
      <c r="E1309" s="7" t="s">
        <v>74</v>
      </c>
      <c r="F1309" s="9">
        <v>47.3</v>
      </c>
      <c r="G1309" s="9">
        <v>109.1</v>
      </c>
      <c r="H1309" s="9">
        <v>9.6</v>
      </c>
      <c r="I1309" s="9">
        <v>10.1</v>
      </c>
      <c r="J1309" s="9">
        <v>0.71</v>
      </c>
      <c r="K1309" s="9">
        <v>62.5</v>
      </c>
      <c r="L1309" s="7">
        <v>22.9</v>
      </c>
      <c r="M1309" s="7">
        <v>54.8</v>
      </c>
      <c r="N1309" s="7">
        <v>4</v>
      </c>
      <c r="O1309" s="7">
        <v>207</v>
      </c>
      <c r="P1309" s="7" t="s">
        <v>28</v>
      </c>
      <c r="Q1309" s="7" t="str">
        <f t="shared" si="80"/>
        <v>Unhealthy</v>
      </c>
      <c r="R1309" s="7" t="str">
        <f t="shared" si="81"/>
        <v>Normal</v>
      </c>
      <c r="S1309" s="7" t="str">
        <f t="shared" si="82"/>
        <v>Normal Humidity</v>
      </c>
      <c r="T1309" s="7" t="str">
        <f t="shared" si="83"/>
        <v>Moderate Wind</v>
      </c>
    </row>
    <row r="1310" spans="1:20" x14ac:dyDescent="0.25">
      <c r="A1310" s="7" t="s">
        <v>1377</v>
      </c>
      <c r="B1310" s="10">
        <v>46011</v>
      </c>
      <c r="C1310" s="11" t="s">
        <v>81</v>
      </c>
      <c r="D1310" s="11" t="s">
        <v>39</v>
      </c>
      <c r="E1310" s="7" t="s">
        <v>68</v>
      </c>
      <c r="F1310" s="9">
        <v>55.8</v>
      </c>
      <c r="G1310" s="9">
        <v>21.6</v>
      </c>
      <c r="H1310" s="9">
        <v>34.299999999999997</v>
      </c>
      <c r="I1310" s="9">
        <v>13.8</v>
      </c>
      <c r="J1310" s="9">
        <v>0.5</v>
      </c>
      <c r="K1310" s="9">
        <v>13.3</v>
      </c>
      <c r="L1310" s="7">
        <v>28.8</v>
      </c>
      <c r="M1310" s="7">
        <v>68.8</v>
      </c>
      <c r="N1310" s="7">
        <v>4.4000000000000004</v>
      </c>
      <c r="O1310" s="7">
        <v>159</v>
      </c>
      <c r="P1310" s="7" t="s">
        <v>33</v>
      </c>
      <c r="Q1310" s="7" t="str">
        <f t="shared" si="80"/>
        <v>Good</v>
      </c>
      <c r="R1310" s="7" t="str">
        <f t="shared" si="81"/>
        <v>Normal</v>
      </c>
      <c r="S1310" s="7" t="str">
        <f t="shared" si="82"/>
        <v>High Humidity</v>
      </c>
      <c r="T1310" s="7" t="str">
        <f t="shared" si="83"/>
        <v>Moderate Wind</v>
      </c>
    </row>
    <row r="1311" spans="1:20" x14ac:dyDescent="0.25">
      <c r="A1311" s="7" t="s">
        <v>1378</v>
      </c>
      <c r="B1311" s="10">
        <v>45830</v>
      </c>
      <c r="C1311" s="11" t="s">
        <v>54</v>
      </c>
      <c r="D1311" s="11" t="s">
        <v>18</v>
      </c>
      <c r="E1311" s="7" t="s">
        <v>97</v>
      </c>
      <c r="F1311" s="9">
        <v>78.8</v>
      </c>
      <c r="G1311" s="9">
        <v>90.5</v>
      </c>
      <c r="H1311" s="9">
        <v>24.6</v>
      </c>
      <c r="I1311" s="9">
        <v>21.9</v>
      </c>
      <c r="J1311" s="9">
        <v>0.32</v>
      </c>
      <c r="K1311" s="9">
        <v>55.7</v>
      </c>
      <c r="L1311" s="7">
        <v>34.299999999999997</v>
      </c>
      <c r="M1311" s="7">
        <v>44.9</v>
      </c>
      <c r="N1311" s="7">
        <v>1.5</v>
      </c>
      <c r="O1311" s="7">
        <v>253</v>
      </c>
      <c r="P1311" s="7" t="s">
        <v>28</v>
      </c>
      <c r="Q1311" s="7" t="str">
        <f t="shared" si="80"/>
        <v>Moderate</v>
      </c>
      <c r="R1311" s="7" t="str">
        <f t="shared" si="81"/>
        <v>Hot</v>
      </c>
      <c r="S1311" s="7" t="str">
        <f t="shared" si="82"/>
        <v>Normal Humidity</v>
      </c>
      <c r="T1311" s="7" t="str">
        <f t="shared" si="83"/>
        <v>Low Wind</v>
      </c>
    </row>
    <row r="1312" spans="1:20" x14ac:dyDescent="0.25">
      <c r="A1312" s="7" t="s">
        <v>1379</v>
      </c>
      <c r="B1312" s="10">
        <v>45875</v>
      </c>
      <c r="C1312" s="11" t="s">
        <v>93</v>
      </c>
      <c r="D1312" s="11" t="s">
        <v>36</v>
      </c>
      <c r="E1312" s="7" t="s">
        <v>45</v>
      </c>
      <c r="F1312" s="9">
        <v>40.4</v>
      </c>
      <c r="G1312" s="9">
        <v>43.5</v>
      </c>
      <c r="H1312" s="9">
        <v>14.1</v>
      </c>
      <c r="I1312" s="9">
        <v>24.3</v>
      </c>
      <c r="J1312" s="9">
        <v>0.35</v>
      </c>
      <c r="K1312" s="9">
        <v>78.400000000000006</v>
      </c>
      <c r="L1312" s="7">
        <v>26.6</v>
      </c>
      <c r="M1312" s="7">
        <v>88.1</v>
      </c>
      <c r="N1312" s="7">
        <v>2.8</v>
      </c>
      <c r="O1312" s="7">
        <v>165</v>
      </c>
      <c r="P1312" s="7" t="s">
        <v>33</v>
      </c>
      <c r="Q1312" s="7" t="str">
        <f t="shared" si="80"/>
        <v>Good</v>
      </c>
      <c r="R1312" s="7" t="str">
        <f t="shared" si="81"/>
        <v>Normal</v>
      </c>
      <c r="S1312" s="7" t="str">
        <f t="shared" si="82"/>
        <v>High Humidity</v>
      </c>
      <c r="T1312" s="7" t="str">
        <f t="shared" si="83"/>
        <v>Moderate Wind</v>
      </c>
    </row>
    <row r="1313" spans="1:20" x14ac:dyDescent="0.25">
      <c r="A1313" s="7" t="s">
        <v>1380</v>
      </c>
      <c r="B1313" s="10">
        <v>45680</v>
      </c>
      <c r="C1313" s="11" t="s">
        <v>93</v>
      </c>
      <c r="D1313" s="11" t="s">
        <v>36</v>
      </c>
      <c r="E1313" s="7" t="s">
        <v>68</v>
      </c>
      <c r="F1313" s="9">
        <v>20.7</v>
      </c>
      <c r="G1313" s="9">
        <v>34.1</v>
      </c>
      <c r="H1313" s="9">
        <v>33.200000000000003</v>
      </c>
      <c r="I1313" s="9">
        <v>11.1</v>
      </c>
      <c r="J1313" s="9">
        <v>0.81</v>
      </c>
      <c r="K1313" s="9">
        <v>16.8</v>
      </c>
      <c r="L1313" s="7">
        <v>22.9</v>
      </c>
      <c r="M1313" s="7">
        <v>71</v>
      </c>
      <c r="N1313" s="7">
        <v>1.4</v>
      </c>
      <c r="O1313" s="7">
        <v>117</v>
      </c>
      <c r="P1313" s="7" t="s">
        <v>33</v>
      </c>
      <c r="Q1313" s="7" t="str">
        <f t="shared" si="80"/>
        <v>Good</v>
      </c>
      <c r="R1313" s="7" t="str">
        <f t="shared" si="81"/>
        <v>Normal</v>
      </c>
      <c r="S1313" s="7" t="str">
        <f t="shared" si="82"/>
        <v>High Humidity</v>
      </c>
      <c r="T1313" s="7" t="str">
        <f t="shared" si="83"/>
        <v>Low Wind</v>
      </c>
    </row>
    <row r="1314" spans="1:20" x14ac:dyDescent="0.25">
      <c r="A1314" s="7" t="s">
        <v>1381</v>
      </c>
      <c r="B1314" s="10">
        <v>45974</v>
      </c>
      <c r="C1314" s="11" t="s">
        <v>54</v>
      </c>
      <c r="D1314" s="11" t="s">
        <v>18</v>
      </c>
      <c r="E1314" s="7" t="s">
        <v>55</v>
      </c>
      <c r="F1314" s="9">
        <v>24.4</v>
      </c>
      <c r="G1314" s="9">
        <v>145.30000000000001</v>
      </c>
      <c r="H1314" s="9">
        <v>15.8</v>
      </c>
      <c r="I1314" s="9">
        <v>27.4</v>
      </c>
      <c r="J1314" s="9">
        <v>0.33</v>
      </c>
      <c r="K1314" s="9">
        <v>18.5</v>
      </c>
      <c r="L1314" s="7">
        <v>37.799999999999997</v>
      </c>
      <c r="M1314" s="7">
        <v>87.6</v>
      </c>
      <c r="N1314" s="7">
        <v>1.9</v>
      </c>
      <c r="O1314" s="7">
        <v>182</v>
      </c>
      <c r="P1314" s="7" t="s">
        <v>33</v>
      </c>
      <c r="Q1314" s="7" t="str">
        <f t="shared" si="80"/>
        <v>Unhealthy</v>
      </c>
      <c r="R1314" s="7" t="str">
        <f t="shared" si="81"/>
        <v>Hot</v>
      </c>
      <c r="S1314" s="7" t="str">
        <f t="shared" si="82"/>
        <v>High Humidity</v>
      </c>
      <c r="T1314" s="7" t="str">
        <f t="shared" si="83"/>
        <v>Low Wind</v>
      </c>
    </row>
    <row r="1315" spans="1:20" x14ac:dyDescent="0.25">
      <c r="A1315" s="7" t="s">
        <v>1382</v>
      </c>
      <c r="B1315" s="10">
        <v>45762</v>
      </c>
      <c r="C1315" s="11" t="s">
        <v>54</v>
      </c>
      <c r="D1315" s="11" t="s">
        <v>18</v>
      </c>
      <c r="E1315" s="7" t="s">
        <v>70</v>
      </c>
      <c r="F1315" s="9">
        <v>19.8</v>
      </c>
      <c r="G1315" s="9">
        <v>116.1</v>
      </c>
      <c r="H1315" s="9">
        <v>30.7</v>
      </c>
      <c r="I1315" s="9">
        <v>4.4000000000000004</v>
      </c>
      <c r="J1315" s="9">
        <v>0.47</v>
      </c>
      <c r="K1315" s="9">
        <v>25.9</v>
      </c>
      <c r="L1315" s="7">
        <v>15.6</v>
      </c>
      <c r="M1315" s="7">
        <v>51.4</v>
      </c>
      <c r="N1315" s="7">
        <v>1</v>
      </c>
      <c r="O1315" s="7">
        <v>158</v>
      </c>
      <c r="P1315" s="7" t="s">
        <v>33</v>
      </c>
      <c r="Q1315" s="7" t="str">
        <f t="shared" si="80"/>
        <v>Unhealthy</v>
      </c>
      <c r="R1315" s="7" t="str">
        <f t="shared" si="81"/>
        <v>Cool</v>
      </c>
      <c r="S1315" s="7" t="str">
        <f t="shared" si="82"/>
        <v>Normal Humidity</v>
      </c>
      <c r="T1315" s="7" t="str">
        <f t="shared" si="83"/>
        <v>Low Wind</v>
      </c>
    </row>
    <row r="1316" spans="1:20" x14ac:dyDescent="0.25">
      <c r="A1316" s="7" t="s">
        <v>1383</v>
      </c>
      <c r="B1316" s="10">
        <v>45662</v>
      </c>
      <c r="C1316" s="11" t="s">
        <v>67</v>
      </c>
      <c r="D1316" s="11" t="s">
        <v>18</v>
      </c>
      <c r="E1316" s="7" t="s">
        <v>58</v>
      </c>
      <c r="F1316" s="9">
        <v>49.1</v>
      </c>
      <c r="G1316" s="9">
        <v>97.6</v>
      </c>
      <c r="H1316" s="9">
        <v>27.3</v>
      </c>
      <c r="I1316" s="9">
        <v>12.1</v>
      </c>
      <c r="J1316" s="9">
        <v>1.34</v>
      </c>
      <c r="K1316" s="9">
        <v>43.2</v>
      </c>
      <c r="L1316" s="7">
        <v>34.4</v>
      </c>
      <c r="M1316" s="7">
        <v>73.900000000000006</v>
      </c>
      <c r="N1316" s="7">
        <v>2.4</v>
      </c>
      <c r="O1316" s="7">
        <v>225</v>
      </c>
      <c r="P1316" s="7" t="s">
        <v>28</v>
      </c>
      <c r="Q1316" s="7" t="str">
        <f t="shared" si="80"/>
        <v>Moderate</v>
      </c>
      <c r="R1316" s="7" t="str">
        <f t="shared" si="81"/>
        <v>Hot</v>
      </c>
      <c r="S1316" s="7" t="str">
        <f t="shared" si="82"/>
        <v>High Humidity</v>
      </c>
      <c r="T1316" s="7" t="str">
        <f t="shared" si="83"/>
        <v>Moderate Wind</v>
      </c>
    </row>
    <row r="1317" spans="1:20" x14ac:dyDescent="0.25">
      <c r="A1317" s="7" t="s">
        <v>1384</v>
      </c>
      <c r="B1317" s="10">
        <v>45760</v>
      </c>
      <c r="C1317" s="11" t="s">
        <v>54</v>
      </c>
      <c r="D1317" s="11" t="s">
        <v>18</v>
      </c>
      <c r="E1317" s="7" t="s">
        <v>91</v>
      </c>
      <c r="F1317" s="9">
        <v>36</v>
      </c>
      <c r="G1317" s="9">
        <v>41</v>
      </c>
      <c r="H1317" s="9">
        <v>8.1999999999999993</v>
      </c>
      <c r="I1317" s="9">
        <v>20.100000000000001</v>
      </c>
      <c r="J1317" s="9">
        <v>0.51</v>
      </c>
      <c r="K1317" s="9">
        <v>79.8</v>
      </c>
      <c r="L1317" s="7">
        <v>36.9</v>
      </c>
      <c r="M1317" s="7">
        <v>67.099999999999994</v>
      </c>
      <c r="N1317" s="7">
        <v>2.6</v>
      </c>
      <c r="O1317" s="7">
        <v>154</v>
      </c>
      <c r="P1317" s="7" t="s">
        <v>33</v>
      </c>
      <c r="Q1317" s="7" t="str">
        <f t="shared" si="80"/>
        <v>Good</v>
      </c>
      <c r="R1317" s="7" t="str">
        <f t="shared" si="81"/>
        <v>Hot</v>
      </c>
      <c r="S1317" s="7" t="str">
        <f t="shared" si="82"/>
        <v>High Humidity</v>
      </c>
      <c r="T1317" s="7" t="str">
        <f t="shared" si="83"/>
        <v>Moderate Wind</v>
      </c>
    </row>
    <row r="1318" spans="1:20" x14ac:dyDescent="0.25">
      <c r="A1318" s="7" t="s">
        <v>1385</v>
      </c>
      <c r="B1318" s="10">
        <v>45714</v>
      </c>
      <c r="C1318" s="11" t="s">
        <v>26</v>
      </c>
      <c r="D1318" s="11" t="s">
        <v>23</v>
      </c>
      <c r="E1318" s="7" t="s">
        <v>70</v>
      </c>
      <c r="F1318" s="9">
        <v>21.3</v>
      </c>
      <c r="G1318" s="9">
        <v>96.6</v>
      </c>
      <c r="H1318" s="9">
        <v>19.600000000000001</v>
      </c>
      <c r="I1318" s="9">
        <v>7.9</v>
      </c>
      <c r="J1318" s="9">
        <v>1.92</v>
      </c>
      <c r="K1318" s="9">
        <v>19.7</v>
      </c>
      <c r="L1318" s="7">
        <v>27.1</v>
      </c>
      <c r="M1318" s="7">
        <v>62.5</v>
      </c>
      <c r="N1318" s="7">
        <v>2.4</v>
      </c>
      <c r="O1318" s="7">
        <v>175</v>
      </c>
      <c r="P1318" s="7" t="s">
        <v>33</v>
      </c>
      <c r="Q1318" s="7" t="str">
        <f t="shared" si="80"/>
        <v>Moderate</v>
      </c>
      <c r="R1318" s="7" t="str">
        <f t="shared" si="81"/>
        <v>Normal</v>
      </c>
      <c r="S1318" s="7" t="str">
        <f t="shared" si="82"/>
        <v>High Humidity</v>
      </c>
      <c r="T1318" s="7" t="str">
        <f t="shared" si="83"/>
        <v>Moderate Wind</v>
      </c>
    </row>
    <row r="1319" spans="1:20" x14ac:dyDescent="0.25">
      <c r="A1319" s="7" t="s">
        <v>1386</v>
      </c>
      <c r="B1319" s="10">
        <v>45828</v>
      </c>
      <c r="C1319" s="11" t="s">
        <v>67</v>
      </c>
      <c r="D1319" s="11" t="s">
        <v>18</v>
      </c>
      <c r="E1319" s="7" t="s">
        <v>43</v>
      </c>
      <c r="F1319" s="9">
        <v>39.6</v>
      </c>
      <c r="G1319" s="9">
        <v>87.9</v>
      </c>
      <c r="H1319" s="9">
        <v>31.8</v>
      </c>
      <c r="I1319" s="9">
        <v>12.5</v>
      </c>
      <c r="J1319" s="9">
        <v>0.66</v>
      </c>
      <c r="K1319" s="9">
        <v>40.200000000000003</v>
      </c>
      <c r="L1319" s="7">
        <v>17.399999999999999</v>
      </c>
      <c r="M1319" s="7">
        <v>56.3</v>
      </c>
      <c r="N1319" s="7">
        <v>2.7</v>
      </c>
      <c r="O1319" s="7">
        <v>189</v>
      </c>
      <c r="P1319" s="7" t="s">
        <v>33</v>
      </c>
      <c r="Q1319" s="7" t="str">
        <f t="shared" si="80"/>
        <v>Moderate</v>
      </c>
      <c r="R1319" s="7" t="str">
        <f t="shared" si="81"/>
        <v>Cool</v>
      </c>
      <c r="S1319" s="7" t="str">
        <f t="shared" si="82"/>
        <v>Normal Humidity</v>
      </c>
      <c r="T1319" s="7" t="str">
        <f t="shared" si="83"/>
        <v>Moderate Wind</v>
      </c>
    </row>
    <row r="1320" spans="1:20" x14ac:dyDescent="0.25">
      <c r="A1320" s="7" t="s">
        <v>1387</v>
      </c>
      <c r="B1320" s="10">
        <v>45899</v>
      </c>
      <c r="C1320" s="11" t="s">
        <v>22</v>
      </c>
      <c r="D1320" s="11" t="s">
        <v>23</v>
      </c>
      <c r="E1320" s="7" t="s">
        <v>19</v>
      </c>
      <c r="F1320" s="9">
        <v>10.1</v>
      </c>
      <c r="G1320" s="9">
        <v>22.8</v>
      </c>
      <c r="H1320" s="9">
        <v>47.5</v>
      </c>
      <c r="I1320" s="9">
        <v>2.7</v>
      </c>
      <c r="J1320" s="9">
        <v>1.58</v>
      </c>
      <c r="K1320" s="9">
        <v>37.6</v>
      </c>
      <c r="L1320" s="7">
        <v>25.4</v>
      </c>
      <c r="M1320" s="7">
        <v>70.900000000000006</v>
      </c>
      <c r="N1320" s="7">
        <v>1.7</v>
      </c>
      <c r="O1320" s="7">
        <v>127</v>
      </c>
      <c r="P1320" s="7" t="s">
        <v>33</v>
      </c>
      <c r="Q1320" s="7" t="str">
        <f t="shared" si="80"/>
        <v>Good</v>
      </c>
      <c r="R1320" s="7" t="str">
        <f t="shared" si="81"/>
        <v>Normal</v>
      </c>
      <c r="S1320" s="7" t="str">
        <f t="shared" si="82"/>
        <v>High Humidity</v>
      </c>
      <c r="T1320" s="7" t="str">
        <f t="shared" si="83"/>
        <v>Low Wind</v>
      </c>
    </row>
    <row r="1321" spans="1:20" x14ac:dyDescent="0.25">
      <c r="A1321" s="7" t="s">
        <v>1388</v>
      </c>
      <c r="B1321" s="10">
        <v>45778</v>
      </c>
      <c r="C1321" s="11" t="s">
        <v>54</v>
      </c>
      <c r="D1321" s="11" t="s">
        <v>18</v>
      </c>
      <c r="E1321" s="7" t="s">
        <v>45</v>
      </c>
      <c r="F1321" s="9">
        <v>29.5</v>
      </c>
      <c r="G1321" s="9">
        <v>44.5</v>
      </c>
      <c r="H1321" s="9">
        <v>25.6</v>
      </c>
      <c r="I1321" s="9">
        <v>7.1</v>
      </c>
      <c r="J1321" s="9">
        <v>0.67</v>
      </c>
      <c r="K1321" s="9">
        <v>56.5</v>
      </c>
      <c r="L1321" s="7">
        <v>33.799999999999997</v>
      </c>
      <c r="M1321" s="7">
        <v>57.7</v>
      </c>
      <c r="N1321" s="7">
        <v>0.9</v>
      </c>
      <c r="O1321" s="7">
        <v>144</v>
      </c>
      <c r="P1321" s="7" t="s">
        <v>33</v>
      </c>
      <c r="Q1321" s="7" t="str">
        <f t="shared" si="80"/>
        <v>Good</v>
      </c>
      <c r="R1321" s="7" t="str">
        <f t="shared" si="81"/>
        <v>Hot</v>
      </c>
      <c r="S1321" s="7" t="str">
        <f t="shared" si="82"/>
        <v>Normal Humidity</v>
      </c>
      <c r="T1321" s="7" t="str">
        <f t="shared" si="83"/>
        <v>Low Wind</v>
      </c>
    </row>
    <row r="1322" spans="1:20" x14ac:dyDescent="0.25">
      <c r="A1322" s="7" t="s">
        <v>1389</v>
      </c>
      <c r="B1322" s="10">
        <v>45722</v>
      </c>
      <c r="C1322" s="11" t="s">
        <v>52</v>
      </c>
      <c r="D1322" s="11" t="s">
        <v>31</v>
      </c>
      <c r="E1322" s="7" t="s">
        <v>19</v>
      </c>
      <c r="F1322" s="9">
        <v>76.099999999999994</v>
      </c>
      <c r="G1322" s="9">
        <v>87.1</v>
      </c>
      <c r="H1322" s="9">
        <v>42.7</v>
      </c>
      <c r="I1322" s="9">
        <v>13.2</v>
      </c>
      <c r="J1322" s="9">
        <v>0.26</v>
      </c>
      <c r="K1322" s="9">
        <v>46.9</v>
      </c>
      <c r="L1322" s="7">
        <v>37.799999999999997</v>
      </c>
      <c r="M1322" s="7">
        <v>56.6</v>
      </c>
      <c r="N1322" s="7">
        <v>2.7</v>
      </c>
      <c r="O1322" s="7">
        <v>249</v>
      </c>
      <c r="P1322" s="7" t="s">
        <v>28</v>
      </c>
      <c r="Q1322" s="7" t="str">
        <f t="shared" si="80"/>
        <v>Moderate</v>
      </c>
      <c r="R1322" s="7" t="str">
        <f t="shared" si="81"/>
        <v>Hot</v>
      </c>
      <c r="S1322" s="7" t="str">
        <f t="shared" si="82"/>
        <v>Normal Humidity</v>
      </c>
      <c r="T1322" s="7" t="str">
        <f t="shared" si="83"/>
        <v>Moderate Wind</v>
      </c>
    </row>
    <row r="1323" spans="1:20" x14ac:dyDescent="0.25">
      <c r="A1323" s="7" t="s">
        <v>1390</v>
      </c>
      <c r="B1323" s="10">
        <v>45742</v>
      </c>
      <c r="C1323" s="11" t="s">
        <v>81</v>
      </c>
      <c r="D1323" s="11" t="s">
        <v>39</v>
      </c>
      <c r="E1323" s="7" t="s">
        <v>97</v>
      </c>
      <c r="F1323" s="9">
        <v>95</v>
      </c>
      <c r="G1323" s="9">
        <v>94.3</v>
      </c>
      <c r="H1323" s="9">
        <v>11.2</v>
      </c>
      <c r="I1323" s="9">
        <v>5.2</v>
      </c>
      <c r="J1323" s="9">
        <v>0.12</v>
      </c>
      <c r="K1323" s="9">
        <v>30.1</v>
      </c>
      <c r="L1323" s="7">
        <v>32.799999999999997</v>
      </c>
      <c r="M1323" s="7">
        <v>63.1</v>
      </c>
      <c r="N1323" s="7">
        <v>1</v>
      </c>
      <c r="O1323" s="7">
        <v>242</v>
      </c>
      <c r="P1323" s="7" t="s">
        <v>28</v>
      </c>
      <c r="Q1323" s="7" t="str">
        <f t="shared" si="80"/>
        <v>Moderate</v>
      </c>
      <c r="R1323" s="7" t="str">
        <f t="shared" si="81"/>
        <v>Hot</v>
      </c>
      <c r="S1323" s="7" t="str">
        <f t="shared" si="82"/>
        <v>High Humidity</v>
      </c>
      <c r="T1323" s="7" t="str">
        <f t="shared" si="83"/>
        <v>Low Wind</v>
      </c>
    </row>
    <row r="1324" spans="1:20" x14ac:dyDescent="0.25">
      <c r="A1324" s="7" t="s">
        <v>1391</v>
      </c>
      <c r="B1324" s="10">
        <v>45714</v>
      </c>
      <c r="C1324" s="11" t="s">
        <v>38</v>
      </c>
      <c r="D1324" s="11" t="s">
        <v>39</v>
      </c>
      <c r="E1324" s="7" t="s">
        <v>74</v>
      </c>
      <c r="F1324" s="9">
        <v>39.5</v>
      </c>
      <c r="G1324" s="9">
        <v>100.7</v>
      </c>
      <c r="H1324" s="9">
        <v>34.299999999999997</v>
      </c>
      <c r="I1324" s="9">
        <v>43.9</v>
      </c>
      <c r="J1324" s="9">
        <v>0.51</v>
      </c>
      <c r="K1324" s="9">
        <v>8.1</v>
      </c>
      <c r="L1324" s="7">
        <v>29.9</v>
      </c>
      <c r="M1324" s="7">
        <v>59.9</v>
      </c>
      <c r="N1324" s="7">
        <v>2.1</v>
      </c>
      <c r="O1324" s="7">
        <v>203</v>
      </c>
      <c r="P1324" s="7" t="s">
        <v>28</v>
      </c>
      <c r="Q1324" s="7" t="str">
        <f t="shared" si="80"/>
        <v>Unhealthy</v>
      </c>
      <c r="R1324" s="7" t="str">
        <f t="shared" si="81"/>
        <v>Normal</v>
      </c>
      <c r="S1324" s="7" t="str">
        <f t="shared" si="82"/>
        <v>Normal Humidity</v>
      </c>
      <c r="T1324" s="7" t="str">
        <f t="shared" si="83"/>
        <v>Moderate Wind</v>
      </c>
    </row>
    <row r="1325" spans="1:20" x14ac:dyDescent="0.25">
      <c r="A1325" s="7" t="s">
        <v>1392</v>
      </c>
      <c r="B1325" s="10">
        <v>45971</v>
      </c>
      <c r="C1325" s="11" t="s">
        <v>30</v>
      </c>
      <c r="D1325" s="11" t="s">
        <v>31</v>
      </c>
      <c r="E1325" s="7" t="s">
        <v>24</v>
      </c>
      <c r="F1325" s="9">
        <v>19.100000000000001</v>
      </c>
      <c r="G1325" s="9">
        <v>72.3</v>
      </c>
      <c r="H1325" s="9">
        <v>17</v>
      </c>
      <c r="I1325" s="9">
        <v>2.8</v>
      </c>
      <c r="J1325" s="9">
        <v>1</v>
      </c>
      <c r="K1325" s="9">
        <v>54.1</v>
      </c>
      <c r="L1325" s="7">
        <v>23.6</v>
      </c>
      <c r="M1325" s="7">
        <v>83.4</v>
      </c>
      <c r="N1325" s="7">
        <v>3.2</v>
      </c>
      <c r="O1325" s="7">
        <v>142</v>
      </c>
      <c r="P1325" s="7" t="s">
        <v>33</v>
      </c>
      <c r="Q1325" s="7" t="str">
        <f t="shared" si="80"/>
        <v>Moderate</v>
      </c>
      <c r="R1325" s="7" t="str">
        <f t="shared" si="81"/>
        <v>Normal</v>
      </c>
      <c r="S1325" s="7" t="str">
        <f t="shared" si="82"/>
        <v>High Humidity</v>
      </c>
      <c r="T1325" s="7" t="str">
        <f t="shared" si="83"/>
        <v>Moderate Wind</v>
      </c>
    </row>
    <row r="1326" spans="1:20" x14ac:dyDescent="0.25">
      <c r="A1326" s="7" t="s">
        <v>1393</v>
      </c>
      <c r="B1326" s="10">
        <v>45845</v>
      </c>
      <c r="C1326" s="11" t="s">
        <v>30</v>
      </c>
      <c r="D1326" s="11" t="s">
        <v>31</v>
      </c>
      <c r="E1326" s="7" t="s">
        <v>40</v>
      </c>
      <c r="F1326" s="9">
        <v>83.4</v>
      </c>
      <c r="G1326" s="9">
        <v>91.2</v>
      </c>
      <c r="H1326" s="9">
        <v>45.5</v>
      </c>
      <c r="I1326" s="9">
        <v>11.5</v>
      </c>
      <c r="J1326" s="9">
        <v>1.37</v>
      </c>
      <c r="K1326" s="9">
        <v>44.2</v>
      </c>
      <c r="L1326" s="7">
        <v>23.3</v>
      </c>
      <c r="M1326" s="7">
        <v>64.599999999999994</v>
      </c>
      <c r="N1326" s="7">
        <v>3.2</v>
      </c>
      <c r="O1326" s="7">
        <v>291</v>
      </c>
      <c r="P1326" s="7" t="s">
        <v>28</v>
      </c>
      <c r="Q1326" s="7" t="str">
        <f t="shared" si="80"/>
        <v>Moderate</v>
      </c>
      <c r="R1326" s="7" t="str">
        <f t="shared" si="81"/>
        <v>Normal</v>
      </c>
      <c r="S1326" s="7" t="str">
        <f t="shared" si="82"/>
        <v>High Humidity</v>
      </c>
      <c r="T1326" s="7" t="str">
        <f t="shared" si="83"/>
        <v>Moderate Wind</v>
      </c>
    </row>
    <row r="1327" spans="1:20" x14ac:dyDescent="0.25">
      <c r="A1327" s="7" t="s">
        <v>1394</v>
      </c>
      <c r="B1327" s="10">
        <v>45677</v>
      </c>
      <c r="C1327" s="11" t="s">
        <v>81</v>
      </c>
      <c r="D1327" s="11" t="s">
        <v>39</v>
      </c>
      <c r="E1327" s="7" t="s">
        <v>32</v>
      </c>
      <c r="F1327" s="9">
        <v>54</v>
      </c>
      <c r="G1327" s="9">
        <v>39.9</v>
      </c>
      <c r="H1327" s="9">
        <v>50.5</v>
      </c>
      <c r="I1327" s="9">
        <v>20.8</v>
      </c>
      <c r="J1327" s="9">
        <v>0.28999999999999998</v>
      </c>
      <c r="K1327" s="9">
        <v>26</v>
      </c>
      <c r="L1327" s="7">
        <v>30.8</v>
      </c>
      <c r="M1327" s="7">
        <v>85.1</v>
      </c>
      <c r="N1327" s="7">
        <v>2.8</v>
      </c>
      <c r="O1327" s="7">
        <v>186</v>
      </c>
      <c r="P1327" s="7" t="s">
        <v>33</v>
      </c>
      <c r="Q1327" s="7" t="str">
        <f t="shared" si="80"/>
        <v>Good</v>
      </c>
      <c r="R1327" s="7" t="str">
        <f t="shared" si="81"/>
        <v>Hot</v>
      </c>
      <c r="S1327" s="7" t="str">
        <f t="shared" si="82"/>
        <v>High Humidity</v>
      </c>
      <c r="T1327" s="7" t="str">
        <f t="shared" si="83"/>
        <v>Moderate Wind</v>
      </c>
    </row>
    <row r="1328" spans="1:20" x14ac:dyDescent="0.25">
      <c r="A1328" s="7" t="s">
        <v>1395</v>
      </c>
      <c r="B1328" s="10">
        <v>45810</v>
      </c>
      <c r="C1328" s="11" t="s">
        <v>42</v>
      </c>
      <c r="D1328" s="11" t="s">
        <v>23</v>
      </c>
      <c r="E1328" s="7" t="s">
        <v>58</v>
      </c>
      <c r="F1328" s="9">
        <v>83.1</v>
      </c>
      <c r="G1328" s="9">
        <v>122.5</v>
      </c>
      <c r="H1328" s="9">
        <v>72.400000000000006</v>
      </c>
      <c r="I1328" s="9">
        <v>3.8</v>
      </c>
      <c r="J1328" s="9">
        <v>0.52</v>
      </c>
      <c r="K1328" s="9">
        <v>32.200000000000003</v>
      </c>
      <c r="L1328" s="7">
        <v>36</v>
      </c>
      <c r="M1328" s="7">
        <v>59.5</v>
      </c>
      <c r="N1328" s="7">
        <v>3.1</v>
      </c>
      <c r="O1328" s="7">
        <v>301</v>
      </c>
      <c r="P1328" s="7" t="s">
        <v>20</v>
      </c>
      <c r="Q1328" s="7" t="str">
        <f t="shared" si="80"/>
        <v>Unhealthy</v>
      </c>
      <c r="R1328" s="7" t="str">
        <f t="shared" si="81"/>
        <v>Hot</v>
      </c>
      <c r="S1328" s="7" t="str">
        <f t="shared" si="82"/>
        <v>Normal Humidity</v>
      </c>
      <c r="T1328" s="7" t="str">
        <f t="shared" si="83"/>
        <v>Moderate Wind</v>
      </c>
    </row>
    <row r="1329" spans="1:20" x14ac:dyDescent="0.25">
      <c r="A1329" s="7" t="s">
        <v>1396</v>
      </c>
      <c r="B1329" s="10">
        <v>45826</v>
      </c>
      <c r="C1329" s="11" t="s">
        <v>64</v>
      </c>
      <c r="D1329" s="11" t="s">
        <v>36</v>
      </c>
      <c r="E1329" s="7" t="s">
        <v>58</v>
      </c>
      <c r="F1329" s="9">
        <v>38.9</v>
      </c>
      <c r="G1329" s="9">
        <v>113</v>
      </c>
      <c r="H1329" s="9">
        <v>60.3</v>
      </c>
      <c r="I1329" s="9">
        <v>24</v>
      </c>
      <c r="J1329" s="9">
        <v>0.89</v>
      </c>
      <c r="K1329" s="9">
        <v>54.8</v>
      </c>
      <c r="L1329" s="7">
        <v>23.1</v>
      </c>
      <c r="M1329" s="7">
        <v>45.3</v>
      </c>
      <c r="N1329" s="7">
        <v>0.6</v>
      </c>
      <c r="O1329" s="7">
        <v>248</v>
      </c>
      <c r="P1329" s="7" t="s">
        <v>28</v>
      </c>
      <c r="Q1329" s="7" t="str">
        <f t="shared" si="80"/>
        <v>Unhealthy</v>
      </c>
      <c r="R1329" s="7" t="str">
        <f t="shared" si="81"/>
        <v>Normal</v>
      </c>
      <c r="S1329" s="7" t="str">
        <f t="shared" si="82"/>
        <v>Normal Humidity</v>
      </c>
      <c r="T1329" s="7" t="str">
        <f t="shared" si="83"/>
        <v>Low Wind</v>
      </c>
    </row>
    <row r="1330" spans="1:20" x14ac:dyDescent="0.25">
      <c r="A1330" s="7" t="s">
        <v>1397</v>
      </c>
      <c r="B1330" s="10">
        <v>45918</v>
      </c>
      <c r="C1330" s="11" t="s">
        <v>22</v>
      </c>
      <c r="D1330" s="11" t="s">
        <v>23</v>
      </c>
      <c r="E1330" s="7" t="s">
        <v>70</v>
      </c>
      <c r="F1330" s="9">
        <v>48.6</v>
      </c>
      <c r="G1330" s="9">
        <v>96.9</v>
      </c>
      <c r="H1330" s="9">
        <v>19.3</v>
      </c>
      <c r="I1330" s="9">
        <v>17.5</v>
      </c>
      <c r="J1330" s="9">
        <v>0.61</v>
      </c>
      <c r="K1330" s="9">
        <v>53.8</v>
      </c>
      <c r="L1330" s="7">
        <v>25.7</v>
      </c>
      <c r="M1330" s="7">
        <v>76.8</v>
      </c>
      <c r="N1330" s="7">
        <v>2.8</v>
      </c>
      <c r="O1330" s="7">
        <v>208</v>
      </c>
      <c r="P1330" s="7" t="s">
        <v>28</v>
      </c>
      <c r="Q1330" s="7" t="str">
        <f t="shared" si="80"/>
        <v>Moderate</v>
      </c>
      <c r="R1330" s="7" t="str">
        <f t="shared" si="81"/>
        <v>Normal</v>
      </c>
      <c r="S1330" s="7" t="str">
        <f t="shared" si="82"/>
        <v>High Humidity</v>
      </c>
      <c r="T1330" s="7" t="str">
        <f t="shared" si="83"/>
        <v>Moderate Wind</v>
      </c>
    </row>
    <row r="1331" spans="1:20" x14ac:dyDescent="0.25">
      <c r="A1331" s="7" t="s">
        <v>1398</v>
      </c>
      <c r="B1331" s="10">
        <v>45893</v>
      </c>
      <c r="C1331" s="11" t="s">
        <v>67</v>
      </c>
      <c r="D1331" s="11" t="s">
        <v>18</v>
      </c>
      <c r="E1331" s="7" t="s">
        <v>61</v>
      </c>
      <c r="F1331" s="9">
        <v>36.6</v>
      </c>
      <c r="G1331" s="9">
        <v>50.3</v>
      </c>
      <c r="H1331" s="9">
        <v>3.4</v>
      </c>
      <c r="I1331" s="9">
        <v>17.2</v>
      </c>
      <c r="J1331" s="9">
        <v>0.8</v>
      </c>
      <c r="K1331" s="9">
        <v>53</v>
      </c>
      <c r="L1331" s="7">
        <v>31.6</v>
      </c>
      <c r="M1331" s="7">
        <v>56.4</v>
      </c>
      <c r="N1331" s="7">
        <v>2.4</v>
      </c>
      <c r="O1331" s="7">
        <v>150</v>
      </c>
      <c r="P1331" s="7" t="s">
        <v>33</v>
      </c>
      <c r="Q1331" s="7" t="str">
        <f t="shared" si="80"/>
        <v>Moderate</v>
      </c>
      <c r="R1331" s="7" t="str">
        <f t="shared" si="81"/>
        <v>Hot</v>
      </c>
      <c r="S1331" s="7" t="str">
        <f t="shared" si="82"/>
        <v>Normal Humidity</v>
      </c>
      <c r="T1331" s="7" t="str">
        <f t="shared" si="83"/>
        <v>Moderate Wind</v>
      </c>
    </row>
    <row r="1332" spans="1:20" x14ac:dyDescent="0.25">
      <c r="A1332" s="7" t="s">
        <v>1399</v>
      </c>
      <c r="B1332" s="10">
        <v>45921</v>
      </c>
      <c r="C1332" s="11" t="s">
        <v>17</v>
      </c>
      <c r="D1332" s="11" t="s">
        <v>18</v>
      </c>
      <c r="E1332" s="7" t="s">
        <v>27</v>
      </c>
      <c r="F1332" s="9">
        <v>65</v>
      </c>
      <c r="G1332" s="9">
        <v>90.1</v>
      </c>
      <c r="H1332" s="9">
        <v>32.9</v>
      </c>
      <c r="I1332" s="9">
        <v>23.2</v>
      </c>
      <c r="J1332" s="9">
        <v>1.6</v>
      </c>
      <c r="K1332" s="9">
        <v>31.1</v>
      </c>
      <c r="L1332" s="7">
        <v>25.1</v>
      </c>
      <c r="M1332" s="7">
        <v>45</v>
      </c>
      <c r="N1332" s="7">
        <v>2.6</v>
      </c>
      <c r="O1332" s="7">
        <v>259</v>
      </c>
      <c r="P1332" s="7" t="s">
        <v>28</v>
      </c>
      <c r="Q1332" s="7" t="str">
        <f t="shared" si="80"/>
        <v>Moderate</v>
      </c>
      <c r="R1332" s="7" t="str">
        <f t="shared" si="81"/>
        <v>Normal</v>
      </c>
      <c r="S1332" s="7" t="str">
        <f t="shared" si="82"/>
        <v>Normal Humidity</v>
      </c>
      <c r="T1332" s="7" t="str">
        <f t="shared" si="83"/>
        <v>Moderate Wind</v>
      </c>
    </row>
    <row r="1333" spans="1:20" x14ac:dyDescent="0.25">
      <c r="A1333" s="7" t="s">
        <v>1400</v>
      </c>
      <c r="B1333" s="10">
        <v>45727</v>
      </c>
      <c r="C1333" s="11" t="s">
        <v>26</v>
      </c>
      <c r="D1333" s="11" t="s">
        <v>23</v>
      </c>
      <c r="E1333" s="7" t="s">
        <v>45</v>
      </c>
      <c r="F1333" s="9">
        <v>91.8</v>
      </c>
      <c r="G1333" s="9">
        <v>89.6</v>
      </c>
      <c r="H1333" s="9">
        <v>29.8</v>
      </c>
      <c r="I1333" s="9">
        <v>13.9</v>
      </c>
      <c r="J1333" s="9">
        <v>0.76</v>
      </c>
      <c r="K1333" s="9">
        <v>9.8000000000000007</v>
      </c>
      <c r="L1333" s="7">
        <v>36.4</v>
      </c>
      <c r="M1333" s="7">
        <v>98</v>
      </c>
      <c r="N1333" s="7">
        <v>1.6</v>
      </c>
      <c r="O1333" s="7">
        <v>262</v>
      </c>
      <c r="P1333" s="7" t="s">
        <v>28</v>
      </c>
      <c r="Q1333" s="7" t="str">
        <f t="shared" si="80"/>
        <v>Moderate</v>
      </c>
      <c r="R1333" s="7" t="str">
        <f t="shared" si="81"/>
        <v>Hot</v>
      </c>
      <c r="S1333" s="7" t="str">
        <f t="shared" si="82"/>
        <v>High Humidity</v>
      </c>
      <c r="T1333" s="7" t="str">
        <f t="shared" si="83"/>
        <v>Low Wind</v>
      </c>
    </row>
    <row r="1334" spans="1:20" x14ac:dyDescent="0.25">
      <c r="A1334" s="7" t="s">
        <v>1401</v>
      </c>
      <c r="B1334" s="10">
        <v>45664</v>
      </c>
      <c r="C1334" s="11" t="s">
        <v>77</v>
      </c>
      <c r="D1334" s="11" t="s">
        <v>39</v>
      </c>
      <c r="E1334" s="7" t="s">
        <v>58</v>
      </c>
      <c r="F1334" s="9">
        <v>19.899999999999999</v>
      </c>
      <c r="G1334" s="9">
        <v>39.799999999999997</v>
      </c>
      <c r="H1334" s="9">
        <v>64.8</v>
      </c>
      <c r="I1334" s="9">
        <v>14.7</v>
      </c>
      <c r="J1334" s="9">
        <v>0.25</v>
      </c>
      <c r="K1334" s="9">
        <v>35.799999999999997</v>
      </c>
      <c r="L1334" s="7">
        <v>33.1</v>
      </c>
      <c r="M1334" s="7">
        <v>70.099999999999994</v>
      </c>
      <c r="N1334" s="7">
        <v>2.2999999999999998</v>
      </c>
      <c r="O1334" s="7">
        <v>142</v>
      </c>
      <c r="P1334" s="7" t="s">
        <v>33</v>
      </c>
      <c r="Q1334" s="7" t="str">
        <f t="shared" si="80"/>
        <v>Good</v>
      </c>
      <c r="R1334" s="7" t="str">
        <f t="shared" si="81"/>
        <v>Hot</v>
      </c>
      <c r="S1334" s="7" t="str">
        <f t="shared" si="82"/>
        <v>High Humidity</v>
      </c>
      <c r="T1334" s="7" t="str">
        <f t="shared" si="83"/>
        <v>Moderate Wind</v>
      </c>
    </row>
    <row r="1335" spans="1:20" x14ac:dyDescent="0.25">
      <c r="A1335" s="7" t="s">
        <v>1402</v>
      </c>
      <c r="B1335" s="10">
        <v>45824</v>
      </c>
      <c r="C1335" s="11" t="s">
        <v>64</v>
      </c>
      <c r="D1335" s="11" t="s">
        <v>36</v>
      </c>
      <c r="E1335" s="7" t="s">
        <v>19</v>
      </c>
      <c r="F1335" s="9">
        <v>14</v>
      </c>
      <c r="G1335" s="9">
        <v>126.1</v>
      </c>
      <c r="H1335" s="9">
        <v>21.4</v>
      </c>
      <c r="I1335" s="9">
        <v>14.3</v>
      </c>
      <c r="J1335" s="9">
        <v>1.35</v>
      </c>
      <c r="K1335" s="9">
        <v>61.2</v>
      </c>
      <c r="L1335" s="7">
        <v>18.899999999999999</v>
      </c>
      <c r="M1335" s="7">
        <v>53.7</v>
      </c>
      <c r="N1335" s="7">
        <v>1.3</v>
      </c>
      <c r="O1335" s="7">
        <v>193</v>
      </c>
      <c r="P1335" s="7" t="s">
        <v>33</v>
      </c>
      <c r="Q1335" s="7" t="str">
        <f t="shared" si="80"/>
        <v>Unhealthy</v>
      </c>
      <c r="R1335" s="7" t="str">
        <f t="shared" si="81"/>
        <v>Cool</v>
      </c>
      <c r="S1335" s="7" t="str">
        <f t="shared" si="82"/>
        <v>Normal Humidity</v>
      </c>
      <c r="T1335" s="7" t="str">
        <f t="shared" si="83"/>
        <v>Low Wind</v>
      </c>
    </row>
    <row r="1336" spans="1:20" x14ac:dyDescent="0.25">
      <c r="A1336" s="7" t="s">
        <v>1403</v>
      </c>
      <c r="B1336" s="10">
        <v>45776</v>
      </c>
      <c r="C1336" s="11" t="s">
        <v>81</v>
      </c>
      <c r="D1336" s="11" t="s">
        <v>39</v>
      </c>
      <c r="E1336" s="7" t="s">
        <v>40</v>
      </c>
      <c r="F1336" s="9">
        <v>79.3</v>
      </c>
      <c r="G1336" s="9">
        <v>133.69999999999999</v>
      </c>
      <c r="H1336" s="9">
        <v>25.7</v>
      </c>
      <c r="I1336" s="9">
        <v>6</v>
      </c>
      <c r="J1336" s="9">
        <v>0.31</v>
      </c>
      <c r="K1336" s="9">
        <v>22.9</v>
      </c>
      <c r="L1336" s="7">
        <v>29.8</v>
      </c>
      <c r="M1336" s="7">
        <v>67.5</v>
      </c>
      <c r="N1336" s="7">
        <v>1.3</v>
      </c>
      <c r="O1336" s="7">
        <v>257</v>
      </c>
      <c r="P1336" s="7" t="s">
        <v>28</v>
      </c>
      <c r="Q1336" s="7" t="str">
        <f t="shared" si="80"/>
        <v>Unhealthy</v>
      </c>
      <c r="R1336" s="7" t="str">
        <f t="shared" si="81"/>
        <v>Normal</v>
      </c>
      <c r="S1336" s="7" t="str">
        <f t="shared" si="82"/>
        <v>High Humidity</v>
      </c>
      <c r="T1336" s="7" t="str">
        <f t="shared" si="83"/>
        <v>Low Wind</v>
      </c>
    </row>
    <row r="1337" spans="1:20" x14ac:dyDescent="0.25">
      <c r="A1337" s="7" t="s">
        <v>1404</v>
      </c>
      <c r="B1337" s="10">
        <v>45782</v>
      </c>
      <c r="C1337" s="11" t="s">
        <v>54</v>
      </c>
      <c r="D1337" s="11" t="s">
        <v>18</v>
      </c>
      <c r="E1337" s="7" t="s">
        <v>68</v>
      </c>
      <c r="F1337" s="9">
        <v>59.4</v>
      </c>
      <c r="G1337" s="9">
        <v>123.8</v>
      </c>
      <c r="H1337" s="9">
        <v>24.7</v>
      </c>
      <c r="I1337" s="9">
        <v>11</v>
      </c>
      <c r="J1337" s="9">
        <v>0.51</v>
      </c>
      <c r="K1337" s="9">
        <v>38.200000000000003</v>
      </c>
      <c r="L1337" s="7">
        <v>34.6</v>
      </c>
      <c r="M1337" s="7">
        <v>83.1</v>
      </c>
      <c r="N1337" s="7">
        <v>0.8</v>
      </c>
      <c r="O1337" s="7">
        <v>233</v>
      </c>
      <c r="P1337" s="7" t="s">
        <v>28</v>
      </c>
      <c r="Q1337" s="7" t="str">
        <f t="shared" si="80"/>
        <v>Unhealthy</v>
      </c>
      <c r="R1337" s="7" t="str">
        <f t="shared" si="81"/>
        <v>Hot</v>
      </c>
      <c r="S1337" s="7" t="str">
        <f t="shared" si="82"/>
        <v>High Humidity</v>
      </c>
      <c r="T1337" s="7" t="str">
        <f t="shared" si="83"/>
        <v>Low Wind</v>
      </c>
    </row>
    <row r="1338" spans="1:20" x14ac:dyDescent="0.25">
      <c r="A1338" s="7" t="s">
        <v>1405</v>
      </c>
      <c r="B1338" s="10">
        <v>45987</v>
      </c>
      <c r="C1338" s="11" t="s">
        <v>77</v>
      </c>
      <c r="D1338" s="11" t="s">
        <v>39</v>
      </c>
      <c r="E1338" s="7" t="s">
        <v>24</v>
      </c>
      <c r="F1338" s="9">
        <v>37.299999999999997</v>
      </c>
      <c r="G1338" s="9">
        <v>104.1</v>
      </c>
      <c r="H1338" s="9">
        <v>44.4</v>
      </c>
      <c r="I1338" s="9">
        <v>3.7</v>
      </c>
      <c r="J1338" s="9">
        <v>1.24</v>
      </c>
      <c r="K1338" s="9">
        <v>43.6</v>
      </c>
      <c r="L1338" s="7">
        <v>34.200000000000003</v>
      </c>
      <c r="M1338" s="7">
        <v>70.900000000000006</v>
      </c>
      <c r="N1338" s="7">
        <v>1.6</v>
      </c>
      <c r="O1338" s="7">
        <v>216</v>
      </c>
      <c r="P1338" s="7" t="s">
        <v>28</v>
      </c>
      <c r="Q1338" s="7" t="str">
        <f t="shared" si="80"/>
        <v>Unhealthy</v>
      </c>
      <c r="R1338" s="7" t="str">
        <f t="shared" si="81"/>
        <v>Hot</v>
      </c>
      <c r="S1338" s="7" t="str">
        <f t="shared" si="82"/>
        <v>High Humidity</v>
      </c>
      <c r="T1338" s="7" t="str">
        <f t="shared" si="83"/>
        <v>Low Wind</v>
      </c>
    </row>
    <row r="1339" spans="1:20" x14ac:dyDescent="0.25">
      <c r="A1339" s="7" t="s">
        <v>1406</v>
      </c>
      <c r="B1339" s="10">
        <v>45972</v>
      </c>
      <c r="C1339" s="11" t="s">
        <v>67</v>
      </c>
      <c r="D1339" s="11" t="s">
        <v>18</v>
      </c>
      <c r="E1339" s="7" t="s">
        <v>24</v>
      </c>
      <c r="F1339" s="9">
        <v>46.6</v>
      </c>
      <c r="G1339" s="9">
        <v>156.30000000000001</v>
      </c>
      <c r="H1339" s="9">
        <v>33.299999999999997</v>
      </c>
      <c r="I1339" s="9">
        <v>3.1</v>
      </c>
      <c r="J1339" s="9">
        <v>1.76</v>
      </c>
      <c r="K1339" s="9">
        <v>18.2</v>
      </c>
      <c r="L1339" s="7">
        <v>32</v>
      </c>
      <c r="M1339" s="7">
        <v>73</v>
      </c>
      <c r="N1339" s="7">
        <v>1.1000000000000001</v>
      </c>
      <c r="O1339" s="7">
        <v>257</v>
      </c>
      <c r="P1339" s="7" t="s">
        <v>28</v>
      </c>
      <c r="Q1339" s="7" t="str">
        <f t="shared" si="80"/>
        <v>VeryUnhealthy</v>
      </c>
      <c r="R1339" s="7" t="str">
        <f t="shared" si="81"/>
        <v>Hot</v>
      </c>
      <c r="S1339" s="7" t="str">
        <f t="shared" si="82"/>
        <v>High Humidity</v>
      </c>
      <c r="T1339" s="7" t="str">
        <f t="shared" si="83"/>
        <v>Low Wind</v>
      </c>
    </row>
    <row r="1340" spans="1:20" x14ac:dyDescent="0.25">
      <c r="A1340" s="7" t="s">
        <v>1407</v>
      </c>
      <c r="B1340" s="10">
        <v>45942</v>
      </c>
      <c r="C1340" s="11" t="s">
        <v>35</v>
      </c>
      <c r="D1340" s="11" t="s">
        <v>36</v>
      </c>
      <c r="E1340" s="7" t="s">
        <v>58</v>
      </c>
      <c r="F1340" s="9">
        <v>27.3</v>
      </c>
      <c r="G1340" s="9">
        <v>144</v>
      </c>
      <c r="H1340" s="9">
        <v>24.9</v>
      </c>
      <c r="I1340" s="9">
        <v>11.9</v>
      </c>
      <c r="J1340" s="9">
        <v>1.77</v>
      </c>
      <c r="K1340" s="9">
        <v>48.2</v>
      </c>
      <c r="L1340" s="7">
        <v>19.899999999999999</v>
      </c>
      <c r="M1340" s="7">
        <v>61.9</v>
      </c>
      <c r="N1340" s="7">
        <v>0.9</v>
      </c>
      <c r="O1340" s="7">
        <v>231</v>
      </c>
      <c r="P1340" s="7" t="s">
        <v>28</v>
      </c>
      <c r="Q1340" s="7" t="str">
        <f t="shared" si="80"/>
        <v>Unhealthy</v>
      </c>
      <c r="R1340" s="7" t="str">
        <f t="shared" si="81"/>
        <v>Cool</v>
      </c>
      <c r="S1340" s="7" t="str">
        <f t="shared" si="82"/>
        <v>High Humidity</v>
      </c>
      <c r="T1340" s="7" t="str">
        <f t="shared" si="83"/>
        <v>Low Wind</v>
      </c>
    </row>
    <row r="1341" spans="1:20" x14ac:dyDescent="0.25">
      <c r="A1341" s="7" t="s">
        <v>1408</v>
      </c>
      <c r="B1341" s="10">
        <v>45676</v>
      </c>
      <c r="C1341" s="11" t="s">
        <v>64</v>
      </c>
      <c r="D1341" s="11" t="s">
        <v>36</v>
      </c>
      <c r="E1341" s="7" t="s">
        <v>58</v>
      </c>
      <c r="F1341" s="9">
        <v>17.3</v>
      </c>
      <c r="G1341" s="9">
        <v>76.3</v>
      </c>
      <c r="H1341" s="9">
        <v>38.200000000000003</v>
      </c>
      <c r="I1341" s="9">
        <v>8</v>
      </c>
      <c r="J1341" s="9">
        <v>0.39</v>
      </c>
      <c r="K1341" s="9">
        <v>41.8</v>
      </c>
      <c r="L1341" s="7">
        <v>14.8</v>
      </c>
      <c r="M1341" s="7">
        <v>94.6</v>
      </c>
      <c r="N1341" s="7">
        <v>3</v>
      </c>
      <c r="O1341" s="7">
        <v>142</v>
      </c>
      <c r="P1341" s="7" t="s">
        <v>33</v>
      </c>
      <c r="Q1341" s="7" t="str">
        <f t="shared" si="80"/>
        <v>Moderate</v>
      </c>
      <c r="R1341" s="7" t="str">
        <f t="shared" si="81"/>
        <v>Cool</v>
      </c>
      <c r="S1341" s="7" t="str">
        <f t="shared" si="82"/>
        <v>High Humidity</v>
      </c>
      <c r="T1341" s="7" t="str">
        <f t="shared" si="83"/>
        <v>Moderate Wind</v>
      </c>
    </row>
    <row r="1342" spans="1:20" x14ac:dyDescent="0.25">
      <c r="A1342" s="7" t="s">
        <v>1409</v>
      </c>
      <c r="B1342" s="10">
        <v>45733</v>
      </c>
      <c r="C1342" s="11" t="s">
        <v>17</v>
      </c>
      <c r="D1342" s="11" t="s">
        <v>18</v>
      </c>
      <c r="E1342" s="7" t="s">
        <v>70</v>
      </c>
      <c r="F1342" s="9">
        <v>82.8</v>
      </c>
      <c r="G1342" s="9">
        <v>79.400000000000006</v>
      </c>
      <c r="H1342" s="9">
        <v>54.3</v>
      </c>
      <c r="I1342" s="9">
        <v>3.7</v>
      </c>
      <c r="J1342" s="9">
        <v>1.07</v>
      </c>
      <c r="K1342" s="9">
        <v>19.2</v>
      </c>
      <c r="L1342" s="7">
        <v>33.200000000000003</v>
      </c>
      <c r="M1342" s="7">
        <v>55.8</v>
      </c>
      <c r="N1342" s="7">
        <v>2.7</v>
      </c>
      <c r="O1342" s="7">
        <v>266</v>
      </c>
      <c r="P1342" s="7" t="s">
        <v>28</v>
      </c>
      <c r="Q1342" s="7" t="str">
        <f t="shared" si="80"/>
        <v>Moderate</v>
      </c>
      <c r="R1342" s="7" t="str">
        <f t="shared" si="81"/>
        <v>Hot</v>
      </c>
      <c r="S1342" s="7" t="str">
        <f t="shared" si="82"/>
        <v>Normal Humidity</v>
      </c>
      <c r="T1342" s="7" t="str">
        <f t="shared" si="83"/>
        <v>Moderate Wind</v>
      </c>
    </row>
    <row r="1343" spans="1:20" x14ac:dyDescent="0.25">
      <c r="A1343" s="7" t="s">
        <v>1410</v>
      </c>
      <c r="B1343" s="10">
        <v>45680</v>
      </c>
      <c r="C1343" s="11" t="s">
        <v>67</v>
      </c>
      <c r="D1343" s="11" t="s">
        <v>18</v>
      </c>
      <c r="E1343" s="7" t="s">
        <v>68</v>
      </c>
      <c r="F1343" s="9">
        <v>50.8</v>
      </c>
      <c r="G1343" s="9">
        <v>46.4</v>
      </c>
      <c r="H1343" s="9">
        <v>13.7</v>
      </c>
      <c r="I1343" s="9">
        <v>29.1</v>
      </c>
      <c r="J1343" s="9">
        <v>1.73</v>
      </c>
      <c r="K1343" s="9">
        <v>8.6</v>
      </c>
      <c r="L1343" s="7">
        <v>38.6</v>
      </c>
      <c r="M1343" s="7">
        <v>64.7</v>
      </c>
      <c r="N1343" s="7">
        <v>1.2</v>
      </c>
      <c r="O1343" s="7">
        <v>190</v>
      </c>
      <c r="P1343" s="7" t="s">
        <v>33</v>
      </c>
      <c r="Q1343" s="7" t="str">
        <f t="shared" si="80"/>
        <v>Good</v>
      </c>
      <c r="R1343" s="7" t="str">
        <f t="shared" si="81"/>
        <v>Hot</v>
      </c>
      <c r="S1343" s="7" t="str">
        <f t="shared" si="82"/>
        <v>High Humidity</v>
      </c>
      <c r="T1343" s="7" t="str">
        <f t="shared" si="83"/>
        <v>Low Wind</v>
      </c>
    </row>
    <row r="1344" spans="1:20" x14ac:dyDescent="0.25">
      <c r="A1344" s="7" t="s">
        <v>1411</v>
      </c>
      <c r="B1344" s="10">
        <v>45757</v>
      </c>
      <c r="C1344" s="11" t="s">
        <v>30</v>
      </c>
      <c r="D1344" s="11" t="s">
        <v>31</v>
      </c>
      <c r="E1344" s="7" t="s">
        <v>24</v>
      </c>
      <c r="F1344" s="9">
        <v>92.7</v>
      </c>
      <c r="G1344" s="9">
        <v>77.3</v>
      </c>
      <c r="H1344" s="9">
        <v>6.8</v>
      </c>
      <c r="I1344" s="9">
        <v>7</v>
      </c>
      <c r="J1344" s="9">
        <v>0.65</v>
      </c>
      <c r="K1344" s="9">
        <v>21.8</v>
      </c>
      <c r="L1344" s="7">
        <v>30.2</v>
      </c>
      <c r="M1344" s="7">
        <v>78.099999999999994</v>
      </c>
      <c r="N1344" s="7">
        <v>2.5</v>
      </c>
      <c r="O1344" s="7">
        <v>235</v>
      </c>
      <c r="P1344" s="7" t="s">
        <v>28</v>
      </c>
      <c r="Q1344" s="7" t="str">
        <f t="shared" si="80"/>
        <v>Moderate</v>
      </c>
      <c r="R1344" s="7" t="str">
        <f t="shared" si="81"/>
        <v>Hot</v>
      </c>
      <c r="S1344" s="7" t="str">
        <f t="shared" si="82"/>
        <v>High Humidity</v>
      </c>
      <c r="T1344" s="7" t="str">
        <f t="shared" si="83"/>
        <v>Moderate Wind</v>
      </c>
    </row>
    <row r="1345" spans="1:20" x14ac:dyDescent="0.25">
      <c r="A1345" s="7" t="s">
        <v>1412</v>
      </c>
      <c r="B1345" s="10">
        <v>45829</v>
      </c>
      <c r="C1345" s="11" t="s">
        <v>17</v>
      </c>
      <c r="D1345" s="11" t="s">
        <v>18</v>
      </c>
      <c r="E1345" s="7" t="s">
        <v>55</v>
      </c>
      <c r="F1345" s="9">
        <v>15</v>
      </c>
      <c r="G1345" s="9">
        <v>55.3</v>
      </c>
      <c r="H1345" s="9">
        <v>24.2</v>
      </c>
      <c r="I1345" s="9">
        <v>11.5</v>
      </c>
      <c r="J1345" s="9">
        <v>1.1599999999999999</v>
      </c>
      <c r="K1345" s="9">
        <v>25.4</v>
      </c>
      <c r="L1345" s="7">
        <v>22.4</v>
      </c>
      <c r="M1345" s="7">
        <v>80.599999999999994</v>
      </c>
      <c r="N1345" s="7">
        <v>1.5</v>
      </c>
      <c r="O1345" s="7">
        <v>128</v>
      </c>
      <c r="P1345" s="7" t="s">
        <v>33</v>
      </c>
      <c r="Q1345" s="7" t="str">
        <f t="shared" si="80"/>
        <v>Moderate</v>
      </c>
      <c r="R1345" s="7" t="str">
        <f t="shared" si="81"/>
        <v>Normal</v>
      </c>
      <c r="S1345" s="7" t="str">
        <f t="shared" si="82"/>
        <v>High Humidity</v>
      </c>
      <c r="T1345" s="7" t="str">
        <f t="shared" si="83"/>
        <v>Low Wind</v>
      </c>
    </row>
    <row r="1346" spans="1:20" x14ac:dyDescent="0.25">
      <c r="A1346" s="7" t="s">
        <v>1413</v>
      </c>
      <c r="B1346" s="10">
        <v>45765</v>
      </c>
      <c r="C1346" s="11" t="s">
        <v>99</v>
      </c>
      <c r="D1346" s="11" t="s">
        <v>36</v>
      </c>
      <c r="E1346" s="7" t="s">
        <v>24</v>
      </c>
      <c r="F1346" s="9">
        <v>95.6</v>
      </c>
      <c r="G1346" s="9">
        <v>97.4</v>
      </c>
      <c r="H1346" s="9">
        <v>16.8</v>
      </c>
      <c r="I1346" s="9">
        <v>13.9</v>
      </c>
      <c r="J1346" s="9">
        <v>0.91</v>
      </c>
      <c r="K1346" s="9">
        <v>110.8</v>
      </c>
      <c r="L1346" s="7">
        <v>27.6</v>
      </c>
      <c r="M1346" s="7">
        <v>51.7</v>
      </c>
      <c r="N1346" s="7">
        <v>2.1</v>
      </c>
      <c r="O1346" s="7">
        <v>312</v>
      </c>
      <c r="P1346" s="7" t="s">
        <v>20</v>
      </c>
      <c r="Q1346" s="7" t="str">
        <f t="shared" si="80"/>
        <v>Moderate</v>
      </c>
      <c r="R1346" s="7" t="str">
        <f t="shared" si="81"/>
        <v>Normal</v>
      </c>
      <c r="S1346" s="7" t="str">
        <f t="shared" si="82"/>
        <v>Normal Humidity</v>
      </c>
      <c r="T1346" s="7" t="str">
        <f t="shared" si="83"/>
        <v>Moderate Wind</v>
      </c>
    </row>
    <row r="1347" spans="1:20" x14ac:dyDescent="0.25">
      <c r="A1347" s="7" t="s">
        <v>1414</v>
      </c>
      <c r="B1347" s="10">
        <v>45916</v>
      </c>
      <c r="C1347" s="11" t="s">
        <v>50</v>
      </c>
      <c r="D1347" s="11" t="s">
        <v>31</v>
      </c>
      <c r="E1347" s="7" t="s">
        <v>24</v>
      </c>
      <c r="F1347" s="9">
        <v>40.6</v>
      </c>
      <c r="G1347" s="9">
        <v>42.6</v>
      </c>
      <c r="H1347" s="9">
        <v>5.2</v>
      </c>
      <c r="I1347" s="9">
        <v>6.5</v>
      </c>
      <c r="J1347" s="9">
        <v>0.88</v>
      </c>
      <c r="K1347" s="9">
        <v>31.5</v>
      </c>
      <c r="L1347" s="7">
        <v>19.8</v>
      </c>
      <c r="M1347" s="7">
        <v>80.400000000000006</v>
      </c>
      <c r="N1347" s="7">
        <v>2.5</v>
      </c>
      <c r="O1347" s="7">
        <v>138</v>
      </c>
      <c r="P1347" s="7" t="s">
        <v>33</v>
      </c>
      <c r="Q1347" s="7" t="str">
        <f t="shared" ref="Q1347:Q1410" si="84">IF(G1347&lt;50,"Good",IF(G1347&lt;=100,"Moderate",IF(G1347&lt;=150,"Unhealthy","VeryUnhealthy")))</f>
        <v>Good</v>
      </c>
      <c r="R1347" s="7" t="str">
        <f t="shared" ref="R1347:R1410" si="85">IF(L1347&lt;20,"Cool",IF(L1347&lt;=30,"Normal","Hot"))</f>
        <v>Cool</v>
      </c>
      <c r="S1347" s="7" t="str">
        <f t="shared" ref="S1347:S1410" si="86">IF(M1347&lt;30,"Low Humidity",IF(M1347&lt;=60,"Normal Humidity","High Humidity"))</f>
        <v>High Humidity</v>
      </c>
      <c r="T1347" s="7" t="str">
        <f t="shared" ref="T1347:T1410" si="87">IF(N1347&lt;2,"Low Wind",IF(N1347&lt;=5,"Moderate Wind","High Wind"))</f>
        <v>Moderate Wind</v>
      </c>
    </row>
    <row r="1348" spans="1:20" x14ac:dyDescent="0.25">
      <c r="A1348" s="7" t="s">
        <v>1415</v>
      </c>
      <c r="B1348" s="10">
        <v>45690</v>
      </c>
      <c r="C1348" s="11" t="s">
        <v>22</v>
      </c>
      <c r="D1348" s="11" t="s">
        <v>23</v>
      </c>
      <c r="E1348" s="7" t="s">
        <v>74</v>
      </c>
      <c r="F1348" s="9">
        <v>33.200000000000003</v>
      </c>
      <c r="G1348" s="9">
        <v>114.6</v>
      </c>
      <c r="H1348" s="9">
        <v>36.200000000000003</v>
      </c>
      <c r="I1348" s="9">
        <v>7.2</v>
      </c>
      <c r="J1348" s="9">
        <v>1.06</v>
      </c>
      <c r="K1348" s="9">
        <v>12.6</v>
      </c>
      <c r="L1348" s="7">
        <v>20.399999999999999</v>
      </c>
      <c r="M1348" s="7">
        <v>87.8</v>
      </c>
      <c r="N1348" s="7">
        <v>2.4</v>
      </c>
      <c r="O1348" s="7">
        <v>194</v>
      </c>
      <c r="P1348" s="7" t="s">
        <v>33</v>
      </c>
      <c r="Q1348" s="7" t="str">
        <f t="shared" si="84"/>
        <v>Unhealthy</v>
      </c>
      <c r="R1348" s="7" t="str">
        <f t="shared" si="85"/>
        <v>Normal</v>
      </c>
      <c r="S1348" s="7" t="str">
        <f t="shared" si="86"/>
        <v>High Humidity</v>
      </c>
      <c r="T1348" s="7" t="str">
        <f t="shared" si="87"/>
        <v>Moderate Wind</v>
      </c>
    </row>
    <row r="1349" spans="1:20" x14ac:dyDescent="0.25">
      <c r="A1349" s="7" t="s">
        <v>1416</v>
      </c>
      <c r="B1349" s="10">
        <v>45976</v>
      </c>
      <c r="C1349" s="11" t="s">
        <v>77</v>
      </c>
      <c r="D1349" s="11" t="s">
        <v>39</v>
      </c>
      <c r="E1349" s="7" t="s">
        <v>55</v>
      </c>
      <c r="F1349" s="9">
        <v>34.6</v>
      </c>
      <c r="G1349" s="9">
        <v>138.5</v>
      </c>
      <c r="H1349" s="9">
        <v>45</v>
      </c>
      <c r="I1349" s="9">
        <v>11.2</v>
      </c>
      <c r="J1349" s="9">
        <v>0.42</v>
      </c>
      <c r="K1349" s="9">
        <v>12.3</v>
      </c>
      <c r="L1349" s="7">
        <v>34.700000000000003</v>
      </c>
      <c r="M1349" s="7">
        <v>43.7</v>
      </c>
      <c r="N1349" s="7">
        <v>1.4</v>
      </c>
      <c r="O1349" s="7">
        <v>205</v>
      </c>
      <c r="P1349" s="7" t="s">
        <v>28</v>
      </c>
      <c r="Q1349" s="7" t="str">
        <f t="shared" si="84"/>
        <v>Unhealthy</v>
      </c>
      <c r="R1349" s="7" t="str">
        <f t="shared" si="85"/>
        <v>Hot</v>
      </c>
      <c r="S1349" s="7" t="str">
        <f t="shared" si="86"/>
        <v>Normal Humidity</v>
      </c>
      <c r="T1349" s="7" t="str">
        <f t="shared" si="87"/>
        <v>Low Wind</v>
      </c>
    </row>
    <row r="1350" spans="1:20" x14ac:dyDescent="0.25">
      <c r="A1350" s="7" t="s">
        <v>1417</v>
      </c>
      <c r="B1350" s="10">
        <v>45703</v>
      </c>
      <c r="C1350" s="11" t="s">
        <v>52</v>
      </c>
      <c r="D1350" s="11" t="s">
        <v>31</v>
      </c>
      <c r="E1350" s="7" t="s">
        <v>91</v>
      </c>
      <c r="F1350" s="9">
        <v>40</v>
      </c>
      <c r="G1350" s="9">
        <v>113.1</v>
      </c>
      <c r="H1350" s="9">
        <v>34.1</v>
      </c>
      <c r="I1350" s="9">
        <v>19.399999999999999</v>
      </c>
      <c r="J1350" s="9">
        <v>1.03</v>
      </c>
      <c r="K1350" s="9">
        <v>41.1</v>
      </c>
      <c r="L1350" s="7">
        <v>12.8</v>
      </c>
      <c r="M1350" s="7">
        <v>48.1</v>
      </c>
      <c r="N1350" s="7">
        <v>3</v>
      </c>
      <c r="O1350" s="7">
        <v>223</v>
      </c>
      <c r="P1350" s="7" t="s">
        <v>28</v>
      </c>
      <c r="Q1350" s="7" t="str">
        <f t="shared" si="84"/>
        <v>Unhealthy</v>
      </c>
      <c r="R1350" s="7" t="str">
        <f t="shared" si="85"/>
        <v>Cool</v>
      </c>
      <c r="S1350" s="7" t="str">
        <f t="shared" si="86"/>
        <v>Normal Humidity</v>
      </c>
      <c r="T1350" s="7" t="str">
        <f t="shared" si="87"/>
        <v>Moderate Wind</v>
      </c>
    </row>
    <row r="1351" spans="1:20" x14ac:dyDescent="0.25">
      <c r="A1351" s="7" t="s">
        <v>1418</v>
      </c>
      <c r="B1351" s="10">
        <v>45843</v>
      </c>
      <c r="C1351" s="11" t="s">
        <v>99</v>
      </c>
      <c r="D1351" s="11" t="s">
        <v>36</v>
      </c>
      <c r="E1351" s="7" t="s">
        <v>74</v>
      </c>
      <c r="F1351" s="9">
        <v>42.7</v>
      </c>
      <c r="G1351" s="9">
        <v>76</v>
      </c>
      <c r="H1351" s="9">
        <v>15.1</v>
      </c>
      <c r="I1351" s="9">
        <v>11.2</v>
      </c>
      <c r="J1351" s="9">
        <v>1.06</v>
      </c>
      <c r="K1351" s="9">
        <v>46.5</v>
      </c>
      <c r="L1351" s="7">
        <v>28.9</v>
      </c>
      <c r="M1351" s="7">
        <v>32.9</v>
      </c>
      <c r="N1351" s="7">
        <v>2.1</v>
      </c>
      <c r="O1351" s="7">
        <v>185</v>
      </c>
      <c r="P1351" s="7" t="s">
        <v>33</v>
      </c>
      <c r="Q1351" s="7" t="str">
        <f t="shared" si="84"/>
        <v>Moderate</v>
      </c>
      <c r="R1351" s="7" t="str">
        <f t="shared" si="85"/>
        <v>Normal</v>
      </c>
      <c r="S1351" s="7" t="str">
        <f t="shared" si="86"/>
        <v>Normal Humidity</v>
      </c>
      <c r="T1351" s="7" t="str">
        <f t="shared" si="87"/>
        <v>Moderate Wind</v>
      </c>
    </row>
    <row r="1352" spans="1:20" x14ac:dyDescent="0.25">
      <c r="A1352" s="7" t="s">
        <v>1419</v>
      </c>
      <c r="B1352" s="10">
        <v>45876</v>
      </c>
      <c r="C1352" s="11" t="s">
        <v>64</v>
      </c>
      <c r="D1352" s="11" t="s">
        <v>36</v>
      </c>
      <c r="E1352" s="7" t="s">
        <v>45</v>
      </c>
      <c r="F1352" s="9">
        <v>31.5</v>
      </c>
      <c r="G1352" s="9">
        <v>37.6</v>
      </c>
      <c r="H1352" s="9">
        <v>48.2</v>
      </c>
      <c r="I1352" s="9">
        <v>5.5</v>
      </c>
      <c r="J1352" s="9">
        <v>1.08</v>
      </c>
      <c r="K1352" s="9">
        <v>36.299999999999997</v>
      </c>
      <c r="L1352" s="7">
        <v>36.299999999999997</v>
      </c>
      <c r="M1352" s="7">
        <v>91.1</v>
      </c>
      <c r="N1352" s="7">
        <v>1.7</v>
      </c>
      <c r="O1352" s="7">
        <v>161</v>
      </c>
      <c r="P1352" s="7" t="s">
        <v>33</v>
      </c>
      <c r="Q1352" s="7" t="str">
        <f t="shared" si="84"/>
        <v>Good</v>
      </c>
      <c r="R1352" s="7" t="str">
        <f t="shared" si="85"/>
        <v>Hot</v>
      </c>
      <c r="S1352" s="7" t="str">
        <f t="shared" si="86"/>
        <v>High Humidity</v>
      </c>
      <c r="T1352" s="7" t="str">
        <f t="shared" si="87"/>
        <v>Low Wind</v>
      </c>
    </row>
    <row r="1353" spans="1:20" x14ac:dyDescent="0.25">
      <c r="A1353" s="7" t="s">
        <v>1420</v>
      </c>
      <c r="B1353" s="10">
        <v>46010</v>
      </c>
      <c r="C1353" s="11" t="s">
        <v>26</v>
      </c>
      <c r="D1353" s="11" t="s">
        <v>23</v>
      </c>
      <c r="E1353" s="7" t="s">
        <v>40</v>
      </c>
      <c r="F1353" s="9">
        <v>37.799999999999997</v>
      </c>
      <c r="G1353" s="9">
        <v>131.80000000000001</v>
      </c>
      <c r="H1353" s="9">
        <v>5.0999999999999996</v>
      </c>
      <c r="I1353" s="9">
        <v>3.2</v>
      </c>
      <c r="J1353" s="9">
        <v>0.57999999999999996</v>
      </c>
      <c r="K1353" s="9">
        <v>32.799999999999997</v>
      </c>
      <c r="L1353" s="7">
        <v>17</v>
      </c>
      <c r="M1353" s="7">
        <v>59.8</v>
      </c>
      <c r="N1353" s="7">
        <v>0.2</v>
      </c>
      <c r="O1353" s="7">
        <v>182</v>
      </c>
      <c r="P1353" s="7" t="s">
        <v>33</v>
      </c>
      <c r="Q1353" s="7" t="str">
        <f t="shared" si="84"/>
        <v>Unhealthy</v>
      </c>
      <c r="R1353" s="7" t="str">
        <f t="shared" si="85"/>
        <v>Cool</v>
      </c>
      <c r="S1353" s="7" t="str">
        <f t="shared" si="86"/>
        <v>Normal Humidity</v>
      </c>
      <c r="T1353" s="7" t="str">
        <f t="shared" si="87"/>
        <v>Low Wind</v>
      </c>
    </row>
    <row r="1354" spans="1:20" x14ac:dyDescent="0.25">
      <c r="A1354" s="7" t="s">
        <v>1421</v>
      </c>
      <c r="B1354" s="10">
        <v>45664</v>
      </c>
      <c r="C1354" s="11" t="s">
        <v>38</v>
      </c>
      <c r="D1354" s="11" t="s">
        <v>39</v>
      </c>
      <c r="E1354" s="7" t="s">
        <v>27</v>
      </c>
      <c r="F1354" s="9">
        <v>21.6</v>
      </c>
      <c r="G1354" s="9">
        <v>72.599999999999994</v>
      </c>
      <c r="H1354" s="9">
        <v>10</v>
      </c>
      <c r="I1354" s="9">
        <v>13.7</v>
      </c>
      <c r="J1354" s="9">
        <v>1.17</v>
      </c>
      <c r="K1354" s="9">
        <v>10.8</v>
      </c>
      <c r="L1354" s="7">
        <v>35.799999999999997</v>
      </c>
      <c r="M1354" s="7">
        <v>84</v>
      </c>
      <c r="N1354" s="7">
        <v>1.4</v>
      </c>
      <c r="O1354" s="7">
        <v>133</v>
      </c>
      <c r="P1354" s="7" t="s">
        <v>33</v>
      </c>
      <c r="Q1354" s="7" t="str">
        <f t="shared" si="84"/>
        <v>Moderate</v>
      </c>
      <c r="R1354" s="7" t="str">
        <f t="shared" si="85"/>
        <v>Hot</v>
      </c>
      <c r="S1354" s="7" t="str">
        <f t="shared" si="86"/>
        <v>High Humidity</v>
      </c>
      <c r="T1354" s="7" t="str">
        <f t="shared" si="87"/>
        <v>Low Wind</v>
      </c>
    </row>
    <row r="1355" spans="1:20" x14ac:dyDescent="0.25">
      <c r="A1355" s="7" t="s">
        <v>1422</v>
      </c>
      <c r="B1355" s="10">
        <v>45902</v>
      </c>
      <c r="C1355" s="11" t="s">
        <v>35</v>
      </c>
      <c r="D1355" s="11" t="s">
        <v>36</v>
      </c>
      <c r="E1355" s="7" t="s">
        <v>55</v>
      </c>
      <c r="F1355" s="9">
        <v>40.299999999999997</v>
      </c>
      <c r="G1355" s="9">
        <v>36.4</v>
      </c>
      <c r="H1355" s="9">
        <v>54.5</v>
      </c>
      <c r="I1355" s="9">
        <v>3.4</v>
      </c>
      <c r="J1355" s="9">
        <v>1.73</v>
      </c>
      <c r="K1355" s="9">
        <v>44.7</v>
      </c>
      <c r="L1355" s="7">
        <v>23.1</v>
      </c>
      <c r="M1355" s="7">
        <v>55.8</v>
      </c>
      <c r="N1355" s="7">
        <v>2.8</v>
      </c>
      <c r="O1355" s="7">
        <v>197</v>
      </c>
      <c r="P1355" s="7" t="s">
        <v>33</v>
      </c>
      <c r="Q1355" s="7" t="str">
        <f t="shared" si="84"/>
        <v>Good</v>
      </c>
      <c r="R1355" s="7" t="str">
        <f t="shared" si="85"/>
        <v>Normal</v>
      </c>
      <c r="S1355" s="7" t="str">
        <f t="shared" si="86"/>
        <v>Normal Humidity</v>
      </c>
      <c r="T1355" s="7" t="str">
        <f t="shared" si="87"/>
        <v>Moderate Wind</v>
      </c>
    </row>
    <row r="1356" spans="1:20" x14ac:dyDescent="0.25">
      <c r="A1356" s="7" t="s">
        <v>1423</v>
      </c>
      <c r="B1356" s="10">
        <v>45971</v>
      </c>
      <c r="C1356" s="11" t="s">
        <v>30</v>
      </c>
      <c r="D1356" s="11" t="s">
        <v>31</v>
      </c>
      <c r="E1356" s="7" t="s">
        <v>97</v>
      </c>
      <c r="F1356" s="9">
        <v>49.2</v>
      </c>
      <c r="G1356" s="9">
        <v>79.2</v>
      </c>
      <c r="H1356" s="9">
        <v>33.9</v>
      </c>
      <c r="I1356" s="9">
        <v>2.2999999999999998</v>
      </c>
      <c r="J1356" s="9">
        <v>0.78</v>
      </c>
      <c r="K1356" s="9">
        <v>5.9</v>
      </c>
      <c r="L1356" s="7">
        <v>17.3</v>
      </c>
      <c r="M1356" s="7">
        <v>74.900000000000006</v>
      </c>
      <c r="N1356" s="7">
        <v>2.6</v>
      </c>
      <c r="O1356" s="7">
        <v>181</v>
      </c>
      <c r="P1356" s="7" t="s">
        <v>33</v>
      </c>
      <c r="Q1356" s="7" t="str">
        <f t="shared" si="84"/>
        <v>Moderate</v>
      </c>
      <c r="R1356" s="7" t="str">
        <f t="shared" si="85"/>
        <v>Cool</v>
      </c>
      <c r="S1356" s="7" t="str">
        <f t="shared" si="86"/>
        <v>High Humidity</v>
      </c>
      <c r="T1356" s="7" t="str">
        <f t="shared" si="87"/>
        <v>Moderate Wind</v>
      </c>
    </row>
    <row r="1357" spans="1:20" x14ac:dyDescent="0.25">
      <c r="A1357" s="7" t="s">
        <v>1424</v>
      </c>
      <c r="B1357" s="10">
        <v>46005</v>
      </c>
      <c r="C1357" s="11" t="s">
        <v>35</v>
      </c>
      <c r="D1357" s="11" t="s">
        <v>36</v>
      </c>
      <c r="E1357" s="7" t="s">
        <v>91</v>
      </c>
      <c r="F1357" s="9">
        <v>34.1</v>
      </c>
      <c r="G1357" s="9">
        <v>77.3</v>
      </c>
      <c r="H1357" s="9">
        <v>42.4</v>
      </c>
      <c r="I1357" s="9">
        <v>5</v>
      </c>
      <c r="J1357" s="9">
        <v>0.77</v>
      </c>
      <c r="K1357" s="9">
        <v>48.6</v>
      </c>
      <c r="L1357" s="7">
        <v>38.700000000000003</v>
      </c>
      <c r="M1357" s="7">
        <v>56.8</v>
      </c>
      <c r="N1357" s="7">
        <v>3.1</v>
      </c>
      <c r="O1357" s="7">
        <v>183</v>
      </c>
      <c r="P1357" s="7" t="s">
        <v>33</v>
      </c>
      <c r="Q1357" s="7" t="str">
        <f t="shared" si="84"/>
        <v>Moderate</v>
      </c>
      <c r="R1357" s="7" t="str">
        <f t="shared" si="85"/>
        <v>Hot</v>
      </c>
      <c r="S1357" s="7" t="str">
        <f t="shared" si="86"/>
        <v>Normal Humidity</v>
      </c>
      <c r="T1357" s="7" t="str">
        <f t="shared" si="87"/>
        <v>Moderate Wind</v>
      </c>
    </row>
    <row r="1358" spans="1:20" x14ac:dyDescent="0.25">
      <c r="A1358" s="7" t="s">
        <v>1425</v>
      </c>
      <c r="B1358" s="10">
        <v>45944</v>
      </c>
      <c r="C1358" s="11" t="s">
        <v>52</v>
      </c>
      <c r="D1358" s="11" t="s">
        <v>31</v>
      </c>
      <c r="E1358" s="7" t="s">
        <v>19</v>
      </c>
      <c r="F1358" s="9">
        <v>48.3</v>
      </c>
      <c r="G1358" s="9">
        <v>100.7</v>
      </c>
      <c r="H1358" s="9">
        <v>44.9</v>
      </c>
      <c r="I1358" s="9">
        <v>18.899999999999999</v>
      </c>
      <c r="J1358" s="9">
        <v>0.61</v>
      </c>
      <c r="K1358" s="9">
        <v>6</v>
      </c>
      <c r="L1358" s="7">
        <v>21.8</v>
      </c>
      <c r="M1358" s="7">
        <v>59.7</v>
      </c>
      <c r="N1358" s="7">
        <v>1</v>
      </c>
      <c r="O1358" s="7">
        <v>210</v>
      </c>
      <c r="P1358" s="7" t="s">
        <v>28</v>
      </c>
      <c r="Q1358" s="7" t="str">
        <f t="shared" si="84"/>
        <v>Unhealthy</v>
      </c>
      <c r="R1358" s="7" t="str">
        <f t="shared" si="85"/>
        <v>Normal</v>
      </c>
      <c r="S1358" s="7" t="str">
        <f t="shared" si="86"/>
        <v>Normal Humidity</v>
      </c>
      <c r="T1358" s="7" t="str">
        <f t="shared" si="87"/>
        <v>Low Wind</v>
      </c>
    </row>
    <row r="1359" spans="1:20" x14ac:dyDescent="0.25">
      <c r="A1359" s="7" t="s">
        <v>1426</v>
      </c>
      <c r="B1359" s="10">
        <v>45970</v>
      </c>
      <c r="C1359" s="11" t="s">
        <v>42</v>
      </c>
      <c r="D1359" s="11" t="s">
        <v>23</v>
      </c>
      <c r="E1359" s="7" t="s">
        <v>40</v>
      </c>
      <c r="F1359" s="9">
        <v>28.9</v>
      </c>
      <c r="G1359" s="9">
        <v>59.1</v>
      </c>
      <c r="H1359" s="9">
        <v>32.6</v>
      </c>
      <c r="I1359" s="9">
        <v>3.5</v>
      </c>
      <c r="J1359" s="9">
        <v>0.78</v>
      </c>
      <c r="K1359" s="9">
        <v>11.1</v>
      </c>
      <c r="L1359" s="7">
        <v>28.4</v>
      </c>
      <c r="M1359" s="7">
        <v>75.400000000000006</v>
      </c>
      <c r="N1359" s="7">
        <v>2.2000000000000002</v>
      </c>
      <c r="O1359" s="7">
        <v>138</v>
      </c>
      <c r="P1359" s="7" t="s">
        <v>33</v>
      </c>
      <c r="Q1359" s="7" t="str">
        <f t="shared" si="84"/>
        <v>Moderate</v>
      </c>
      <c r="R1359" s="7" t="str">
        <f t="shared" si="85"/>
        <v>Normal</v>
      </c>
      <c r="S1359" s="7" t="str">
        <f t="shared" si="86"/>
        <v>High Humidity</v>
      </c>
      <c r="T1359" s="7" t="str">
        <f t="shared" si="87"/>
        <v>Moderate Wind</v>
      </c>
    </row>
    <row r="1360" spans="1:20" x14ac:dyDescent="0.25">
      <c r="A1360" s="7" t="s">
        <v>1427</v>
      </c>
      <c r="B1360" s="10">
        <v>45662</v>
      </c>
      <c r="C1360" s="11" t="s">
        <v>67</v>
      </c>
      <c r="D1360" s="11" t="s">
        <v>18</v>
      </c>
      <c r="E1360" s="7" t="s">
        <v>74</v>
      </c>
      <c r="F1360" s="9">
        <v>23.6</v>
      </c>
      <c r="G1360" s="9">
        <v>90.4</v>
      </c>
      <c r="H1360" s="9">
        <v>9.6999999999999993</v>
      </c>
      <c r="I1360" s="9">
        <v>8.6</v>
      </c>
      <c r="J1360" s="9">
        <v>0.14000000000000001</v>
      </c>
      <c r="K1360" s="9">
        <v>24.1</v>
      </c>
      <c r="L1360" s="7">
        <v>26.7</v>
      </c>
      <c r="M1360" s="7">
        <v>61.2</v>
      </c>
      <c r="N1360" s="7">
        <v>3</v>
      </c>
      <c r="O1360" s="7">
        <v>125</v>
      </c>
      <c r="P1360" s="7" t="s">
        <v>33</v>
      </c>
      <c r="Q1360" s="7" t="str">
        <f t="shared" si="84"/>
        <v>Moderate</v>
      </c>
      <c r="R1360" s="7" t="str">
        <f t="shared" si="85"/>
        <v>Normal</v>
      </c>
      <c r="S1360" s="7" t="str">
        <f t="shared" si="86"/>
        <v>High Humidity</v>
      </c>
      <c r="T1360" s="7" t="str">
        <f t="shared" si="87"/>
        <v>Moderate Wind</v>
      </c>
    </row>
    <row r="1361" spans="1:20" x14ac:dyDescent="0.25">
      <c r="A1361" s="7" t="s">
        <v>1428</v>
      </c>
      <c r="B1361" s="10">
        <v>45984</v>
      </c>
      <c r="C1361" s="11" t="s">
        <v>42</v>
      </c>
      <c r="D1361" s="11" t="s">
        <v>23</v>
      </c>
      <c r="E1361" s="7" t="s">
        <v>43</v>
      </c>
      <c r="F1361" s="9">
        <v>15.4</v>
      </c>
      <c r="G1361" s="9">
        <v>29.1</v>
      </c>
      <c r="H1361" s="9">
        <v>18.2</v>
      </c>
      <c r="I1361" s="9">
        <v>11.3</v>
      </c>
      <c r="J1361" s="9">
        <v>1.26</v>
      </c>
      <c r="K1361" s="9">
        <v>18.399999999999999</v>
      </c>
      <c r="L1361" s="7">
        <v>24.3</v>
      </c>
      <c r="M1361" s="7">
        <v>59.1</v>
      </c>
      <c r="N1361" s="7">
        <v>1.7</v>
      </c>
      <c r="O1361" s="7">
        <v>106</v>
      </c>
      <c r="P1361" s="7" t="s">
        <v>33</v>
      </c>
      <c r="Q1361" s="7" t="str">
        <f t="shared" si="84"/>
        <v>Good</v>
      </c>
      <c r="R1361" s="7" t="str">
        <f t="shared" si="85"/>
        <v>Normal</v>
      </c>
      <c r="S1361" s="7" t="str">
        <f t="shared" si="86"/>
        <v>Normal Humidity</v>
      </c>
      <c r="T1361" s="7" t="str">
        <f t="shared" si="87"/>
        <v>Low Wind</v>
      </c>
    </row>
    <row r="1362" spans="1:20" x14ac:dyDescent="0.25">
      <c r="A1362" s="7" t="s">
        <v>1429</v>
      </c>
      <c r="B1362" s="10">
        <v>45776</v>
      </c>
      <c r="C1362" s="11" t="s">
        <v>35</v>
      </c>
      <c r="D1362" s="11" t="s">
        <v>36</v>
      </c>
      <c r="E1362" s="7" t="s">
        <v>43</v>
      </c>
      <c r="F1362" s="9">
        <v>43.6</v>
      </c>
      <c r="G1362" s="9">
        <v>88.3</v>
      </c>
      <c r="H1362" s="9">
        <v>19</v>
      </c>
      <c r="I1362" s="9">
        <v>1.5</v>
      </c>
      <c r="J1362" s="9">
        <v>0.44</v>
      </c>
      <c r="K1362" s="9">
        <v>23.2</v>
      </c>
      <c r="L1362" s="7">
        <v>33.4</v>
      </c>
      <c r="M1362" s="7">
        <v>64.599999999999994</v>
      </c>
      <c r="N1362" s="7">
        <v>2.5</v>
      </c>
      <c r="O1362" s="7">
        <v>165</v>
      </c>
      <c r="P1362" s="7" t="s">
        <v>33</v>
      </c>
      <c r="Q1362" s="7" t="str">
        <f t="shared" si="84"/>
        <v>Moderate</v>
      </c>
      <c r="R1362" s="7" t="str">
        <f t="shared" si="85"/>
        <v>Hot</v>
      </c>
      <c r="S1362" s="7" t="str">
        <f t="shared" si="86"/>
        <v>High Humidity</v>
      </c>
      <c r="T1362" s="7" t="str">
        <f t="shared" si="87"/>
        <v>Moderate Wind</v>
      </c>
    </row>
    <row r="1363" spans="1:20" x14ac:dyDescent="0.25">
      <c r="A1363" s="7" t="s">
        <v>1430</v>
      </c>
      <c r="B1363" s="10">
        <v>45669</v>
      </c>
      <c r="C1363" s="11" t="s">
        <v>64</v>
      </c>
      <c r="D1363" s="11" t="s">
        <v>36</v>
      </c>
      <c r="E1363" s="7" t="s">
        <v>61</v>
      </c>
      <c r="F1363" s="9">
        <v>110.4</v>
      </c>
      <c r="G1363" s="9">
        <v>110.6</v>
      </c>
      <c r="H1363" s="9">
        <v>15.5</v>
      </c>
      <c r="I1363" s="9">
        <v>23.8</v>
      </c>
      <c r="J1363" s="9">
        <v>0.16</v>
      </c>
      <c r="K1363" s="9">
        <v>16.899999999999999</v>
      </c>
      <c r="L1363" s="7">
        <v>28.5</v>
      </c>
      <c r="M1363" s="7">
        <v>54.7</v>
      </c>
      <c r="N1363" s="7">
        <v>1</v>
      </c>
      <c r="O1363" s="7">
        <v>289</v>
      </c>
      <c r="P1363" s="7" t="s">
        <v>28</v>
      </c>
      <c r="Q1363" s="7" t="str">
        <f t="shared" si="84"/>
        <v>Unhealthy</v>
      </c>
      <c r="R1363" s="7" t="str">
        <f t="shared" si="85"/>
        <v>Normal</v>
      </c>
      <c r="S1363" s="7" t="str">
        <f t="shared" si="86"/>
        <v>Normal Humidity</v>
      </c>
      <c r="T1363" s="7" t="str">
        <f t="shared" si="87"/>
        <v>Low Wind</v>
      </c>
    </row>
    <row r="1364" spans="1:20" x14ac:dyDescent="0.25">
      <c r="A1364" s="7" t="s">
        <v>1431</v>
      </c>
      <c r="B1364" s="10">
        <v>45658</v>
      </c>
      <c r="C1364" s="11" t="s">
        <v>50</v>
      </c>
      <c r="D1364" s="11" t="s">
        <v>31</v>
      </c>
      <c r="E1364" s="7" t="s">
        <v>55</v>
      </c>
      <c r="F1364" s="9">
        <v>86.7</v>
      </c>
      <c r="G1364" s="9">
        <v>58.2</v>
      </c>
      <c r="H1364" s="9">
        <v>35.200000000000003</v>
      </c>
      <c r="I1364" s="9">
        <v>20.7</v>
      </c>
      <c r="J1364" s="9">
        <v>0.03</v>
      </c>
      <c r="K1364" s="9">
        <v>49.9</v>
      </c>
      <c r="L1364" s="7">
        <v>41.3</v>
      </c>
      <c r="M1364" s="7">
        <v>83.7</v>
      </c>
      <c r="N1364" s="7">
        <v>1.7</v>
      </c>
      <c r="O1364" s="7">
        <v>242</v>
      </c>
      <c r="P1364" s="7" t="s">
        <v>28</v>
      </c>
      <c r="Q1364" s="7" t="str">
        <f t="shared" si="84"/>
        <v>Moderate</v>
      </c>
      <c r="R1364" s="7" t="str">
        <f t="shared" si="85"/>
        <v>Hot</v>
      </c>
      <c r="S1364" s="7" t="str">
        <f t="shared" si="86"/>
        <v>High Humidity</v>
      </c>
      <c r="T1364" s="7" t="str">
        <f t="shared" si="87"/>
        <v>Low Wind</v>
      </c>
    </row>
    <row r="1365" spans="1:20" x14ac:dyDescent="0.25">
      <c r="A1365" s="7" t="s">
        <v>1432</v>
      </c>
      <c r="B1365" s="10">
        <v>45979</v>
      </c>
      <c r="C1365" s="11" t="s">
        <v>38</v>
      </c>
      <c r="D1365" s="11" t="s">
        <v>39</v>
      </c>
      <c r="E1365" s="7" t="s">
        <v>24</v>
      </c>
      <c r="F1365" s="9">
        <v>114.7</v>
      </c>
      <c r="G1365" s="9">
        <v>140.9</v>
      </c>
      <c r="H1365" s="9">
        <v>26.5</v>
      </c>
      <c r="I1365" s="9">
        <v>13.5</v>
      </c>
      <c r="J1365" s="9">
        <v>0.97</v>
      </c>
      <c r="K1365" s="9">
        <v>58.1</v>
      </c>
      <c r="L1365" s="7">
        <v>21.6</v>
      </c>
      <c r="M1365" s="7">
        <v>57.7</v>
      </c>
      <c r="N1365" s="7">
        <v>2.8</v>
      </c>
      <c r="O1365" s="7">
        <v>356</v>
      </c>
      <c r="P1365" s="7" t="s">
        <v>20</v>
      </c>
      <c r="Q1365" s="7" t="str">
        <f t="shared" si="84"/>
        <v>Unhealthy</v>
      </c>
      <c r="R1365" s="7" t="str">
        <f t="shared" si="85"/>
        <v>Normal</v>
      </c>
      <c r="S1365" s="7" t="str">
        <f t="shared" si="86"/>
        <v>Normal Humidity</v>
      </c>
      <c r="T1365" s="7" t="str">
        <f t="shared" si="87"/>
        <v>Moderate Wind</v>
      </c>
    </row>
    <row r="1366" spans="1:20" x14ac:dyDescent="0.25">
      <c r="A1366" s="7" t="s">
        <v>1433</v>
      </c>
      <c r="B1366" s="10">
        <v>45799</v>
      </c>
      <c r="C1366" s="11" t="s">
        <v>50</v>
      </c>
      <c r="D1366" s="11" t="s">
        <v>31</v>
      </c>
      <c r="E1366" s="7" t="s">
        <v>74</v>
      </c>
      <c r="F1366" s="9">
        <v>62.9</v>
      </c>
      <c r="G1366" s="9">
        <v>18.2</v>
      </c>
      <c r="H1366" s="9">
        <v>48</v>
      </c>
      <c r="I1366" s="9">
        <v>14.9</v>
      </c>
      <c r="J1366" s="9">
        <v>1.24</v>
      </c>
      <c r="K1366" s="9">
        <v>38.299999999999997</v>
      </c>
      <c r="L1366" s="7">
        <v>23.3</v>
      </c>
      <c r="M1366" s="7">
        <v>55.3</v>
      </c>
      <c r="N1366" s="7">
        <v>2.8</v>
      </c>
      <c r="O1366" s="7">
        <v>210</v>
      </c>
      <c r="P1366" s="7" t="s">
        <v>28</v>
      </c>
      <c r="Q1366" s="7" t="str">
        <f t="shared" si="84"/>
        <v>Good</v>
      </c>
      <c r="R1366" s="7" t="str">
        <f t="shared" si="85"/>
        <v>Normal</v>
      </c>
      <c r="S1366" s="7" t="str">
        <f t="shared" si="86"/>
        <v>Normal Humidity</v>
      </c>
      <c r="T1366" s="7" t="str">
        <f t="shared" si="87"/>
        <v>Moderate Wind</v>
      </c>
    </row>
    <row r="1367" spans="1:20" x14ac:dyDescent="0.25">
      <c r="A1367" s="7" t="s">
        <v>1434</v>
      </c>
      <c r="B1367" s="10">
        <v>45898</v>
      </c>
      <c r="C1367" s="11" t="s">
        <v>50</v>
      </c>
      <c r="D1367" s="11" t="s">
        <v>31</v>
      </c>
      <c r="E1367" s="7" t="s">
        <v>24</v>
      </c>
      <c r="F1367" s="9">
        <v>26.5</v>
      </c>
      <c r="G1367" s="9">
        <v>74</v>
      </c>
      <c r="H1367" s="9">
        <v>16.3</v>
      </c>
      <c r="I1367" s="9">
        <v>8</v>
      </c>
      <c r="J1367" s="9">
        <v>0.41</v>
      </c>
      <c r="K1367" s="9">
        <v>40.4</v>
      </c>
      <c r="L1367" s="7">
        <v>21.6</v>
      </c>
      <c r="M1367" s="7">
        <v>39.5</v>
      </c>
      <c r="N1367" s="7">
        <v>3</v>
      </c>
      <c r="O1367" s="7">
        <v>138</v>
      </c>
      <c r="P1367" s="7" t="s">
        <v>33</v>
      </c>
      <c r="Q1367" s="7" t="str">
        <f t="shared" si="84"/>
        <v>Moderate</v>
      </c>
      <c r="R1367" s="7" t="str">
        <f t="shared" si="85"/>
        <v>Normal</v>
      </c>
      <c r="S1367" s="7" t="str">
        <f t="shared" si="86"/>
        <v>Normal Humidity</v>
      </c>
      <c r="T1367" s="7" t="str">
        <f t="shared" si="87"/>
        <v>Moderate Wind</v>
      </c>
    </row>
    <row r="1368" spans="1:20" x14ac:dyDescent="0.25">
      <c r="A1368" s="7" t="s">
        <v>1435</v>
      </c>
      <c r="B1368" s="10">
        <v>45854</v>
      </c>
      <c r="C1368" s="11" t="s">
        <v>30</v>
      </c>
      <c r="D1368" s="11" t="s">
        <v>31</v>
      </c>
      <c r="E1368" s="7" t="s">
        <v>91</v>
      </c>
      <c r="F1368" s="9">
        <v>58.2</v>
      </c>
      <c r="G1368" s="9">
        <v>60.1</v>
      </c>
      <c r="H1368" s="9">
        <v>36.200000000000003</v>
      </c>
      <c r="I1368" s="9">
        <v>3.3</v>
      </c>
      <c r="J1368" s="9">
        <v>0.45</v>
      </c>
      <c r="K1368" s="9">
        <v>22.7</v>
      </c>
      <c r="L1368" s="7">
        <v>23.6</v>
      </c>
      <c r="M1368" s="7">
        <v>66.099999999999994</v>
      </c>
      <c r="N1368" s="7">
        <v>4.4000000000000004</v>
      </c>
      <c r="O1368" s="7">
        <v>185</v>
      </c>
      <c r="P1368" s="7" t="s">
        <v>33</v>
      </c>
      <c r="Q1368" s="7" t="str">
        <f t="shared" si="84"/>
        <v>Moderate</v>
      </c>
      <c r="R1368" s="7" t="str">
        <f t="shared" si="85"/>
        <v>Normal</v>
      </c>
      <c r="S1368" s="7" t="str">
        <f t="shared" si="86"/>
        <v>High Humidity</v>
      </c>
      <c r="T1368" s="7" t="str">
        <f t="shared" si="87"/>
        <v>Moderate Wind</v>
      </c>
    </row>
    <row r="1369" spans="1:20" x14ac:dyDescent="0.25">
      <c r="A1369" s="7" t="s">
        <v>1436</v>
      </c>
      <c r="B1369" s="10">
        <v>45710</v>
      </c>
      <c r="C1369" s="11" t="s">
        <v>77</v>
      </c>
      <c r="D1369" s="11" t="s">
        <v>39</v>
      </c>
      <c r="E1369" s="7" t="s">
        <v>58</v>
      </c>
      <c r="F1369" s="9">
        <v>57.5</v>
      </c>
      <c r="G1369" s="9">
        <v>70.900000000000006</v>
      </c>
      <c r="H1369" s="9">
        <v>47.2</v>
      </c>
      <c r="I1369" s="9">
        <v>4.5999999999999996</v>
      </c>
      <c r="J1369" s="9">
        <v>0.04</v>
      </c>
      <c r="K1369" s="9">
        <v>5.2</v>
      </c>
      <c r="L1369" s="7">
        <v>20.3</v>
      </c>
      <c r="M1369" s="7">
        <v>74.2</v>
      </c>
      <c r="N1369" s="7">
        <v>2.2000000000000002</v>
      </c>
      <c r="O1369" s="7">
        <v>182</v>
      </c>
      <c r="P1369" s="7" t="s">
        <v>33</v>
      </c>
      <c r="Q1369" s="7" t="str">
        <f t="shared" si="84"/>
        <v>Moderate</v>
      </c>
      <c r="R1369" s="7" t="str">
        <f t="shared" si="85"/>
        <v>Normal</v>
      </c>
      <c r="S1369" s="7" t="str">
        <f t="shared" si="86"/>
        <v>High Humidity</v>
      </c>
      <c r="T1369" s="7" t="str">
        <f t="shared" si="87"/>
        <v>Moderate Wind</v>
      </c>
    </row>
    <row r="1370" spans="1:20" x14ac:dyDescent="0.25">
      <c r="A1370" s="7" t="s">
        <v>1437</v>
      </c>
      <c r="B1370" s="10">
        <v>45993</v>
      </c>
      <c r="C1370" s="11" t="s">
        <v>81</v>
      </c>
      <c r="D1370" s="11" t="s">
        <v>39</v>
      </c>
      <c r="E1370" s="7" t="s">
        <v>91</v>
      </c>
      <c r="F1370" s="9">
        <v>28.1</v>
      </c>
      <c r="G1370" s="9">
        <v>60.1</v>
      </c>
      <c r="H1370" s="9">
        <v>4.5999999999999996</v>
      </c>
      <c r="I1370" s="9">
        <v>30.3</v>
      </c>
      <c r="J1370" s="9">
        <v>1.18</v>
      </c>
      <c r="K1370" s="9">
        <v>24.7</v>
      </c>
      <c r="L1370" s="7">
        <v>29</v>
      </c>
      <c r="M1370" s="7">
        <v>83.2</v>
      </c>
      <c r="N1370" s="7">
        <v>2</v>
      </c>
      <c r="O1370" s="7">
        <v>150</v>
      </c>
      <c r="P1370" s="7" t="s">
        <v>33</v>
      </c>
      <c r="Q1370" s="7" t="str">
        <f t="shared" si="84"/>
        <v>Moderate</v>
      </c>
      <c r="R1370" s="7" t="str">
        <f t="shared" si="85"/>
        <v>Normal</v>
      </c>
      <c r="S1370" s="7" t="str">
        <f t="shared" si="86"/>
        <v>High Humidity</v>
      </c>
      <c r="T1370" s="7" t="str">
        <f t="shared" si="87"/>
        <v>Moderate Wind</v>
      </c>
    </row>
    <row r="1371" spans="1:20" x14ac:dyDescent="0.25">
      <c r="A1371" s="7" t="s">
        <v>1438</v>
      </c>
      <c r="B1371" s="10">
        <v>45688</v>
      </c>
      <c r="C1371" s="11" t="s">
        <v>81</v>
      </c>
      <c r="D1371" s="11" t="s">
        <v>39</v>
      </c>
      <c r="E1371" s="7" t="s">
        <v>74</v>
      </c>
      <c r="F1371" s="9">
        <v>24.5</v>
      </c>
      <c r="G1371" s="9">
        <v>30.5</v>
      </c>
      <c r="H1371" s="9">
        <v>27.4</v>
      </c>
      <c r="I1371" s="9">
        <v>13.6</v>
      </c>
      <c r="J1371" s="9">
        <v>0.74</v>
      </c>
      <c r="K1371" s="9">
        <v>26.3</v>
      </c>
      <c r="L1371" s="7">
        <v>26.1</v>
      </c>
      <c r="M1371" s="7">
        <v>27.1</v>
      </c>
      <c r="N1371" s="7">
        <v>4.5999999999999996</v>
      </c>
      <c r="O1371" s="7">
        <v>121</v>
      </c>
      <c r="P1371" s="7" t="s">
        <v>33</v>
      </c>
      <c r="Q1371" s="7" t="str">
        <f t="shared" si="84"/>
        <v>Good</v>
      </c>
      <c r="R1371" s="7" t="str">
        <f t="shared" si="85"/>
        <v>Normal</v>
      </c>
      <c r="S1371" s="7" t="str">
        <f t="shared" si="86"/>
        <v>Low Humidity</v>
      </c>
      <c r="T1371" s="7" t="str">
        <f t="shared" si="87"/>
        <v>Moderate Wind</v>
      </c>
    </row>
    <row r="1372" spans="1:20" x14ac:dyDescent="0.25">
      <c r="A1372" s="7" t="s">
        <v>1439</v>
      </c>
      <c r="B1372" s="10">
        <v>45674</v>
      </c>
      <c r="C1372" s="11" t="s">
        <v>50</v>
      </c>
      <c r="D1372" s="11" t="s">
        <v>31</v>
      </c>
      <c r="E1372" s="7" t="s">
        <v>55</v>
      </c>
      <c r="F1372" s="9">
        <v>14.3</v>
      </c>
      <c r="G1372" s="9">
        <v>55.4</v>
      </c>
      <c r="H1372" s="9">
        <v>67.3</v>
      </c>
      <c r="I1372" s="9">
        <v>12.7</v>
      </c>
      <c r="J1372" s="9">
        <v>1.04</v>
      </c>
      <c r="K1372" s="9">
        <v>34.299999999999997</v>
      </c>
      <c r="L1372" s="7">
        <v>29.6</v>
      </c>
      <c r="M1372" s="7">
        <v>72.5</v>
      </c>
      <c r="N1372" s="7">
        <v>2.9</v>
      </c>
      <c r="O1372" s="7">
        <v>163</v>
      </c>
      <c r="P1372" s="7" t="s">
        <v>33</v>
      </c>
      <c r="Q1372" s="7" t="str">
        <f t="shared" si="84"/>
        <v>Moderate</v>
      </c>
      <c r="R1372" s="7" t="str">
        <f t="shared" si="85"/>
        <v>Normal</v>
      </c>
      <c r="S1372" s="7" t="str">
        <f t="shared" si="86"/>
        <v>High Humidity</v>
      </c>
      <c r="T1372" s="7" t="str">
        <f t="shared" si="87"/>
        <v>Moderate Wind</v>
      </c>
    </row>
    <row r="1373" spans="1:20" x14ac:dyDescent="0.25">
      <c r="A1373" s="7" t="s">
        <v>1440</v>
      </c>
      <c r="B1373" s="10">
        <v>45701</v>
      </c>
      <c r="C1373" s="11" t="s">
        <v>50</v>
      </c>
      <c r="D1373" s="11" t="s">
        <v>31</v>
      </c>
      <c r="E1373" s="7" t="s">
        <v>32</v>
      </c>
      <c r="F1373" s="9">
        <v>24.3</v>
      </c>
      <c r="G1373" s="9">
        <v>13.3</v>
      </c>
      <c r="H1373" s="9">
        <v>1.5</v>
      </c>
      <c r="I1373" s="9">
        <v>28.8</v>
      </c>
      <c r="J1373" s="9">
        <v>0.85</v>
      </c>
      <c r="K1373" s="9">
        <v>101.9</v>
      </c>
      <c r="L1373" s="7">
        <v>28.3</v>
      </c>
      <c r="M1373" s="7">
        <v>89</v>
      </c>
      <c r="N1373" s="7">
        <v>1.7</v>
      </c>
      <c r="O1373" s="7">
        <v>136</v>
      </c>
      <c r="P1373" s="7" t="s">
        <v>33</v>
      </c>
      <c r="Q1373" s="7" t="str">
        <f t="shared" si="84"/>
        <v>Good</v>
      </c>
      <c r="R1373" s="7" t="str">
        <f t="shared" si="85"/>
        <v>Normal</v>
      </c>
      <c r="S1373" s="7" t="str">
        <f t="shared" si="86"/>
        <v>High Humidity</v>
      </c>
      <c r="T1373" s="7" t="str">
        <f t="shared" si="87"/>
        <v>Low Wind</v>
      </c>
    </row>
    <row r="1374" spans="1:20" x14ac:dyDescent="0.25">
      <c r="A1374" s="7" t="s">
        <v>1441</v>
      </c>
      <c r="B1374" s="10">
        <v>45818</v>
      </c>
      <c r="C1374" s="11" t="s">
        <v>38</v>
      </c>
      <c r="D1374" s="11" t="s">
        <v>39</v>
      </c>
      <c r="E1374" s="7" t="s">
        <v>19</v>
      </c>
      <c r="F1374" s="9">
        <v>24.5</v>
      </c>
      <c r="G1374" s="9">
        <v>82.6</v>
      </c>
      <c r="H1374" s="9">
        <v>11.8</v>
      </c>
      <c r="I1374" s="9">
        <v>3.2</v>
      </c>
      <c r="J1374" s="9">
        <v>0.11</v>
      </c>
      <c r="K1374" s="9">
        <v>37.200000000000003</v>
      </c>
      <c r="L1374" s="7">
        <v>18.5</v>
      </c>
      <c r="M1374" s="7">
        <v>72.2</v>
      </c>
      <c r="N1374" s="7">
        <v>2.6</v>
      </c>
      <c r="O1374" s="7">
        <v>124</v>
      </c>
      <c r="P1374" s="7" t="s">
        <v>33</v>
      </c>
      <c r="Q1374" s="7" t="str">
        <f t="shared" si="84"/>
        <v>Moderate</v>
      </c>
      <c r="R1374" s="7" t="str">
        <f t="shared" si="85"/>
        <v>Cool</v>
      </c>
      <c r="S1374" s="7" t="str">
        <f t="shared" si="86"/>
        <v>High Humidity</v>
      </c>
      <c r="T1374" s="7" t="str">
        <f t="shared" si="87"/>
        <v>Moderate Wind</v>
      </c>
    </row>
    <row r="1375" spans="1:20" x14ac:dyDescent="0.25">
      <c r="A1375" s="7" t="s">
        <v>1442</v>
      </c>
      <c r="B1375" s="10">
        <v>45836</v>
      </c>
      <c r="C1375" s="11" t="s">
        <v>17</v>
      </c>
      <c r="D1375" s="11" t="s">
        <v>18</v>
      </c>
      <c r="E1375" s="7" t="s">
        <v>61</v>
      </c>
      <c r="F1375" s="9">
        <v>50.9</v>
      </c>
      <c r="G1375" s="9">
        <v>83.4</v>
      </c>
      <c r="H1375" s="9">
        <v>23.9</v>
      </c>
      <c r="I1375" s="9">
        <v>0.5</v>
      </c>
      <c r="J1375" s="9">
        <v>0.25</v>
      </c>
      <c r="K1375" s="9">
        <v>33.5</v>
      </c>
      <c r="L1375" s="7">
        <v>26.2</v>
      </c>
      <c r="M1375" s="7">
        <v>75</v>
      </c>
      <c r="N1375" s="7">
        <v>2.4</v>
      </c>
      <c r="O1375" s="7">
        <v>176</v>
      </c>
      <c r="P1375" s="7" t="s">
        <v>33</v>
      </c>
      <c r="Q1375" s="7" t="str">
        <f t="shared" si="84"/>
        <v>Moderate</v>
      </c>
      <c r="R1375" s="7" t="str">
        <f t="shared" si="85"/>
        <v>Normal</v>
      </c>
      <c r="S1375" s="7" t="str">
        <f t="shared" si="86"/>
        <v>High Humidity</v>
      </c>
      <c r="T1375" s="7" t="str">
        <f t="shared" si="87"/>
        <v>Moderate Wind</v>
      </c>
    </row>
    <row r="1376" spans="1:20" x14ac:dyDescent="0.25">
      <c r="A1376" s="7" t="s">
        <v>1443</v>
      </c>
      <c r="B1376" s="10">
        <v>45940</v>
      </c>
      <c r="C1376" s="11" t="s">
        <v>26</v>
      </c>
      <c r="D1376" s="11" t="s">
        <v>23</v>
      </c>
      <c r="E1376" s="7" t="s">
        <v>97</v>
      </c>
      <c r="F1376" s="9">
        <v>31.6</v>
      </c>
      <c r="G1376" s="9">
        <v>60.8</v>
      </c>
      <c r="H1376" s="9">
        <v>14.6</v>
      </c>
      <c r="I1376" s="9">
        <v>19.899999999999999</v>
      </c>
      <c r="J1376" s="9">
        <v>0.56000000000000005</v>
      </c>
      <c r="K1376" s="9">
        <v>35.299999999999997</v>
      </c>
      <c r="L1376" s="7">
        <v>19.5</v>
      </c>
      <c r="M1376" s="7">
        <v>70</v>
      </c>
      <c r="N1376" s="7">
        <v>2.7</v>
      </c>
      <c r="O1376" s="7">
        <v>146</v>
      </c>
      <c r="P1376" s="7" t="s">
        <v>33</v>
      </c>
      <c r="Q1376" s="7" t="str">
        <f t="shared" si="84"/>
        <v>Moderate</v>
      </c>
      <c r="R1376" s="7" t="str">
        <f t="shared" si="85"/>
        <v>Cool</v>
      </c>
      <c r="S1376" s="7" t="str">
        <f t="shared" si="86"/>
        <v>High Humidity</v>
      </c>
      <c r="T1376" s="7" t="str">
        <f t="shared" si="87"/>
        <v>Moderate Wind</v>
      </c>
    </row>
    <row r="1377" spans="1:20" x14ac:dyDescent="0.25">
      <c r="A1377" s="7" t="s">
        <v>1444</v>
      </c>
      <c r="B1377" s="10">
        <v>45682</v>
      </c>
      <c r="C1377" s="11" t="s">
        <v>38</v>
      </c>
      <c r="D1377" s="11" t="s">
        <v>39</v>
      </c>
      <c r="E1377" s="7" t="s">
        <v>91</v>
      </c>
      <c r="F1377" s="9">
        <v>43.7</v>
      </c>
      <c r="G1377" s="9">
        <v>62.4</v>
      </c>
      <c r="H1377" s="9">
        <v>27.3</v>
      </c>
      <c r="I1377" s="9">
        <v>14.2</v>
      </c>
      <c r="J1377" s="9">
        <v>1.27</v>
      </c>
      <c r="K1377" s="9">
        <v>80.900000000000006</v>
      </c>
      <c r="L1377" s="7">
        <v>19.899999999999999</v>
      </c>
      <c r="M1377" s="7">
        <v>53.8</v>
      </c>
      <c r="N1377" s="7">
        <v>2.5</v>
      </c>
      <c r="O1377" s="7">
        <v>210</v>
      </c>
      <c r="P1377" s="7" t="s">
        <v>28</v>
      </c>
      <c r="Q1377" s="7" t="str">
        <f t="shared" si="84"/>
        <v>Moderate</v>
      </c>
      <c r="R1377" s="7" t="str">
        <f t="shared" si="85"/>
        <v>Cool</v>
      </c>
      <c r="S1377" s="7" t="str">
        <f t="shared" si="86"/>
        <v>Normal Humidity</v>
      </c>
      <c r="T1377" s="7" t="str">
        <f t="shared" si="87"/>
        <v>Moderate Wind</v>
      </c>
    </row>
    <row r="1378" spans="1:20" x14ac:dyDescent="0.25">
      <c r="A1378" s="7" t="s">
        <v>1445</v>
      </c>
      <c r="B1378" s="10">
        <v>46017</v>
      </c>
      <c r="C1378" s="11" t="s">
        <v>30</v>
      </c>
      <c r="D1378" s="11" t="s">
        <v>31</v>
      </c>
      <c r="E1378" s="7" t="s">
        <v>43</v>
      </c>
      <c r="F1378" s="9">
        <v>65.099999999999994</v>
      </c>
      <c r="G1378" s="9">
        <v>95.7</v>
      </c>
      <c r="H1378" s="9">
        <v>28.4</v>
      </c>
      <c r="I1378" s="9">
        <v>16</v>
      </c>
      <c r="J1378" s="9">
        <v>1.44</v>
      </c>
      <c r="K1378" s="9">
        <v>34.4</v>
      </c>
      <c r="L1378" s="7">
        <v>21.9</v>
      </c>
      <c r="M1378" s="7">
        <v>71.5</v>
      </c>
      <c r="N1378" s="7">
        <v>2.4</v>
      </c>
      <c r="O1378" s="7">
        <v>252</v>
      </c>
      <c r="P1378" s="7" t="s">
        <v>28</v>
      </c>
      <c r="Q1378" s="7" t="str">
        <f t="shared" si="84"/>
        <v>Moderate</v>
      </c>
      <c r="R1378" s="7" t="str">
        <f t="shared" si="85"/>
        <v>Normal</v>
      </c>
      <c r="S1378" s="7" t="str">
        <f t="shared" si="86"/>
        <v>High Humidity</v>
      </c>
      <c r="T1378" s="7" t="str">
        <f t="shared" si="87"/>
        <v>Moderate Wind</v>
      </c>
    </row>
    <row r="1379" spans="1:20" x14ac:dyDescent="0.25">
      <c r="A1379" s="7" t="s">
        <v>1446</v>
      </c>
      <c r="B1379" s="10">
        <v>45810</v>
      </c>
      <c r="C1379" s="11" t="s">
        <v>77</v>
      </c>
      <c r="D1379" s="11" t="s">
        <v>39</v>
      </c>
      <c r="E1379" s="7" t="s">
        <v>74</v>
      </c>
      <c r="F1379" s="9">
        <v>54.7</v>
      </c>
      <c r="G1379" s="9">
        <v>66.900000000000006</v>
      </c>
      <c r="H1379" s="9">
        <v>41.1</v>
      </c>
      <c r="I1379" s="9">
        <v>14.7</v>
      </c>
      <c r="J1379" s="9">
        <v>0.26</v>
      </c>
      <c r="K1379" s="9">
        <v>21.1</v>
      </c>
      <c r="L1379" s="7">
        <v>23.2</v>
      </c>
      <c r="M1379" s="7">
        <v>64.5</v>
      </c>
      <c r="N1379" s="7">
        <v>2.8</v>
      </c>
      <c r="O1379" s="7">
        <v>190</v>
      </c>
      <c r="P1379" s="7" t="s">
        <v>33</v>
      </c>
      <c r="Q1379" s="7" t="str">
        <f t="shared" si="84"/>
        <v>Moderate</v>
      </c>
      <c r="R1379" s="7" t="str">
        <f t="shared" si="85"/>
        <v>Normal</v>
      </c>
      <c r="S1379" s="7" t="str">
        <f t="shared" si="86"/>
        <v>High Humidity</v>
      </c>
      <c r="T1379" s="7" t="str">
        <f t="shared" si="87"/>
        <v>Moderate Wind</v>
      </c>
    </row>
    <row r="1380" spans="1:20" x14ac:dyDescent="0.25">
      <c r="A1380" s="7" t="s">
        <v>1447</v>
      </c>
      <c r="B1380" s="10">
        <v>45983</v>
      </c>
      <c r="C1380" s="11" t="s">
        <v>99</v>
      </c>
      <c r="D1380" s="11" t="s">
        <v>36</v>
      </c>
      <c r="E1380" s="7" t="s">
        <v>74</v>
      </c>
      <c r="F1380" s="9">
        <v>22.1</v>
      </c>
      <c r="G1380" s="9">
        <v>58.2</v>
      </c>
      <c r="H1380" s="9">
        <v>25.9</v>
      </c>
      <c r="I1380" s="9">
        <v>9.4</v>
      </c>
      <c r="J1380" s="9">
        <v>1.02</v>
      </c>
      <c r="K1380" s="9">
        <v>37.200000000000003</v>
      </c>
      <c r="L1380" s="7">
        <v>26.6</v>
      </c>
      <c r="M1380" s="7">
        <v>63.6</v>
      </c>
      <c r="N1380" s="7">
        <v>3</v>
      </c>
      <c r="O1380" s="7">
        <v>143</v>
      </c>
      <c r="P1380" s="7" t="s">
        <v>33</v>
      </c>
      <c r="Q1380" s="7" t="str">
        <f t="shared" si="84"/>
        <v>Moderate</v>
      </c>
      <c r="R1380" s="7" t="str">
        <f t="shared" si="85"/>
        <v>Normal</v>
      </c>
      <c r="S1380" s="7" t="str">
        <f t="shared" si="86"/>
        <v>High Humidity</v>
      </c>
      <c r="T1380" s="7" t="str">
        <f t="shared" si="87"/>
        <v>Moderate Wind</v>
      </c>
    </row>
    <row r="1381" spans="1:20" x14ac:dyDescent="0.25">
      <c r="A1381" s="7" t="s">
        <v>1448</v>
      </c>
      <c r="B1381" s="10">
        <v>45717</v>
      </c>
      <c r="C1381" s="11" t="s">
        <v>54</v>
      </c>
      <c r="D1381" s="11" t="s">
        <v>18</v>
      </c>
      <c r="E1381" s="7" t="s">
        <v>55</v>
      </c>
      <c r="F1381" s="9">
        <v>24.2</v>
      </c>
      <c r="G1381" s="9">
        <v>107.8</v>
      </c>
      <c r="H1381" s="9">
        <v>57.8</v>
      </c>
      <c r="I1381" s="9">
        <v>2.6</v>
      </c>
      <c r="J1381" s="9">
        <v>0.93</v>
      </c>
      <c r="K1381" s="9">
        <v>17.7</v>
      </c>
      <c r="L1381" s="7">
        <v>24.7</v>
      </c>
      <c r="M1381" s="7">
        <v>46.1</v>
      </c>
      <c r="N1381" s="7">
        <v>1.8</v>
      </c>
      <c r="O1381" s="7">
        <v>188</v>
      </c>
      <c r="P1381" s="7" t="s">
        <v>33</v>
      </c>
      <c r="Q1381" s="7" t="str">
        <f t="shared" si="84"/>
        <v>Unhealthy</v>
      </c>
      <c r="R1381" s="7" t="str">
        <f t="shared" si="85"/>
        <v>Normal</v>
      </c>
      <c r="S1381" s="7" t="str">
        <f t="shared" si="86"/>
        <v>Normal Humidity</v>
      </c>
      <c r="T1381" s="7" t="str">
        <f t="shared" si="87"/>
        <v>Low Wind</v>
      </c>
    </row>
    <row r="1382" spans="1:20" x14ac:dyDescent="0.25">
      <c r="A1382" s="7" t="s">
        <v>1449</v>
      </c>
      <c r="B1382" s="10">
        <v>45791</v>
      </c>
      <c r="C1382" s="11" t="s">
        <v>42</v>
      </c>
      <c r="D1382" s="11" t="s">
        <v>23</v>
      </c>
      <c r="E1382" s="7" t="s">
        <v>68</v>
      </c>
      <c r="F1382" s="9">
        <v>25</v>
      </c>
      <c r="G1382" s="9">
        <v>90.2</v>
      </c>
      <c r="H1382" s="9">
        <v>26.2</v>
      </c>
      <c r="I1382" s="9">
        <v>2.1</v>
      </c>
      <c r="J1382" s="9">
        <v>1.19</v>
      </c>
      <c r="K1382" s="9">
        <v>31.6</v>
      </c>
      <c r="L1382" s="7">
        <v>24.7</v>
      </c>
      <c r="M1382" s="7">
        <v>70.900000000000006</v>
      </c>
      <c r="N1382" s="7">
        <v>1.4</v>
      </c>
      <c r="O1382" s="7">
        <v>165</v>
      </c>
      <c r="P1382" s="7" t="s">
        <v>33</v>
      </c>
      <c r="Q1382" s="7" t="str">
        <f t="shared" si="84"/>
        <v>Moderate</v>
      </c>
      <c r="R1382" s="7" t="str">
        <f t="shared" si="85"/>
        <v>Normal</v>
      </c>
      <c r="S1382" s="7" t="str">
        <f t="shared" si="86"/>
        <v>High Humidity</v>
      </c>
      <c r="T1382" s="7" t="str">
        <f t="shared" si="87"/>
        <v>Low Wind</v>
      </c>
    </row>
    <row r="1383" spans="1:20" x14ac:dyDescent="0.25">
      <c r="A1383" s="7" t="s">
        <v>1450</v>
      </c>
      <c r="B1383" s="10">
        <v>45674</v>
      </c>
      <c r="C1383" s="11" t="s">
        <v>42</v>
      </c>
      <c r="D1383" s="11" t="s">
        <v>23</v>
      </c>
      <c r="E1383" s="7" t="s">
        <v>61</v>
      </c>
      <c r="F1383" s="9">
        <v>35.5</v>
      </c>
      <c r="G1383" s="9">
        <v>164.1</v>
      </c>
      <c r="H1383" s="9">
        <v>12.2</v>
      </c>
      <c r="I1383" s="9">
        <v>34.1</v>
      </c>
      <c r="J1383" s="9">
        <v>0.91</v>
      </c>
      <c r="K1383" s="9">
        <v>42</v>
      </c>
      <c r="L1383" s="7">
        <v>28.3</v>
      </c>
      <c r="M1383" s="7">
        <v>85.1</v>
      </c>
      <c r="N1383" s="7">
        <v>3.4</v>
      </c>
      <c r="O1383" s="7">
        <v>239</v>
      </c>
      <c r="P1383" s="7" t="s">
        <v>28</v>
      </c>
      <c r="Q1383" s="7" t="str">
        <f t="shared" si="84"/>
        <v>VeryUnhealthy</v>
      </c>
      <c r="R1383" s="7" t="str">
        <f t="shared" si="85"/>
        <v>Normal</v>
      </c>
      <c r="S1383" s="7" t="str">
        <f t="shared" si="86"/>
        <v>High Humidity</v>
      </c>
      <c r="T1383" s="7" t="str">
        <f t="shared" si="87"/>
        <v>Moderate Wind</v>
      </c>
    </row>
    <row r="1384" spans="1:20" x14ac:dyDescent="0.25">
      <c r="A1384" s="7" t="s">
        <v>1451</v>
      </c>
      <c r="B1384" s="10">
        <v>45825</v>
      </c>
      <c r="C1384" s="11" t="s">
        <v>38</v>
      </c>
      <c r="D1384" s="11" t="s">
        <v>39</v>
      </c>
      <c r="E1384" s="7" t="s">
        <v>43</v>
      </c>
      <c r="F1384" s="9">
        <v>53.2</v>
      </c>
      <c r="G1384" s="9">
        <v>118.8</v>
      </c>
      <c r="H1384" s="9">
        <v>13.5</v>
      </c>
      <c r="I1384" s="9">
        <v>16.399999999999999</v>
      </c>
      <c r="J1384" s="9">
        <v>0.52</v>
      </c>
      <c r="K1384" s="9">
        <v>73</v>
      </c>
      <c r="L1384" s="7">
        <v>28.4</v>
      </c>
      <c r="M1384" s="7">
        <v>60</v>
      </c>
      <c r="N1384" s="7">
        <v>1.2</v>
      </c>
      <c r="O1384" s="7">
        <v>230</v>
      </c>
      <c r="P1384" s="7" t="s">
        <v>28</v>
      </c>
      <c r="Q1384" s="7" t="str">
        <f t="shared" si="84"/>
        <v>Unhealthy</v>
      </c>
      <c r="R1384" s="7" t="str">
        <f t="shared" si="85"/>
        <v>Normal</v>
      </c>
      <c r="S1384" s="7" t="str">
        <f t="shared" si="86"/>
        <v>Normal Humidity</v>
      </c>
      <c r="T1384" s="7" t="str">
        <f t="shared" si="87"/>
        <v>Low Wind</v>
      </c>
    </row>
    <row r="1385" spans="1:20" x14ac:dyDescent="0.25">
      <c r="A1385" s="7" t="s">
        <v>1452</v>
      </c>
      <c r="B1385" s="10">
        <v>45697</v>
      </c>
      <c r="C1385" s="11" t="s">
        <v>77</v>
      </c>
      <c r="D1385" s="11" t="s">
        <v>39</v>
      </c>
      <c r="E1385" s="7" t="s">
        <v>70</v>
      </c>
      <c r="F1385" s="9">
        <v>38.299999999999997</v>
      </c>
      <c r="G1385" s="9">
        <v>56.7</v>
      </c>
      <c r="H1385" s="9">
        <v>16.100000000000001</v>
      </c>
      <c r="I1385" s="9">
        <v>3.5</v>
      </c>
      <c r="J1385" s="9">
        <v>0.49</v>
      </c>
      <c r="K1385" s="9">
        <v>51.7</v>
      </c>
      <c r="L1385" s="7">
        <v>29.4</v>
      </c>
      <c r="M1385" s="7">
        <v>71.599999999999994</v>
      </c>
      <c r="N1385" s="7">
        <v>2.8</v>
      </c>
      <c r="O1385" s="7">
        <v>149</v>
      </c>
      <c r="P1385" s="7" t="s">
        <v>33</v>
      </c>
      <c r="Q1385" s="7" t="str">
        <f t="shared" si="84"/>
        <v>Moderate</v>
      </c>
      <c r="R1385" s="7" t="str">
        <f t="shared" si="85"/>
        <v>Normal</v>
      </c>
      <c r="S1385" s="7" t="str">
        <f t="shared" si="86"/>
        <v>High Humidity</v>
      </c>
      <c r="T1385" s="7" t="str">
        <f t="shared" si="87"/>
        <v>Moderate Wind</v>
      </c>
    </row>
    <row r="1386" spans="1:20" x14ac:dyDescent="0.25">
      <c r="A1386" s="7" t="s">
        <v>1453</v>
      </c>
      <c r="B1386" s="10">
        <v>45817</v>
      </c>
      <c r="C1386" s="11" t="s">
        <v>99</v>
      </c>
      <c r="D1386" s="11" t="s">
        <v>36</v>
      </c>
      <c r="E1386" s="7" t="s">
        <v>97</v>
      </c>
      <c r="F1386" s="9">
        <v>129.80000000000001</v>
      </c>
      <c r="G1386" s="9">
        <v>53.6</v>
      </c>
      <c r="H1386" s="9">
        <v>61</v>
      </c>
      <c r="I1386" s="9">
        <v>4.2</v>
      </c>
      <c r="J1386" s="9">
        <v>0.44</v>
      </c>
      <c r="K1386" s="9">
        <v>36.700000000000003</v>
      </c>
      <c r="L1386" s="7">
        <v>23</v>
      </c>
      <c r="M1386" s="7">
        <v>62.8</v>
      </c>
      <c r="N1386" s="7">
        <v>2</v>
      </c>
      <c r="O1386" s="7">
        <v>322</v>
      </c>
      <c r="P1386" s="7" t="s">
        <v>20</v>
      </c>
      <c r="Q1386" s="7" t="str">
        <f t="shared" si="84"/>
        <v>Moderate</v>
      </c>
      <c r="R1386" s="7" t="str">
        <f t="shared" si="85"/>
        <v>Normal</v>
      </c>
      <c r="S1386" s="7" t="str">
        <f t="shared" si="86"/>
        <v>High Humidity</v>
      </c>
      <c r="T1386" s="7" t="str">
        <f t="shared" si="87"/>
        <v>Moderate Wind</v>
      </c>
    </row>
    <row r="1387" spans="1:20" x14ac:dyDescent="0.25">
      <c r="A1387" s="7" t="s">
        <v>1454</v>
      </c>
      <c r="B1387" s="10">
        <v>45690</v>
      </c>
      <c r="C1387" s="11" t="s">
        <v>50</v>
      </c>
      <c r="D1387" s="11" t="s">
        <v>31</v>
      </c>
      <c r="E1387" s="7" t="s">
        <v>70</v>
      </c>
      <c r="F1387" s="9">
        <v>51.4</v>
      </c>
      <c r="G1387" s="9">
        <v>103.3</v>
      </c>
      <c r="H1387" s="9">
        <v>12.5</v>
      </c>
      <c r="I1387" s="9">
        <v>11.6</v>
      </c>
      <c r="J1387" s="9">
        <v>0.38</v>
      </c>
      <c r="K1387" s="9">
        <v>35.799999999999997</v>
      </c>
      <c r="L1387" s="7">
        <v>14</v>
      </c>
      <c r="M1387" s="7">
        <v>59</v>
      </c>
      <c r="N1387" s="7">
        <v>3.2</v>
      </c>
      <c r="O1387" s="7">
        <v>193</v>
      </c>
      <c r="P1387" s="7" t="s">
        <v>33</v>
      </c>
      <c r="Q1387" s="7" t="str">
        <f t="shared" si="84"/>
        <v>Unhealthy</v>
      </c>
      <c r="R1387" s="7" t="str">
        <f t="shared" si="85"/>
        <v>Cool</v>
      </c>
      <c r="S1387" s="7" t="str">
        <f t="shared" si="86"/>
        <v>Normal Humidity</v>
      </c>
      <c r="T1387" s="7" t="str">
        <f t="shared" si="87"/>
        <v>Moderate Wind</v>
      </c>
    </row>
    <row r="1388" spans="1:20" x14ac:dyDescent="0.25">
      <c r="A1388" s="7" t="s">
        <v>1455</v>
      </c>
      <c r="B1388" s="10">
        <v>45820</v>
      </c>
      <c r="C1388" s="11" t="s">
        <v>30</v>
      </c>
      <c r="D1388" s="11" t="s">
        <v>31</v>
      </c>
      <c r="E1388" s="7" t="s">
        <v>70</v>
      </c>
      <c r="F1388" s="9">
        <v>32.1</v>
      </c>
      <c r="G1388" s="9">
        <v>155.6</v>
      </c>
      <c r="H1388" s="9">
        <v>17.399999999999999</v>
      </c>
      <c r="I1388" s="9">
        <v>4.5999999999999996</v>
      </c>
      <c r="J1388" s="9">
        <v>0.51</v>
      </c>
      <c r="K1388" s="9">
        <v>54.9</v>
      </c>
      <c r="L1388" s="7">
        <v>15.8</v>
      </c>
      <c r="M1388" s="7">
        <v>22.8</v>
      </c>
      <c r="N1388" s="7">
        <v>2.8</v>
      </c>
      <c r="O1388" s="7">
        <v>207</v>
      </c>
      <c r="P1388" s="7" t="s">
        <v>28</v>
      </c>
      <c r="Q1388" s="7" t="str">
        <f t="shared" si="84"/>
        <v>VeryUnhealthy</v>
      </c>
      <c r="R1388" s="7" t="str">
        <f t="shared" si="85"/>
        <v>Cool</v>
      </c>
      <c r="S1388" s="7" t="str">
        <f t="shared" si="86"/>
        <v>Low Humidity</v>
      </c>
      <c r="T1388" s="7" t="str">
        <f t="shared" si="87"/>
        <v>Moderate Wind</v>
      </c>
    </row>
    <row r="1389" spans="1:20" x14ac:dyDescent="0.25">
      <c r="A1389" s="7" t="s">
        <v>1456</v>
      </c>
      <c r="B1389" s="10">
        <v>45986</v>
      </c>
      <c r="C1389" s="11" t="s">
        <v>99</v>
      </c>
      <c r="D1389" s="11" t="s">
        <v>36</v>
      </c>
      <c r="E1389" s="7" t="s">
        <v>97</v>
      </c>
      <c r="F1389" s="9">
        <v>30.9</v>
      </c>
      <c r="G1389" s="9">
        <v>125.7</v>
      </c>
      <c r="H1389" s="9">
        <v>29.9</v>
      </c>
      <c r="I1389" s="9">
        <v>5.0999999999999996</v>
      </c>
      <c r="J1389" s="9">
        <v>0.82</v>
      </c>
      <c r="K1389" s="9">
        <v>71.400000000000006</v>
      </c>
      <c r="L1389" s="7">
        <v>26.3</v>
      </c>
      <c r="M1389" s="7">
        <v>53.3</v>
      </c>
      <c r="N1389" s="7">
        <v>2</v>
      </c>
      <c r="O1389" s="7">
        <v>211</v>
      </c>
      <c r="P1389" s="7" t="s">
        <v>28</v>
      </c>
      <c r="Q1389" s="7" t="str">
        <f t="shared" si="84"/>
        <v>Unhealthy</v>
      </c>
      <c r="R1389" s="7" t="str">
        <f t="shared" si="85"/>
        <v>Normal</v>
      </c>
      <c r="S1389" s="7" t="str">
        <f t="shared" si="86"/>
        <v>Normal Humidity</v>
      </c>
      <c r="T1389" s="7" t="str">
        <f t="shared" si="87"/>
        <v>Moderate Wind</v>
      </c>
    </row>
    <row r="1390" spans="1:20" x14ac:dyDescent="0.25">
      <c r="A1390" s="7" t="s">
        <v>1457</v>
      </c>
      <c r="B1390" s="10">
        <v>45665</v>
      </c>
      <c r="C1390" s="11" t="s">
        <v>64</v>
      </c>
      <c r="D1390" s="11" t="s">
        <v>36</v>
      </c>
      <c r="E1390" s="7" t="s">
        <v>24</v>
      </c>
      <c r="F1390" s="9">
        <v>55.7</v>
      </c>
      <c r="G1390" s="9">
        <v>81.7</v>
      </c>
      <c r="H1390" s="9">
        <v>22.1</v>
      </c>
      <c r="I1390" s="9">
        <v>16.399999999999999</v>
      </c>
      <c r="J1390" s="9">
        <v>1.2</v>
      </c>
      <c r="K1390" s="9">
        <v>28.9</v>
      </c>
      <c r="L1390" s="7">
        <v>20.2</v>
      </c>
      <c r="M1390" s="7">
        <v>68.7</v>
      </c>
      <c r="N1390" s="7">
        <v>2</v>
      </c>
      <c r="O1390" s="7">
        <v>214</v>
      </c>
      <c r="P1390" s="7" t="s">
        <v>28</v>
      </c>
      <c r="Q1390" s="7" t="str">
        <f t="shared" si="84"/>
        <v>Moderate</v>
      </c>
      <c r="R1390" s="7" t="str">
        <f t="shared" si="85"/>
        <v>Normal</v>
      </c>
      <c r="S1390" s="7" t="str">
        <f t="shared" si="86"/>
        <v>High Humidity</v>
      </c>
      <c r="T1390" s="7" t="str">
        <f t="shared" si="87"/>
        <v>Moderate Wind</v>
      </c>
    </row>
    <row r="1391" spans="1:20" x14ac:dyDescent="0.25">
      <c r="A1391" s="7" t="s">
        <v>1458</v>
      </c>
      <c r="B1391" s="10">
        <v>45898</v>
      </c>
      <c r="C1391" s="11" t="s">
        <v>52</v>
      </c>
      <c r="D1391" s="11" t="s">
        <v>31</v>
      </c>
      <c r="E1391" s="7" t="s">
        <v>40</v>
      </c>
      <c r="F1391" s="9">
        <v>17.8</v>
      </c>
      <c r="G1391" s="9">
        <v>86.1</v>
      </c>
      <c r="H1391" s="9">
        <v>40.9</v>
      </c>
      <c r="I1391" s="9">
        <v>17.5</v>
      </c>
      <c r="J1391" s="9">
        <v>2.17</v>
      </c>
      <c r="K1391" s="9">
        <v>31.3</v>
      </c>
      <c r="L1391" s="7">
        <v>26.3</v>
      </c>
      <c r="M1391" s="7">
        <v>67.099999999999994</v>
      </c>
      <c r="N1391" s="7">
        <v>0.7</v>
      </c>
      <c r="O1391" s="7">
        <v>198</v>
      </c>
      <c r="P1391" s="7" t="s">
        <v>33</v>
      </c>
      <c r="Q1391" s="7" t="str">
        <f t="shared" si="84"/>
        <v>Moderate</v>
      </c>
      <c r="R1391" s="7" t="str">
        <f t="shared" si="85"/>
        <v>Normal</v>
      </c>
      <c r="S1391" s="7" t="str">
        <f t="shared" si="86"/>
        <v>High Humidity</v>
      </c>
      <c r="T1391" s="7" t="str">
        <f t="shared" si="87"/>
        <v>Low Wind</v>
      </c>
    </row>
    <row r="1392" spans="1:20" x14ac:dyDescent="0.25">
      <c r="A1392" s="7" t="s">
        <v>1459</v>
      </c>
      <c r="B1392" s="10">
        <v>45858</v>
      </c>
      <c r="C1392" s="11" t="s">
        <v>38</v>
      </c>
      <c r="D1392" s="11" t="s">
        <v>39</v>
      </c>
      <c r="E1392" s="7" t="s">
        <v>74</v>
      </c>
      <c r="F1392" s="9">
        <v>96.2</v>
      </c>
      <c r="G1392" s="9">
        <v>63</v>
      </c>
      <c r="H1392" s="9">
        <v>13.6</v>
      </c>
      <c r="I1392" s="9">
        <v>30.6</v>
      </c>
      <c r="J1392" s="9">
        <v>1.43</v>
      </c>
      <c r="K1392" s="9">
        <v>37.700000000000003</v>
      </c>
      <c r="L1392" s="7">
        <v>34</v>
      </c>
      <c r="M1392" s="7">
        <v>66.099999999999994</v>
      </c>
      <c r="N1392" s="7">
        <v>4</v>
      </c>
      <c r="O1392" s="7">
        <v>280</v>
      </c>
      <c r="P1392" s="7" t="s">
        <v>28</v>
      </c>
      <c r="Q1392" s="7" t="str">
        <f t="shared" si="84"/>
        <v>Moderate</v>
      </c>
      <c r="R1392" s="7" t="str">
        <f t="shared" si="85"/>
        <v>Hot</v>
      </c>
      <c r="S1392" s="7" t="str">
        <f t="shared" si="86"/>
        <v>High Humidity</v>
      </c>
      <c r="T1392" s="7" t="str">
        <f t="shared" si="87"/>
        <v>Moderate Wind</v>
      </c>
    </row>
    <row r="1393" spans="1:20" x14ac:dyDescent="0.25">
      <c r="A1393" s="7" t="s">
        <v>1460</v>
      </c>
      <c r="B1393" s="10">
        <v>45891</v>
      </c>
      <c r="C1393" s="11" t="s">
        <v>17</v>
      </c>
      <c r="D1393" s="11" t="s">
        <v>18</v>
      </c>
      <c r="E1393" s="7" t="s">
        <v>45</v>
      </c>
      <c r="F1393" s="9">
        <v>74.5</v>
      </c>
      <c r="G1393" s="9">
        <v>120.8</v>
      </c>
      <c r="H1393" s="9">
        <v>25.1</v>
      </c>
      <c r="I1393" s="9">
        <v>12.3</v>
      </c>
      <c r="J1393" s="9">
        <v>1</v>
      </c>
      <c r="K1393" s="9">
        <v>31.7</v>
      </c>
      <c r="L1393" s="7">
        <v>27.2</v>
      </c>
      <c r="M1393" s="7">
        <v>54.4</v>
      </c>
      <c r="N1393" s="7">
        <v>2.9</v>
      </c>
      <c r="O1393" s="7">
        <v>266</v>
      </c>
      <c r="P1393" s="7" t="s">
        <v>28</v>
      </c>
      <c r="Q1393" s="7" t="str">
        <f t="shared" si="84"/>
        <v>Unhealthy</v>
      </c>
      <c r="R1393" s="7" t="str">
        <f t="shared" si="85"/>
        <v>Normal</v>
      </c>
      <c r="S1393" s="7" t="str">
        <f t="shared" si="86"/>
        <v>Normal Humidity</v>
      </c>
      <c r="T1393" s="7" t="str">
        <f t="shared" si="87"/>
        <v>Moderate Wind</v>
      </c>
    </row>
    <row r="1394" spans="1:20" x14ac:dyDescent="0.25">
      <c r="A1394" s="7" t="s">
        <v>1461</v>
      </c>
      <c r="B1394" s="10">
        <v>45705</v>
      </c>
      <c r="C1394" s="11" t="s">
        <v>93</v>
      </c>
      <c r="D1394" s="11" t="s">
        <v>36</v>
      </c>
      <c r="E1394" s="7" t="s">
        <v>70</v>
      </c>
      <c r="F1394" s="9">
        <v>47</v>
      </c>
      <c r="G1394" s="9">
        <v>150.5</v>
      </c>
      <c r="H1394" s="9">
        <v>20.8</v>
      </c>
      <c r="I1394" s="9">
        <v>3.8</v>
      </c>
      <c r="J1394" s="9">
        <v>0.13</v>
      </c>
      <c r="K1394" s="9">
        <v>14.6</v>
      </c>
      <c r="L1394" s="7">
        <v>18.899999999999999</v>
      </c>
      <c r="M1394" s="7">
        <v>59.6</v>
      </c>
      <c r="N1394" s="7">
        <v>1.3</v>
      </c>
      <c r="O1394" s="7">
        <v>202</v>
      </c>
      <c r="P1394" s="7" t="s">
        <v>28</v>
      </c>
      <c r="Q1394" s="7" t="str">
        <f t="shared" si="84"/>
        <v>VeryUnhealthy</v>
      </c>
      <c r="R1394" s="7" t="str">
        <f t="shared" si="85"/>
        <v>Cool</v>
      </c>
      <c r="S1394" s="7" t="str">
        <f t="shared" si="86"/>
        <v>Normal Humidity</v>
      </c>
      <c r="T1394" s="7" t="str">
        <f t="shared" si="87"/>
        <v>Low Wind</v>
      </c>
    </row>
    <row r="1395" spans="1:20" x14ac:dyDescent="0.25">
      <c r="A1395" s="7" t="s">
        <v>1462</v>
      </c>
      <c r="B1395" s="10">
        <v>46015</v>
      </c>
      <c r="C1395" s="11" t="s">
        <v>50</v>
      </c>
      <c r="D1395" s="11" t="s">
        <v>31</v>
      </c>
      <c r="E1395" s="7" t="s">
        <v>19</v>
      </c>
      <c r="F1395" s="9">
        <v>29.6</v>
      </c>
      <c r="G1395" s="9">
        <v>130.5</v>
      </c>
      <c r="H1395" s="9">
        <v>17.8</v>
      </c>
      <c r="I1395" s="9">
        <v>14.4</v>
      </c>
      <c r="J1395" s="9">
        <v>0.05</v>
      </c>
      <c r="K1395" s="9">
        <v>48.2</v>
      </c>
      <c r="L1395" s="7">
        <v>23.2</v>
      </c>
      <c r="M1395" s="7">
        <v>67.5</v>
      </c>
      <c r="N1395" s="7">
        <v>3.4</v>
      </c>
      <c r="O1395" s="7">
        <v>179</v>
      </c>
      <c r="P1395" s="7" t="s">
        <v>33</v>
      </c>
      <c r="Q1395" s="7" t="str">
        <f t="shared" si="84"/>
        <v>Unhealthy</v>
      </c>
      <c r="R1395" s="7" t="str">
        <f t="shared" si="85"/>
        <v>Normal</v>
      </c>
      <c r="S1395" s="7" t="str">
        <f t="shared" si="86"/>
        <v>High Humidity</v>
      </c>
      <c r="T1395" s="7" t="str">
        <f t="shared" si="87"/>
        <v>Moderate Wind</v>
      </c>
    </row>
    <row r="1396" spans="1:20" x14ac:dyDescent="0.25">
      <c r="A1396" s="7" t="s">
        <v>1463</v>
      </c>
      <c r="B1396" s="10">
        <v>45920</v>
      </c>
      <c r="C1396" s="11" t="s">
        <v>52</v>
      </c>
      <c r="D1396" s="11" t="s">
        <v>31</v>
      </c>
      <c r="E1396" s="7" t="s">
        <v>43</v>
      </c>
      <c r="F1396" s="9">
        <v>79.2</v>
      </c>
      <c r="G1396" s="9">
        <v>62.1</v>
      </c>
      <c r="H1396" s="9">
        <v>9.3000000000000007</v>
      </c>
      <c r="I1396" s="9">
        <v>9.5</v>
      </c>
      <c r="J1396" s="9">
        <v>0.81</v>
      </c>
      <c r="K1396" s="9">
        <v>32.299999999999997</v>
      </c>
      <c r="L1396" s="7">
        <v>23.6</v>
      </c>
      <c r="M1396" s="7">
        <v>93.4</v>
      </c>
      <c r="N1396" s="7">
        <v>2.7</v>
      </c>
      <c r="O1396" s="7">
        <v>216</v>
      </c>
      <c r="P1396" s="7" t="s">
        <v>28</v>
      </c>
      <c r="Q1396" s="7" t="str">
        <f t="shared" si="84"/>
        <v>Moderate</v>
      </c>
      <c r="R1396" s="7" t="str">
        <f t="shared" si="85"/>
        <v>Normal</v>
      </c>
      <c r="S1396" s="7" t="str">
        <f t="shared" si="86"/>
        <v>High Humidity</v>
      </c>
      <c r="T1396" s="7" t="str">
        <f t="shared" si="87"/>
        <v>Moderate Wind</v>
      </c>
    </row>
    <row r="1397" spans="1:20" x14ac:dyDescent="0.25">
      <c r="A1397" s="7" t="s">
        <v>1464</v>
      </c>
      <c r="B1397" s="10">
        <v>45861</v>
      </c>
      <c r="C1397" s="11" t="s">
        <v>81</v>
      </c>
      <c r="D1397" s="11" t="s">
        <v>39</v>
      </c>
      <c r="E1397" s="7" t="s">
        <v>55</v>
      </c>
      <c r="F1397" s="9">
        <v>40.5</v>
      </c>
      <c r="G1397" s="9">
        <v>73.599999999999994</v>
      </c>
      <c r="H1397" s="9">
        <v>47.2</v>
      </c>
      <c r="I1397" s="9">
        <v>5.2</v>
      </c>
      <c r="J1397" s="9">
        <v>1.06</v>
      </c>
      <c r="K1397" s="9">
        <v>15.2</v>
      </c>
      <c r="L1397" s="7">
        <v>25.5</v>
      </c>
      <c r="M1397" s="7">
        <v>56.3</v>
      </c>
      <c r="N1397" s="7">
        <v>2.9</v>
      </c>
      <c r="O1397" s="7">
        <v>187</v>
      </c>
      <c r="P1397" s="7" t="s">
        <v>33</v>
      </c>
      <c r="Q1397" s="7" t="str">
        <f t="shared" si="84"/>
        <v>Moderate</v>
      </c>
      <c r="R1397" s="7" t="str">
        <f t="shared" si="85"/>
        <v>Normal</v>
      </c>
      <c r="S1397" s="7" t="str">
        <f t="shared" si="86"/>
        <v>Normal Humidity</v>
      </c>
      <c r="T1397" s="7" t="str">
        <f t="shared" si="87"/>
        <v>Moderate Wind</v>
      </c>
    </row>
    <row r="1398" spans="1:20" x14ac:dyDescent="0.25">
      <c r="A1398" s="7" t="s">
        <v>1465</v>
      </c>
      <c r="B1398" s="10">
        <v>45716</v>
      </c>
      <c r="C1398" s="11" t="s">
        <v>67</v>
      </c>
      <c r="D1398" s="11" t="s">
        <v>18</v>
      </c>
      <c r="E1398" s="7" t="s">
        <v>91</v>
      </c>
      <c r="F1398" s="9">
        <v>51.8</v>
      </c>
      <c r="G1398" s="9">
        <v>114.1</v>
      </c>
      <c r="H1398" s="9">
        <v>16.8</v>
      </c>
      <c r="I1398" s="9">
        <v>10.4</v>
      </c>
      <c r="J1398" s="9">
        <v>0.28000000000000003</v>
      </c>
      <c r="K1398" s="9">
        <v>25.5</v>
      </c>
      <c r="L1398" s="7">
        <v>14.2</v>
      </c>
      <c r="M1398" s="7">
        <v>49.9</v>
      </c>
      <c r="N1398" s="7">
        <v>3.5</v>
      </c>
      <c r="O1398" s="7">
        <v>196</v>
      </c>
      <c r="P1398" s="7" t="s">
        <v>33</v>
      </c>
      <c r="Q1398" s="7" t="str">
        <f t="shared" si="84"/>
        <v>Unhealthy</v>
      </c>
      <c r="R1398" s="7" t="str">
        <f t="shared" si="85"/>
        <v>Cool</v>
      </c>
      <c r="S1398" s="7" t="str">
        <f t="shared" si="86"/>
        <v>Normal Humidity</v>
      </c>
      <c r="T1398" s="7" t="str">
        <f t="shared" si="87"/>
        <v>Moderate Wind</v>
      </c>
    </row>
    <row r="1399" spans="1:20" x14ac:dyDescent="0.25">
      <c r="A1399" s="7" t="s">
        <v>1466</v>
      </c>
      <c r="B1399" s="10">
        <v>45998</v>
      </c>
      <c r="C1399" s="11" t="s">
        <v>52</v>
      </c>
      <c r="D1399" s="11" t="s">
        <v>31</v>
      </c>
      <c r="E1399" s="7" t="s">
        <v>45</v>
      </c>
      <c r="F1399" s="9">
        <v>69.900000000000006</v>
      </c>
      <c r="G1399" s="9">
        <v>74.3</v>
      </c>
      <c r="H1399" s="9">
        <v>13</v>
      </c>
      <c r="I1399" s="9">
        <v>10.4</v>
      </c>
      <c r="J1399" s="9">
        <v>1.56</v>
      </c>
      <c r="K1399" s="9">
        <v>31.6</v>
      </c>
      <c r="L1399" s="7">
        <v>28.7</v>
      </c>
      <c r="M1399" s="7">
        <v>53.3</v>
      </c>
      <c r="N1399" s="7">
        <v>4.8</v>
      </c>
      <c r="O1399" s="7">
        <v>231</v>
      </c>
      <c r="P1399" s="7" t="s">
        <v>28</v>
      </c>
      <c r="Q1399" s="7" t="str">
        <f t="shared" si="84"/>
        <v>Moderate</v>
      </c>
      <c r="R1399" s="7" t="str">
        <f t="shared" si="85"/>
        <v>Normal</v>
      </c>
      <c r="S1399" s="7" t="str">
        <f t="shared" si="86"/>
        <v>Normal Humidity</v>
      </c>
      <c r="T1399" s="7" t="str">
        <f t="shared" si="87"/>
        <v>Moderate Wind</v>
      </c>
    </row>
    <row r="1400" spans="1:20" x14ac:dyDescent="0.25">
      <c r="A1400" s="7" t="s">
        <v>1467</v>
      </c>
      <c r="B1400" s="10">
        <v>45739</v>
      </c>
      <c r="C1400" s="11" t="s">
        <v>54</v>
      </c>
      <c r="D1400" s="11" t="s">
        <v>18</v>
      </c>
      <c r="E1400" s="7" t="s">
        <v>40</v>
      </c>
      <c r="F1400" s="9">
        <v>191.8</v>
      </c>
      <c r="G1400" s="9">
        <v>97.9</v>
      </c>
      <c r="H1400" s="9">
        <v>18.8</v>
      </c>
      <c r="I1400" s="9">
        <v>16.600000000000001</v>
      </c>
      <c r="J1400" s="9">
        <v>0.61</v>
      </c>
      <c r="K1400" s="9">
        <v>10.3</v>
      </c>
      <c r="L1400" s="7">
        <v>18.7</v>
      </c>
      <c r="M1400" s="7">
        <v>59.4</v>
      </c>
      <c r="N1400" s="7">
        <v>2.1</v>
      </c>
      <c r="O1400" s="7">
        <v>417</v>
      </c>
      <c r="P1400" s="7" t="s">
        <v>20</v>
      </c>
      <c r="Q1400" s="7" t="str">
        <f t="shared" si="84"/>
        <v>Moderate</v>
      </c>
      <c r="R1400" s="7" t="str">
        <f t="shared" si="85"/>
        <v>Cool</v>
      </c>
      <c r="S1400" s="7" t="str">
        <f t="shared" si="86"/>
        <v>Normal Humidity</v>
      </c>
      <c r="T1400" s="7" t="str">
        <f t="shared" si="87"/>
        <v>Moderate Wind</v>
      </c>
    </row>
    <row r="1401" spans="1:20" x14ac:dyDescent="0.25">
      <c r="A1401" s="7" t="s">
        <v>1468</v>
      </c>
      <c r="B1401" s="10">
        <v>45896</v>
      </c>
      <c r="C1401" s="11" t="s">
        <v>52</v>
      </c>
      <c r="D1401" s="11" t="s">
        <v>31</v>
      </c>
      <c r="E1401" s="7" t="s">
        <v>91</v>
      </c>
      <c r="F1401" s="9">
        <v>122</v>
      </c>
      <c r="G1401" s="9">
        <v>153.69999999999999</v>
      </c>
      <c r="H1401" s="9">
        <v>5.3</v>
      </c>
      <c r="I1401" s="9">
        <v>18.5</v>
      </c>
      <c r="J1401" s="9">
        <v>1.1100000000000001</v>
      </c>
      <c r="K1401" s="9">
        <v>36.799999999999997</v>
      </c>
      <c r="L1401" s="7">
        <v>26.1</v>
      </c>
      <c r="M1401" s="7">
        <v>65.8</v>
      </c>
      <c r="N1401" s="7">
        <v>1.9</v>
      </c>
      <c r="O1401" s="7">
        <v>357</v>
      </c>
      <c r="P1401" s="7" t="s">
        <v>20</v>
      </c>
      <c r="Q1401" s="7" t="str">
        <f t="shared" si="84"/>
        <v>VeryUnhealthy</v>
      </c>
      <c r="R1401" s="7" t="str">
        <f t="shared" si="85"/>
        <v>Normal</v>
      </c>
      <c r="S1401" s="7" t="str">
        <f t="shared" si="86"/>
        <v>High Humidity</v>
      </c>
      <c r="T1401" s="7" t="str">
        <f t="shared" si="87"/>
        <v>Low Wind</v>
      </c>
    </row>
    <row r="1402" spans="1:20" x14ac:dyDescent="0.25">
      <c r="A1402" s="7" t="s">
        <v>1469</v>
      </c>
      <c r="B1402" s="10">
        <v>45726</v>
      </c>
      <c r="C1402" s="11" t="s">
        <v>64</v>
      </c>
      <c r="D1402" s="11" t="s">
        <v>36</v>
      </c>
      <c r="E1402" s="7" t="s">
        <v>27</v>
      </c>
      <c r="F1402" s="9">
        <v>15.3</v>
      </c>
      <c r="G1402" s="9">
        <v>51.9</v>
      </c>
      <c r="H1402" s="9">
        <v>11.9</v>
      </c>
      <c r="I1402" s="9">
        <v>16.100000000000001</v>
      </c>
      <c r="J1402" s="9">
        <v>0.49</v>
      </c>
      <c r="K1402" s="9">
        <v>19.7</v>
      </c>
      <c r="L1402" s="7">
        <v>25.6</v>
      </c>
      <c r="M1402" s="7">
        <v>55.5</v>
      </c>
      <c r="N1402" s="7">
        <v>1.2</v>
      </c>
      <c r="O1402" s="7">
        <v>100</v>
      </c>
      <c r="P1402" s="7" t="s">
        <v>71</v>
      </c>
      <c r="Q1402" s="7" t="str">
        <f t="shared" si="84"/>
        <v>Moderate</v>
      </c>
      <c r="R1402" s="7" t="str">
        <f t="shared" si="85"/>
        <v>Normal</v>
      </c>
      <c r="S1402" s="7" t="str">
        <f t="shared" si="86"/>
        <v>Normal Humidity</v>
      </c>
      <c r="T1402" s="7" t="str">
        <f t="shared" si="87"/>
        <v>Low Wind</v>
      </c>
    </row>
    <row r="1403" spans="1:20" x14ac:dyDescent="0.25">
      <c r="A1403" s="7" t="s">
        <v>1470</v>
      </c>
      <c r="B1403" s="10">
        <v>45821</v>
      </c>
      <c r="C1403" s="11" t="s">
        <v>99</v>
      </c>
      <c r="D1403" s="11" t="s">
        <v>36</v>
      </c>
      <c r="E1403" s="7" t="s">
        <v>19</v>
      </c>
      <c r="F1403" s="9">
        <v>15.2</v>
      </c>
      <c r="G1403" s="9">
        <v>26.5</v>
      </c>
      <c r="H1403" s="9">
        <v>41.1</v>
      </c>
      <c r="I1403" s="9">
        <v>8.5</v>
      </c>
      <c r="J1403" s="9">
        <v>1.24</v>
      </c>
      <c r="K1403" s="9">
        <v>40.1</v>
      </c>
      <c r="L1403" s="7">
        <v>25.7</v>
      </c>
      <c r="M1403" s="7">
        <v>78.099999999999994</v>
      </c>
      <c r="N1403" s="7">
        <v>4.2</v>
      </c>
      <c r="O1403" s="7">
        <v>129</v>
      </c>
      <c r="P1403" s="7" t="s">
        <v>33</v>
      </c>
      <c r="Q1403" s="7" t="str">
        <f t="shared" si="84"/>
        <v>Good</v>
      </c>
      <c r="R1403" s="7" t="str">
        <f t="shared" si="85"/>
        <v>Normal</v>
      </c>
      <c r="S1403" s="7" t="str">
        <f t="shared" si="86"/>
        <v>High Humidity</v>
      </c>
      <c r="T1403" s="7" t="str">
        <f t="shared" si="87"/>
        <v>Moderate Wind</v>
      </c>
    </row>
    <row r="1404" spans="1:20" x14ac:dyDescent="0.25">
      <c r="A1404" s="7" t="s">
        <v>1471</v>
      </c>
      <c r="B1404" s="10">
        <v>45667</v>
      </c>
      <c r="C1404" s="11" t="s">
        <v>54</v>
      </c>
      <c r="D1404" s="11" t="s">
        <v>18</v>
      </c>
      <c r="E1404" s="7" t="s">
        <v>45</v>
      </c>
      <c r="F1404" s="9">
        <v>45.1</v>
      </c>
      <c r="G1404" s="9">
        <v>70.8</v>
      </c>
      <c r="H1404" s="9">
        <v>14.9</v>
      </c>
      <c r="I1404" s="9">
        <v>6.6</v>
      </c>
      <c r="J1404" s="9">
        <v>0.45</v>
      </c>
      <c r="K1404" s="9">
        <v>22.2</v>
      </c>
      <c r="L1404" s="7">
        <v>39.1</v>
      </c>
      <c r="M1404" s="7">
        <v>38.799999999999997</v>
      </c>
      <c r="N1404" s="7">
        <v>1.3</v>
      </c>
      <c r="O1404" s="7">
        <v>156</v>
      </c>
      <c r="P1404" s="7" t="s">
        <v>33</v>
      </c>
      <c r="Q1404" s="7" t="str">
        <f t="shared" si="84"/>
        <v>Moderate</v>
      </c>
      <c r="R1404" s="7" t="str">
        <f t="shared" si="85"/>
        <v>Hot</v>
      </c>
      <c r="S1404" s="7" t="str">
        <f t="shared" si="86"/>
        <v>Normal Humidity</v>
      </c>
      <c r="T1404" s="7" t="str">
        <f t="shared" si="87"/>
        <v>Low Wind</v>
      </c>
    </row>
    <row r="1405" spans="1:20" x14ac:dyDescent="0.25">
      <c r="A1405" s="7" t="s">
        <v>1472</v>
      </c>
      <c r="B1405" s="10">
        <v>45913</v>
      </c>
      <c r="C1405" s="11" t="s">
        <v>26</v>
      </c>
      <c r="D1405" s="11" t="s">
        <v>23</v>
      </c>
      <c r="E1405" s="7" t="s">
        <v>61</v>
      </c>
      <c r="F1405" s="9">
        <v>49.1</v>
      </c>
      <c r="G1405" s="9">
        <v>148.5</v>
      </c>
      <c r="H1405" s="9">
        <v>53.9</v>
      </c>
      <c r="I1405" s="9">
        <v>7</v>
      </c>
      <c r="J1405" s="9">
        <v>1.1499999999999999</v>
      </c>
      <c r="K1405" s="9">
        <v>38.5</v>
      </c>
      <c r="L1405" s="7">
        <v>21.8</v>
      </c>
      <c r="M1405" s="7">
        <v>50</v>
      </c>
      <c r="N1405" s="7">
        <v>2.8</v>
      </c>
      <c r="O1405" s="7">
        <v>269</v>
      </c>
      <c r="P1405" s="7" t="s">
        <v>28</v>
      </c>
      <c r="Q1405" s="7" t="str">
        <f t="shared" si="84"/>
        <v>Unhealthy</v>
      </c>
      <c r="R1405" s="7" t="str">
        <f t="shared" si="85"/>
        <v>Normal</v>
      </c>
      <c r="S1405" s="7" t="str">
        <f t="shared" si="86"/>
        <v>Normal Humidity</v>
      </c>
      <c r="T1405" s="7" t="str">
        <f t="shared" si="87"/>
        <v>Moderate Wind</v>
      </c>
    </row>
    <row r="1406" spans="1:20" x14ac:dyDescent="0.25">
      <c r="A1406" s="7" t="s">
        <v>1473</v>
      </c>
      <c r="B1406" s="10">
        <v>45962</v>
      </c>
      <c r="C1406" s="11" t="s">
        <v>54</v>
      </c>
      <c r="D1406" s="11" t="s">
        <v>18</v>
      </c>
      <c r="E1406" s="7" t="s">
        <v>70</v>
      </c>
      <c r="F1406" s="9">
        <v>40.4</v>
      </c>
      <c r="G1406" s="9">
        <v>72.3</v>
      </c>
      <c r="H1406" s="9">
        <v>12</v>
      </c>
      <c r="I1406" s="9">
        <v>26.8</v>
      </c>
      <c r="J1406" s="9">
        <v>0.15</v>
      </c>
      <c r="K1406" s="9">
        <v>49.5</v>
      </c>
      <c r="L1406" s="7">
        <v>29.1</v>
      </c>
      <c r="M1406" s="7">
        <v>70.400000000000006</v>
      </c>
      <c r="N1406" s="7">
        <v>1.4</v>
      </c>
      <c r="O1406" s="7">
        <v>166</v>
      </c>
      <c r="P1406" s="7" t="s">
        <v>33</v>
      </c>
      <c r="Q1406" s="7" t="str">
        <f t="shared" si="84"/>
        <v>Moderate</v>
      </c>
      <c r="R1406" s="7" t="str">
        <f t="shared" si="85"/>
        <v>Normal</v>
      </c>
      <c r="S1406" s="7" t="str">
        <f t="shared" si="86"/>
        <v>High Humidity</v>
      </c>
      <c r="T1406" s="7" t="str">
        <f t="shared" si="87"/>
        <v>Low Wind</v>
      </c>
    </row>
    <row r="1407" spans="1:20" x14ac:dyDescent="0.25">
      <c r="A1407" s="7" t="s">
        <v>1474</v>
      </c>
      <c r="B1407" s="10">
        <v>45815</v>
      </c>
      <c r="C1407" s="11" t="s">
        <v>67</v>
      </c>
      <c r="D1407" s="11" t="s">
        <v>18</v>
      </c>
      <c r="E1407" s="7" t="s">
        <v>40</v>
      </c>
      <c r="F1407" s="9">
        <v>93.2</v>
      </c>
      <c r="G1407" s="9">
        <v>108.9</v>
      </c>
      <c r="H1407" s="9">
        <v>6.2</v>
      </c>
      <c r="I1407" s="9">
        <v>9.6999999999999993</v>
      </c>
      <c r="J1407" s="9">
        <v>0.93</v>
      </c>
      <c r="K1407" s="9">
        <v>27.3</v>
      </c>
      <c r="L1407" s="7">
        <v>26.8</v>
      </c>
      <c r="M1407" s="7">
        <v>74.900000000000006</v>
      </c>
      <c r="N1407" s="7">
        <v>1.8</v>
      </c>
      <c r="O1407" s="7">
        <v>267</v>
      </c>
      <c r="P1407" s="7" t="s">
        <v>28</v>
      </c>
      <c r="Q1407" s="7" t="str">
        <f t="shared" si="84"/>
        <v>Unhealthy</v>
      </c>
      <c r="R1407" s="7" t="str">
        <f t="shared" si="85"/>
        <v>Normal</v>
      </c>
      <c r="S1407" s="7" t="str">
        <f t="shared" si="86"/>
        <v>High Humidity</v>
      </c>
      <c r="T1407" s="7" t="str">
        <f t="shared" si="87"/>
        <v>Low Wind</v>
      </c>
    </row>
    <row r="1408" spans="1:20" x14ac:dyDescent="0.25">
      <c r="A1408" s="7" t="s">
        <v>1475</v>
      </c>
      <c r="B1408" s="10">
        <v>45956</v>
      </c>
      <c r="C1408" s="11" t="s">
        <v>17</v>
      </c>
      <c r="D1408" s="11" t="s">
        <v>18</v>
      </c>
      <c r="E1408" s="7" t="s">
        <v>24</v>
      </c>
      <c r="F1408" s="9">
        <v>53.3</v>
      </c>
      <c r="G1408" s="9">
        <v>133.6</v>
      </c>
      <c r="H1408" s="9">
        <v>56.5</v>
      </c>
      <c r="I1408" s="9">
        <v>6</v>
      </c>
      <c r="J1408" s="9">
        <v>0.23</v>
      </c>
      <c r="K1408" s="9">
        <v>47</v>
      </c>
      <c r="L1408" s="7">
        <v>34.1</v>
      </c>
      <c r="M1408" s="7">
        <v>34.9</v>
      </c>
      <c r="N1408" s="7">
        <v>3</v>
      </c>
      <c r="O1408" s="7">
        <v>248</v>
      </c>
      <c r="P1408" s="7" t="s">
        <v>28</v>
      </c>
      <c r="Q1408" s="7" t="str">
        <f t="shared" si="84"/>
        <v>Unhealthy</v>
      </c>
      <c r="R1408" s="7" t="str">
        <f t="shared" si="85"/>
        <v>Hot</v>
      </c>
      <c r="S1408" s="7" t="str">
        <f t="shared" si="86"/>
        <v>Normal Humidity</v>
      </c>
      <c r="T1408" s="7" t="str">
        <f t="shared" si="87"/>
        <v>Moderate Wind</v>
      </c>
    </row>
    <row r="1409" spans="1:20" x14ac:dyDescent="0.25">
      <c r="A1409" s="7" t="s">
        <v>1476</v>
      </c>
      <c r="B1409" s="10">
        <v>45728</v>
      </c>
      <c r="C1409" s="11" t="s">
        <v>38</v>
      </c>
      <c r="D1409" s="11" t="s">
        <v>39</v>
      </c>
      <c r="E1409" s="7" t="s">
        <v>68</v>
      </c>
      <c r="F1409" s="9">
        <v>29.7</v>
      </c>
      <c r="G1409" s="9">
        <v>81.099999999999994</v>
      </c>
      <c r="H1409" s="9">
        <v>8.9</v>
      </c>
      <c r="I1409" s="9">
        <v>12.5</v>
      </c>
      <c r="J1409" s="9">
        <v>0.8</v>
      </c>
      <c r="K1409" s="9">
        <v>68.099999999999994</v>
      </c>
      <c r="L1409" s="7">
        <v>20.5</v>
      </c>
      <c r="M1409" s="7">
        <v>98</v>
      </c>
      <c r="N1409" s="7">
        <v>1.3</v>
      </c>
      <c r="O1409" s="7">
        <v>167</v>
      </c>
      <c r="P1409" s="7" t="s">
        <v>33</v>
      </c>
      <c r="Q1409" s="7" t="str">
        <f t="shared" si="84"/>
        <v>Moderate</v>
      </c>
      <c r="R1409" s="7" t="str">
        <f t="shared" si="85"/>
        <v>Normal</v>
      </c>
      <c r="S1409" s="7" t="str">
        <f t="shared" si="86"/>
        <v>High Humidity</v>
      </c>
      <c r="T1409" s="7" t="str">
        <f t="shared" si="87"/>
        <v>Low Wind</v>
      </c>
    </row>
    <row r="1410" spans="1:20" x14ac:dyDescent="0.25">
      <c r="A1410" s="7" t="s">
        <v>1477</v>
      </c>
      <c r="B1410" s="10">
        <v>45675</v>
      </c>
      <c r="C1410" s="11" t="s">
        <v>30</v>
      </c>
      <c r="D1410" s="11" t="s">
        <v>31</v>
      </c>
      <c r="E1410" s="7" t="s">
        <v>68</v>
      </c>
      <c r="F1410" s="9">
        <v>141.6</v>
      </c>
      <c r="G1410" s="9">
        <v>37.5</v>
      </c>
      <c r="H1410" s="9">
        <v>6</v>
      </c>
      <c r="I1410" s="9">
        <v>9.1999999999999993</v>
      </c>
      <c r="J1410" s="9">
        <v>0.48</v>
      </c>
      <c r="K1410" s="9">
        <v>17.600000000000001</v>
      </c>
      <c r="L1410" s="7">
        <v>31.7</v>
      </c>
      <c r="M1410" s="7">
        <v>58.3</v>
      </c>
      <c r="N1410" s="7">
        <v>3.3</v>
      </c>
      <c r="O1410" s="7">
        <v>282</v>
      </c>
      <c r="P1410" s="7" t="s">
        <v>28</v>
      </c>
      <c r="Q1410" s="7" t="str">
        <f t="shared" si="84"/>
        <v>Good</v>
      </c>
      <c r="R1410" s="7" t="str">
        <f t="shared" si="85"/>
        <v>Hot</v>
      </c>
      <c r="S1410" s="7" t="str">
        <f t="shared" si="86"/>
        <v>Normal Humidity</v>
      </c>
      <c r="T1410" s="7" t="str">
        <f t="shared" si="87"/>
        <v>Moderate Wind</v>
      </c>
    </row>
    <row r="1411" spans="1:20" x14ac:dyDescent="0.25">
      <c r="A1411" s="7" t="s">
        <v>1478</v>
      </c>
      <c r="B1411" s="10">
        <v>45678</v>
      </c>
      <c r="C1411" s="11" t="s">
        <v>64</v>
      </c>
      <c r="D1411" s="11" t="s">
        <v>36</v>
      </c>
      <c r="E1411" s="7" t="s">
        <v>55</v>
      </c>
      <c r="F1411" s="9">
        <v>105.5</v>
      </c>
      <c r="G1411" s="9">
        <v>86.8</v>
      </c>
      <c r="H1411" s="9">
        <v>15.6</v>
      </c>
      <c r="I1411" s="9">
        <v>3.4</v>
      </c>
      <c r="J1411" s="9">
        <v>1.39</v>
      </c>
      <c r="K1411" s="9">
        <v>50.8</v>
      </c>
      <c r="L1411" s="7">
        <v>21.9</v>
      </c>
      <c r="M1411" s="7">
        <v>68.5</v>
      </c>
      <c r="N1411" s="7">
        <v>0.8</v>
      </c>
      <c r="O1411" s="7">
        <v>298</v>
      </c>
      <c r="P1411" s="7" t="s">
        <v>28</v>
      </c>
      <c r="Q1411" s="7" t="str">
        <f t="shared" ref="Q1411:Q1474" si="88">IF(G1411&lt;50,"Good",IF(G1411&lt;=100,"Moderate",IF(G1411&lt;=150,"Unhealthy","VeryUnhealthy")))</f>
        <v>Moderate</v>
      </c>
      <c r="R1411" s="7" t="str">
        <f t="shared" ref="R1411:R1474" si="89">IF(L1411&lt;20,"Cool",IF(L1411&lt;=30,"Normal","Hot"))</f>
        <v>Normal</v>
      </c>
      <c r="S1411" s="7" t="str">
        <f t="shared" ref="S1411:S1474" si="90">IF(M1411&lt;30,"Low Humidity",IF(M1411&lt;=60,"Normal Humidity","High Humidity"))</f>
        <v>High Humidity</v>
      </c>
      <c r="T1411" s="7" t="str">
        <f t="shared" ref="T1411:T1474" si="91">IF(N1411&lt;2,"Low Wind",IF(N1411&lt;=5,"Moderate Wind","High Wind"))</f>
        <v>Low Wind</v>
      </c>
    </row>
    <row r="1412" spans="1:20" x14ac:dyDescent="0.25">
      <c r="A1412" s="7" t="s">
        <v>1479</v>
      </c>
      <c r="B1412" s="10">
        <v>45670</v>
      </c>
      <c r="C1412" s="11" t="s">
        <v>22</v>
      </c>
      <c r="D1412" s="11" t="s">
        <v>23</v>
      </c>
      <c r="E1412" s="7" t="s">
        <v>61</v>
      </c>
      <c r="F1412" s="9">
        <v>52.7</v>
      </c>
      <c r="G1412" s="9">
        <v>75.7</v>
      </c>
      <c r="H1412" s="9">
        <v>49</v>
      </c>
      <c r="I1412" s="9">
        <v>8.4</v>
      </c>
      <c r="J1412" s="9">
        <v>0.62</v>
      </c>
      <c r="K1412" s="9">
        <v>46.2</v>
      </c>
      <c r="L1412" s="7">
        <v>13.4</v>
      </c>
      <c r="M1412" s="7">
        <v>36.4</v>
      </c>
      <c r="N1412" s="7">
        <v>3.6</v>
      </c>
      <c r="O1412" s="7">
        <v>215</v>
      </c>
      <c r="P1412" s="7" t="s">
        <v>28</v>
      </c>
      <c r="Q1412" s="7" t="str">
        <f t="shared" si="88"/>
        <v>Moderate</v>
      </c>
      <c r="R1412" s="7" t="str">
        <f t="shared" si="89"/>
        <v>Cool</v>
      </c>
      <c r="S1412" s="7" t="str">
        <f t="shared" si="90"/>
        <v>Normal Humidity</v>
      </c>
      <c r="T1412" s="7" t="str">
        <f t="shared" si="91"/>
        <v>Moderate Wind</v>
      </c>
    </row>
    <row r="1413" spans="1:20" x14ac:dyDescent="0.25">
      <c r="A1413" s="7" t="s">
        <v>1480</v>
      </c>
      <c r="B1413" s="10">
        <v>45995</v>
      </c>
      <c r="C1413" s="11" t="s">
        <v>64</v>
      </c>
      <c r="D1413" s="11" t="s">
        <v>36</v>
      </c>
      <c r="E1413" s="7" t="s">
        <v>40</v>
      </c>
      <c r="F1413" s="9">
        <v>39.700000000000003</v>
      </c>
      <c r="G1413" s="9">
        <v>87</v>
      </c>
      <c r="H1413" s="9">
        <v>35.9</v>
      </c>
      <c r="I1413" s="9">
        <v>29.1</v>
      </c>
      <c r="J1413" s="9">
        <v>1.55</v>
      </c>
      <c r="K1413" s="9">
        <v>16.8</v>
      </c>
      <c r="L1413" s="7">
        <v>12.3</v>
      </c>
      <c r="M1413" s="7">
        <v>36.6</v>
      </c>
      <c r="N1413" s="7">
        <v>2.9</v>
      </c>
      <c r="O1413" s="7">
        <v>215</v>
      </c>
      <c r="P1413" s="7" t="s">
        <v>28</v>
      </c>
      <c r="Q1413" s="7" t="str">
        <f t="shared" si="88"/>
        <v>Moderate</v>
      </c>
      <c r="R1413" s="7" t="str">
        <f t="shared" si="89"/>
        <v>Cool</v>
      </c>
      <c r="S1413" s="7" t="str">
        <f t="shared" si="90"/>
        <v>Normal Humidity</v>
      </c>
      <c r="T1413" s="7" t="str">
        <f t="shared" si="91"/>
        <v>Moderate Wind</v>
      </c>
    </row>
    <row r="1414" spans="1:20" x14ac:dyDescent="0.25">
      <c r="A1414" s="7" t="s">
        <v>1481</v>
      </c>
      <c r="B1414" s="10">
        <v>45857</v>
      </c>
      <c r="C1414" s="11" t="s">
        <v>54</v>
      </c>
      <c r="D1414" s="11" t="s">
        <v>18</v>
      </c>
      <c r="E1414" s="7" t="s">
        <v>61</v>
      </c>
      <c r="F1414" s="9">
        <v>66.599999999999994</v>
      </c>
      <c r="G1414" s="9">
        <v>68.099999999999994</v>
      </c>
      <c r="H1414" s="9">
        <v>19.5</v>
      </c>
      <c r="I1414" s="9">
        <v>13.6</v>
      </c>
      <c r="J1414" s="9">
        <v>0.42</v>
      </c>
      <c r="K1414" s="9">
        <v>37.299999999999997</v>
      </c>
      <c r="L1414" s="7">
        <v>30.4</v>
      </c>
      <c r="M1414" s="7">
        <v>53.1</v>
      </c>
      <c r="N1414" s="7">
        <v>3.8</v>
      </c>
      <c r="O1414" s="7">
        <v>203</v>
      </c>
      <c r="P1414" s="7" t="s">
        <v>28</v>
      </c>
      <c r="Q1414" s="7" t="str">
        <f t="shared" si="88"/>
        <v>Moderate</v>
      </c>
      <c r="R1414" s="7" t="str">
        <f t="shared" si="89"/>
        <v>Hot</v>
      </c>
      <c r="S1414" s="7" t="str">
        <f t="shared" si="90"/>
        <v>Normal Humidity</v>
      </c>
      <c r="T1414" s="7" t="str">
        <f t="shared" si="91"/>
        <v>Moderate Wind</v>
      </c>
    </row>
    <row r="1415" spans="1:20" x14ac:dyDescent="0.25">
      <c r="A1415" s="7" t="s">
        <v>1482</v>
      </c>
      <c r="B1415" s="10">
        <v>45791</v>
      </c>
      <c r="C1415" s="11" t="s">
        <v>99</v>
      </c>
      <c r="D1415" s="11" t="s">
        <v>36</v>
      </c>
      <c r="E1415" s="7" t="s">
        <v>32</v>
      </c>
      <c r="F1415" s="9">
        <v>28.6</v>
      </c>
      <c r="G1415" s="9">
        <v>83.4</v>
      </c>
      <c r="H1415" s="9">
        <v>37.200000000000003</v>
      </c>
      <c r="I1415" s="9">
        <v>4.2</v>
      </c>
      <c r="J1415" s="9">
        <v>1.56</v>
      </c>
      <c r="K1415" s="9">
        <v>19.100000000000001</v>
      </c>
      <c r="L1415" s="7">
        <v>18.8</v>
      </c>
      <c r="M1415" s="7">
        <v>50.2</v>
      </c>
      <c r="N1415" s="7">
        <v>1.5</v>
      </c>
      <c r="O1415" s="7">
        <v>180</v>
      </c>
      <c r="P1415" s="7" t="s">
        <v>33</v>
      </c>
      <c r="Q1415" s="7" t="str">
        <f t="shared" si="88"/>
        <v>Moderate</v>
      </c>
      <c r="R1415" s="7" t="str">
        <f t="shared" si="89"/>
        <v>Cool</v>
      </c>
      <c r="S1415" s="7" t="str">
        <f t="shared" si="90"/>
        <v>Normal Humidity</v>
      </c>
      <c r="T1415" s="7" t="str">
        <f t="shared" si="91"/>
        <v>Low Wind</v>
      </c>
    </row>
    <row r="1416" spans="1:20" x14ac:dyDescent="0.25">
      <c r="A1416" s="7" t="s">
        <v>1483</v>
      </c>
      <c r="B1416" s="10">
        <v>45747</v>
      </c>
      <c r="C1416" s="11" t="s">
        <v>52</v>
      </c>
      <c r="D1416" s="11" t="s">
        <v>31</v>
      </c>
      <c r="E1416" s="7" t="s">
        <v>74</v>
      </c>
      <c r="F1416" s="9">
        <v>63.3</v>
      </c>
      <c r="G1416" s="9">
        <v>137.9</v>
      </c>
      <c r="H1416" s="9">
        <v>7.8</v>
      </c>
      <c r="I1416" s="9">
        <v>12.8</v>
      </c>
      <c r="J1416" s="9">
        <v>1.64</v>
      </c>
      <c r="K1416" s="9">
        <v>44.1</v>
      </c>
      <c r="L1416" s="7">
        <v>29.9</v>
      </c>
      <c r="M1416" s="7">
        <v>98</v>
      </c>
      <c r="N1416" s="7">
        <v>1.7</v>
      </c>
      <c r="O1416" s="7">
        <v>267</v>
      </c>
      <c r="P1416" s="7" t="s">
        <v>28</v>
      </c>
      <c r="Q1416" s="7" t="str">
        <f t="shared" si="88"/>
        <v>Unhealthy</v>
      </c>
      <c r="R1416" s="7" t="str">
        <f t="shared" si="89"/>
        <v>Normal</v>
      </c>
      <c r="S1416" s="7" t="str">
        <f t="shared" si="90"/>
        <v>High Humidity</v>
      </c>
      <c r="T1416" s="7" t="str">
        <f t="shared" si="91"/>
        <v>Low Wind</v>
      </c>
    </row>
    <row r="1417" spans="1:20" x14ac:dyDescent="0.25">
      <c r="A1417" s="7" t="s">
        <v>1484</v>
      </c>
      <c r="B1417" s="10">
        <v>45963</v>
      </c>
      <c r="C1417" s="11" t="s">
        <v>77</v>
      </c>
      <c r="D1417" s="11" t="s">
        <v>39</v>
      </c>
      <c r="E1417" s="7" t="s">
        <v>43</v>
      </c>
      <c r="F1417" s="9">
        <v>65.5</v>
      </c>
      <c r="G1417" s="9">
        <v>71.099999999999994</v>
      </c>
      <c r="H1417" s="9">
        <v>4.7</v>
      </c>
      <c r="I1417" s="9">
        <v>19.399999999999999</v>
      </c>
      <c r="J1417" s="9">
        <v>0.94</v>
      </c>
      <c r="K1417" s="9">
        <v>26.8</v>
      </c>
      <c r="L1417" s="7">
        <v>32.5</v>
      </c>
      <c r="M1417" s="7">
        <v>53.7</v>
      </c>
      <c r="N1417" s="7">
        <v>1.1000000000000001</v>
      </c>
      <c r="O1417" s="7">
        <v>204</v>
      </c>
      <c r="P1417" s="7" t="s">
        <v>28</v>
      </c>
      <c r="Q1417" s="7" t="str">
        <f t="shared" si="88"/>
        <v>Moderate</v>
      </c>
      <c r="R1417" s="7" t="str">
        <f t="shared" si="89"/>
        <v>Hot</v>
      </c>
      <c r="S1417" s="7" t="str">
        <f t="shared" si="90"/>
        <v>Normal Humidity</v>
      </c>
      <c r="T1417" s="7" t="str">
        <f t="shared" si="91"/>
        <v>Low Wind</v>
      </c>
    </row>
    <row r="1418" spans="1:20" x14ac:dyDescent="0.25">
      <c r="A1418" s="7" t="s">
        <v>1485</v>
      </c>
      <c r="B1418" s="10">
        <v>45824</v>
      </c>
      <c r="C1418" s="11" t="s">
        <v>67</v>
      </c>
      <c r="D1418" s="11" t="s">
        <v>18</v>
      </c>
      <c r="E1418" s="7" t="s">
        <v>68</v>
      </c>
      <c r="F1418" s="9">
        <v>30.4</v>
      </c>
      <c r="G1418" s="9">
        <v>65.3</v>
      </c>
      <c r="H1418" s="9">
        <v>15</v>
      </c>
      <c r="I1418" s="9">
        <v>9.1999999999999993</v>
      </c>
      <c r="J1418" s="9">
        <v>0.27</v>
      </c>
      <c r="K1418" s="9">
        <v>5.9</v>
      </c>
      <c r="L1418" s="7">
        <v>31.4</v>
      </c>
      <c r="M1418" s="7">
        <v>51.1</v>
      </c>
      <c r="N1418" s="7">
        <v>2.2999999999999998</v>
      </c>
      <c r="O1418" s="7">
        <v>119</v>
      </c>
      <c r="P1418" s="7" t="s">
        <v>33</v>
      </c>
      <c r="Q1418" s="7" t="str">
        <f t="shared" si="88"/>
        <v>Moderate</v>
      </c>
      <c r="R1418" s="7" t="str">
        <f t="shared" si="89"/>
        <v>Hot</v>
      </c>
      <c r="S1418" s="7" t="str">
        <f t="shared" si="90"/>
        <v>Normal Humidity</v>
      </c>
      <c r="T1418" s="7" t="str">
        <f t="shared" si="91"/>
        <v>Moderate Wind</v>
      </c>
    </row>
    <row r="1419" spans="1:20" x14ac:dyDescent="0.25">
      <c r="A1419" s="7" t="s">
        <v>1486</v>
      </c>
      <c r="B1419" s="10">
        <v>45816</v>
      </c>
      <c r="C1419" s="11" t="s">
        <v>81</v>
      </c>
      <c r="D1419" s="11" t="s">
        <v>39</v>
      </c>
      <c r="E1419" s="7" t="s">
        <v>74</v>
      </c>
      <c r="F1419" s="9">
        <v>36.5</v>
      </c>
      <c r="G1419" s="9">
        <v>43.8</v>
      </c>
      <c r="H1419" s="9">
        <v>18.100000000000001</v>
      </c>
      <c r="I1419" s="9">
        <v>3.4</v>
      </c>
      <c r="J1419" s="9">
        <v>0.14000000000000001</v>
      </c>
      <c r="K1419" s="9">
        <v>30.1</v>
      </c>
      <c r="L1419" s="7">
        <v>42.2</v>
      </c>
      <c r="M1419" s="7">
        <v>59.9</v>
      </c>
      <c r="N1419" s="7">
        <v>1.2</v>
      </c>
      <c r="O1419" s="7">
        <v>121</v>
      </c>
      <c r="P1419" s="7" t="s">
        <v>33</v>
      </c>
      <c r="Q1419" s="7" t="str">
        <f t="shared" si="88"/>
        <v>Good</v>
      </c>
      <c r="R1419" s="7" t="str">
        <f t="shared" si="89"/>
        <v>Hot</v>
      </c>
      <c r="S1419" s="7" t="str">
        <f t="shared" si="90"/>
        <v>Normal Humidity</v>
      </c>
      <c r="T1419" s="7" t="str">
        <f t="shared" si="91"/>
        <v>Low Wind</v>
      </c>
    </row>
    <row r="1420" spans="1:20" x14ac:dyDescent="0.25">
      <c r="A1420" s="7" t="s">
        <v>1487</v>
      </c>
      <c r="B1420" s="10">
        <v>45756</v>
      </c>
      <c r="C1420" s="11" t="s">
        <v>38</v>
      </c>
      <c r="D1420" s="11" t="s">
        <v>39</v>
      </c>
      <c r="E1420" s="7" t="s">
        <v>70</v>
      </c>
      <c r="F1420" s="9">
        <v>38</v>
      </c>
      <c r="G1420" s="9">
        <v>61.3</v>
      </c>
      <c r="H1420" s="9">
        <v>24.6</v>
      </c>
      <c r="I1420" s="9">
        <v>20.9</v>
      </c>
      <c r="J1420" s="9">
        <v>0.21</v>
      </c>
      <c r="K1420" s="9">
        <v>21</v>
      </c>
      <c r="L1420" s="7">
        <v>24.3</v>
      </c>
      <c r="M1420" s="7">
        <v>71.3</v>
      </c>
      <c r="N1420" s="7">
        <v>2.2000000000000002</v>
      </c>
      <c r="O1420" s="7">
        <v>150</v>
      </c>
      <c r="P1420" s="7" t="s">
        <v>33</v>
      </c>
      <c r="Q1420" s="7" t="str">
        <f t="shared" si="88"/>
        <v>Moderate</v>
      </c>
      <c r="R1420" s="7" t="str">
        <f t="shared" si="89"/>
        <v>Normal</v>
      </c>
      <c r="S1420" s="7" t="str">
        <f t="shared" si="90"/>
        <v>High Humidity</v>
      </c>
      <c r="T1420" s="7" t="str">
        <f t="shared" si="91"/>
        <v>Moderate Wind</v>
      </c>
    </row>
    <row r="1421" spans="1:20" x14ac:dyDescent="0.25">
      <c r="A1421" s="7" t="s">
        <v>1488</v>
      </c>
      <c r="B1421" s="10">
        <v>45682</v>
      </c>
      <c r="C1421" s="11" t="s">
        <v>99</v>
      </c>
      <c r="D1421" s="11" t="s">
        <v>36</v>
      </c>
      <c r="E1421" s="7" t="s">
        <v>45</v>
      </c>
      <c r="F1421" s="9">
        <v>72.5</v>
      </c>
      <c r="G1421" s="9">
        <v>144.4</v>
      </c>
      <c r="H1421" s="9">
        <v>17.5</v>
      </c>
      <c r="I1421" s="9">
        <v>5.9</v>
      </c>
      <c r="J1421" s="9">
        <v>0.75</v>
      </c>
      <c r="K1421" s="9">
        <v>9.6</v>
      </c>
      <c r="L1421" s="7">
        <v>38.1</v>
      </c>
      <c r="M1421" s="7">
        <v>98</v>
      </c>
      <c r="N1421" s="7">
        <v>2.4</v>
      </c>
      <c r="O1421" s="7">
        <v>251</v>
      </c>
      <c r="P1421" s="7" t="s">
        <v>28</v>
      </c>
      <c r="Q1421" s="7" t="str">
        <f t="shared" si="88"/>
        <v>Unhealthy</v>
      </c>
      <c r="R1421" s="7" t="str">
        <f t="shared" si="89"/>
        <v>Hot</v>
      </c>
      <c r="S1421" s="7" t="str">
        <f t="shared" si="90"/>
        <v>High Humidity</v>
      </c>
      <c r="T1421" s="7" t="str">
        <f t="shared" si="91"/>
        <v>Moderate Wind</v>
      </c>
    </row>
    <row r="1422" spans="1:20" x14ac:dyDescent="0.25">
      <c r="A1422" s="7" t="s">
        <v>1489</v>
      </c>
      <c r="B1422" s="10">
        <v>45870</v>
      </c>
      <c r="C1422" s="11" t="s">
        <v>30</v>
      </c>
      <c r="D1422" s="11" t="s">
        <v>31</v>
      </c>
      <c r="E1422" s="7" t="s">
        <v>40</v>
      </c>
      <c r="F1422" s="9">
        <v>29.6</v>
      </c>
      <c r="G1422" s="9">
        <v>124.1</v>
      </c>
      <c r="H1422" s="9">
        <v>30.3</v>
      </c>
      <c r="I1422" s="9">
        <v>11.1</v>
      </c>
      <c r="J1422" s="9">
        <v>0.6</v>
      </c>
      <c r="K1422" s="9">
        <v>21.4</v>
      </c>
      <c r="L1422" s="7">
        <v>28.4</v>
      </c>
      <c r="M1422" s="7">
        <v>68.7</v>
      </c>
      <c r="N1422" s="7">
        <v>0.5</v>
      </c>
      <c r="O1422" s="7">
        <v>185</v>
      </c>
      <c r="P1422" s="7" t="s">
        <v>33</v>
      </c>
      <c r="Q1422" s="7" t="str">
        <f t="shared" si="88"/>
        <v>Unhealthy</v>
      </c>
      <c r="R1422" s="7" t="str">
        <f t="shared" si="89"/>
        <v>Normal</v>
      </c>
      <c r="S1422" s="7" t="str">
        <f t="shared" si="90"/>
        <v>High Humidity</v>
      </c>
      <c r="T1422" s="7" t="str">
        <f t="shared" si="91"/>
        <v>Low Wind</v>
      </c>
    </row>
    <row r="1423" spans="1:20" x14ac:dyDescent="0.25">
      <c r="A1423" s="7" t="s">
        <v>1490</v>
      </c>
      <c r="B1423" s="10">
        <v>45861</v>
      </c>
      <c r="C1423" s="11" t="s">
        <v>42</v>
      </c>
      <c r="D1423" s="11" t="s">
        <v>23</v>
      </c>
      <c r="E1423" s="7" t="s">
        <v>45</v>
      </c>
      <c r="F1423" s="9">
        <v>61.5</v>
      </c>
      <c r="G1423" s="9">
        <v>68.3</v>
      </c>
      <c r="H1423" s="9">
        <v>53</v>
      </c>
      <c r="I1423" s="9">
        <v>9.3000000000000007</v>
      </c>
      <c r="J1423" s="9">
        <v>0.39</v>
      </c>
      <c r="K1423" s="9">
        <v>23.3</v>
      </c>
      <c r="L1423" s="7">
        <v>22.4</v>
      </c>
      <c r="M1423" s="7">
        <v>66.900000000000006</v>
      </c>
      <c r="N1423" s="7">
        <v>1.3</v>
      </c>
      <c r="O1423" s="7">
        <v>212</v>
      </c>
      <c r="P1423" s="7" t="s">
        <v>28</v>
      </c>
      <c r="Q1423" s="7" t="str">
        <f t="shared" si="88"/>
        <v>Moderate</v>
      </c>
      <c r="R1423" s="7" t="str">
        <f t="shared" si="89"/>
        <v>Normal</v>
      </c>
      <c r="S1423" s="7" t="str">
        <f t="shared" si="90"/>
        <v>High Humidity</v>
      </c>
      <c r="T1423" s="7" t="str">
        <f t="shared" si="91"/>
        <v>Low Wind</v>
      </c>
    </row>
    <row r="1424" spans="1:20" x14ac:dyDescent="0.25">
      <c r="A1424" s="7" t="s">
        <v>1491</v>
      </c>
      <c r="B1424" s="10">
        <v>45957</v>
      </c>
      <c r="C1424" s="11" t="s">
        <v>67</v>
      </c>
      <c r="D1424" s="11" t="s">
        <v>18</v>
      </c>
      <c r="E1424" s="7" t="s">
        <v>74</v>
      </c>
      <c r="F1424" s="9">
        <v>77</v>
      </c>
      <c r="G1424" s="9">
        <v>82</v>
      </c>
      <c r="H1424" s="9">
        <v>22.8</v>
      </c>
      <c r="I1424" s="9">
        <v>7.7</v>
      </c>
      <c r="J1424" s="9">
        <v>0.76</v>
      </c>
      <c r="K1424" s="9">
        <v>43.8</v>
      </c>
      <c r="L1424" s="7">
        <v>23.5</v>
      </c>
      <c r="M1424" s="7">
        <v>57.9</v>
      </c>
      <c r="N1424" s="7">
        <v>1.4</v>
      </c>
      <c r="O1424" s="7">
        <v>239</v>
      </c>
      <c r="P1424" s="7" t="s">
        <v>28</v>
      </c>
      <c r="Q1424" s="7" t="str">
        <f t="shared" si="88"/>
        <v>Moderate</v>
      </c>
      <c r="R1424" s="7" t="str">
        <f t="shared" si="89"/>
        <v>Normal</v>
      </c>
      <c r="S1424" s="7" t="str">
        <f t="shared" si="90"/>
        <v>Normal Humidity</v>
      </c>
      <c r="T1424" s="7" t="str">
        <f t="shared" si="91"/>
        <v>Low Wind</v>
      </c>
    </row>
    <row r="1425" spans="1:20" x14ac:dyDescent="0.25">
      <c r="A1425" s="7" t="s">
        <v>1492</v>
      </c>
      <c r="B1425" s="10">
        <v>45690</v>
      </c>
      <c r="C1425" s="11" t="s">
        <v>67</v>
      </c>
      <c r="D1425" s="11" t="s">
        <v>18</v>
      </c>
      <c r="E1425" s="7" t="s">
        <v>58</v>
      </c>
      <c r="F1425" s="9">
        <v>52.1</v>
      </c>
      <c r="G1425" s="9">
        <v>57</v>
      </c>
      <c r="H1425" s="9">
        <v>22.6</v>
      </c>
      <c r="I1425" s="9">
        <v>1.8</v>
      </c>
      <c r="J1425" s="9">
        <v>0.25</v>
      </c>
      <c r="K1425" s="9">
        <v>71.3</v>
      </c>
      <c r="L1425" s="7">
        <v>24.6</v>
      </c>
      <c r="M1425" s="7">
        <v>47.9</v>
      </c>
      <c r="N1425" s="7">
        <v>0.9</v>
      </c>
      <c r="O1425" s="7">
        <v>178</v>
      </c>
      <c r="P1425" s="7" t="s">
        <v>33</v>
      </c>
      <c r="Q1425" s="7" t="str">
        <f t="shared" si="88"/>
        <v>Moderate</v>
      </c>
      <c r="R1425" s="7" t="str">
        <f t="shared" si="89"/>
        <v>Normal</v>
      </c>
      <c r="S1425" s="7" t="str">
        <f t="shared" si="90"/>
        <v>Normal Humidity</v>
      </c>
      <c r="T1425" s="7" t="str">
        <f t="shared" si="91"/>
        <v>Low Wind</v>
      </c>
    </row>
    <row r="1426" spans="1:20" x14ac:dyDescent="0.25">
      <c r="A1426" s="7" t="s">
        <v>1493</v>
      </c>
      <c r="B1426" s="10">
        <v>45978</v>
      </c>
      <c r="C1426" s="11" t="s">
        <v>42</v>
      </c>
      <c r="D1426" s="11" t="s">
        <v>23</v>
      </c>
      <c r="E1426" s="7" t="s">
        <v>58</v>
      </c>
      <c r="F1426" s="9">
        <v>25.5</v>
      </c>
      <c r="G1426" s="9">
        <v>178.1</v>
      </c>
      <c r="H1426" s="9">
        <v>38.9</v>
      </c>
      <c r="I1426" s="9">
        <v>8.8000000000000007</v>
      </c>
      <c r="J1426" s="9">
        <v>1.73</v>
      </c>
      <c r="K1426" s="9">
        <v>20.2</v>
      </c>
      <c r="L1426" s="7">
        <v>22</v>
      </c>
      <c r="M1426" s="7">
        <v>69</v>
      </c>
      <c r="N1426" s="7">
        <v>1.1000000000000001</v>
      </c>
      <c r="O1426" s="7">
        <v>246</v>
      </c>
      <c r="P1426" s="7" t="s">
        <v>28</v>
      </c>
      <c r="Q1426" s="7" t="str">
        <f t="shared" si="88"/>
        <v>VeryUnhealthy</v>
      </c>
      <c r="R1426" s="7" t="str">
        <f t="shared" si="89"/>
        <v>Normal</v>
      </c>
      <c r="S1426" s="7" t="str">
        <f t="shared" si="90"/>
        <v>High Humidity</v>
      </c>
      <c r="T1426" s="7" t="str">
        <f t="shared" si="91"/>
        <v>Low Wind</v>
      </c>
    </row>
    <row r="1427" spans="1:20" x14ac:dyDescent="0.25">
      <c r="A1427" s="7" t="s">
        <v>1494</v>
      </c>
      <c r="B1427" s="10">
        <v>45922</v>
      </c>
      <c r="C1427" s="11" t="s">
        <v>26</v>
      </c>
      <c r="D1427" s="11" t="s">
        <v>23</v>
      </c>
      <c r="E1427" s="7" t="s">
        <v>97</v>
      </c>
      <c r="F1427" s="9">
        <v>51.8</v>
      </c>
      <c r="G1427" s="9">
        <v>35</v>
      </c>
      <c r="H1427" s="9">
        <v>20.7</v>
      </c>
      <c r="I1427" s="9">
        <v>7</v>
      </c>
      <c r="J1427" s="9">
        <v>0.93</v>
      </c>
      <c r="K1427" s="9">
        <v>19</v>
      </c>
      <c r="L1427" s="7">
        <v>27.8</v>
      </c>
      <c r="M1427" s="7">
        <v>55.6</v>
      </c>
      <c r="N1427" s="7">
        <v>4.5</v>
      </c>
      <c r="O1427" s="7">
        <v>159</v>
      </c>
      <c r="P1427" s="7" t="s">
        <v>33</v>
      </c>
      <c r="Q1427" s="7" t="str">
        <f t="shared" si="88"/>
        <v>Good</v>
      </c>
      <c r="R1427" s="7" t="str">
        <f t="shared" si="89"/>
        <v>Normal</v>
      </c>
      <c r="S1427" s="7" t="str">
        <f t="shared" si="90"/>
        <v>Normal Humidity</v>
      </c>
      <c r="T1427" s="7" t="str">
        <f t="shared" si="91"/>
        <v>Moderate Wind</v>
      </c>
    </row>
    <row r="1428" spans="1:20" x14ac:dyDescent="0.25">
      <c r="A1428" s="7" t="s">
        <v>1495</v>
      </c>
      <c r="B1428" s="10">
        <v>45922</v>
      </c>
      <c r="C1428" s="11" t="s">
        <v>54</v>
      </c>
      <c r="D1428" s="11" t="s">
        <v>18</v>
      </c>
      <c r="E1428" s="7" t="s">
        <v>27</v>
      </c>
      <c r="F1428" s="9">
        <v>63.1</v>
      </c>
      <c r="G1428" s="9">
        <v>48.3</v>
      </c>
      <c r="H1428" s="9">
        <v>18.399999999999999</v>
      </c>
      <c r="I1428" s="9">
        <v>11.6</v>
      </c>
      <c r="J1428" s="9">
        <v>0.7</v>
      </c>
      <c r="K1428" s="9">
        <v>69.2</v>
      </c>
      <c r="L1428" s="7">
        <v>27.1</v>
      </c>
      <c r="M1428" s="7">
        <v>85.9</v>
      </c>
      <c r="N1428" s="7">
        <v>1.8</v>
      </c>
      <c r="O1428" s="7">
        <v>204</v>
      </c>
      <c r="P1428" s="7" t="s">
        <v>28</v>
      </c>
      <c r="Q1428" s="7" t="str">
        <f t="shared" si="88"/>
        <v>Good</v>
      </c>
      <c r="R1428" s="7" t="str">
        <f t="shared" si="89"/>
        <v>Normal</v>
      </c>
      <c r="S1428" s="7" t="str">
        <f t="shared" si="90"/>
        <v>High Humidity</v>
      </c>
      <c r="T1428" s="7" t="str">
        <f t="shared" si="91"/>
        <v>Low Wind</v>
      </c>
    </row>
    <row r="1429" spans="1:20" x14ac:dyDescent="0.25">
      <c r="A1429" s="7" t="s">
        <v>1496</v>
      </c>
      <c r="B1429" s="10">
        <v>45801</v>
      </c>
      <c r="C1429" s="11" t="s">
        <v>54</v>
      </c>
      <c r="D1429" s="11" t="s">
        <v>18</v>
      </c>
      <c r="E1429" s="7" t="s">
        <v>58</v>
      </c>
      <c r="F1429" s="9">
        <v>38.6</v>
      </c>
      <c r="G1429" s="9">
        <v>91.5</v>
      </c>
      <c r="H1429" s="9">
        <v>26.2</v>
      </c>
      <c r="I1429" s="9">
        <v>23.9</v>
      </c>
      <c r="J1429" s="9">
        <v>0.85</v>
      </c>
      <c r="K1429" s="9">
        <v>49.6</v>
      </c>
      <c r="L1429" s="7">
        <v>16</v>
      </c>
      <c r="M1429" s="7">
        <v>83.7</v>
      </c>
      <c r="N1429" s="7">
        <v>1.3</v>
      </c>
      <c r="O1429" s="7">
        <v>202</v>
      </c>
      <c r="P1429" s="7" t="s">
        <v>28</v>
      </c>
      <c r="Q1429" s="7" t="str">
        <f t="shared" si="88"/>
        <v>Moderate</v>
      </c>
      <c r="R1429" s="7" t="str">
        <f t="shared" si="89"/>
        <v>Cool</v>
      </c>
      <c r="S1429" s="7" t="str">
        <f t="shared" si="90"/>
        <v>High Humidity</v>
      </c>
      <c r="T1429" s="7" t="str">
        <f t="shared" si="91"/>
        <v>Low Wind</v>
      </c>
    </row>
    <row r="1430" spans="1:20" x14ac:dyDescent="0.25">
      <c r="A1430" s="7" t="s">
        <v>1497</v>
      </c>
      <c r="B1430" s="10">
        <v>45828</v>
      </c>
      <c r="C1430" s="11" t="s">
        <v>38</v>
      </c>
      <c r="D1430" s="11" t="s">
        <v>39</v>
      </c>
      <c r="E1430" s="7" t="s">
        <v>70</v>
      </c>
      <c r="F1430" s="9">
        <v>71.3</v>
      </c>
      <c r="G1430" s="9">
        <v>38.299999999999997</v>
      </c>
      <c r="H1430" s="9">
        <v>14.3</v>
      </c>
      <c r="I1430" s="9">
        <v>25.7</v>
      </c>
      <c r="J1430" s="9">
        <v>0.28000000000000003</v>
      </c>
      <c r="K1430" s="9">
        <v>56.8</v>
      </c>
      <c r="L1430" s="7">
        <v>24.3</v>
      </c>
      <c r="M1430" s="7">
        <v>62</v>
      </c>
      <c r="N1430" s="7">
        <v>0.1</v>
      </c>
      <c r="O1430" s="7">
        <v>201</v>
      </c>
      <c r="P1430" s="7" t="s">
        <v>28</v>
      </c>
      <c r="Q1430" s="7" t="str">
        <f t="shared" si="88"/>
        <v>Good</v>
      </c>
      <c r="R1430" s="7" t="str">
        <f t="shared" si="89"/>
        <v>Normal</v>
      </c>
      <c r="S1430" s="7" t="str">
        <f t="shared" si="90"/>
        <v>High Humidity</v>
      </c>
      <c r="T1430" s="7" t="str">
        <f t="shared" si="91"/>
        <v>Low Wind</v>
      </c>
    </row>
    <row r="1431" spans="1:20" x14ac:dyDescent="0.25">
      <c r="A1431" s="7" t="s">
        <v>1498</v>
      </c>
      <c r="B1431" s="10">
        <v>45949</v>
      </c>
      <c r="C1431" s="11" t="s">
        <v>26</v>
      </c>
      <c r="D1431" s="11" t="s">
        <v>23</v>
      </c>
      <c r="E1431" s="7" t="s">
        <v>68</v>
      </c>
      <c r="F1431" s="9">
        <v>87.6</v>
      </c>
      <c r="G1431" s="9">
        <v>45.8</v>
      </c>
      <c r="H1431" s="9">
        <v>4.3</v>
      </c>
      <c r="I1431" s="9">
        <v>32.1</v>
      </c>
      <c r="J1431" s="9">
        <v>1.02</v>
      </c>
      <c r="K1431" s="9">
        <v>33.4</v>
      </c>
      <c r="L1431" s="7">
        <v>18.8</v>
      </c>
      <c r="M1431" s="7">
        <v>73</v>
      </c>
      <c r="N1431" s="7">
        <v>1.5</v>
      </c>
      <c r="O1431" s="7">
        <v>236</v>
      </c>
      <c r="P1431" s="7" t="s">
        <v>28</v>
      </c>
      <c r="Q1431" s="7" t="str">
        <f t="shared" si="88"/>
        <v>Good</v>
      </c>
      <c r="R1431" s="7" t="str">
        <f t="shared" si="89"/>
        <v>Cool</v>
      </c>
      <c r="S1431" s="7" t="str">
        <f t="shared" si="90"/>
        <v>High Humidity</v>
      </c>
      <c r="T1431" s="7" t="str">
        <f t="shared" si="91"/>
        <v>Low Wind</v>
      </c>
    </row>
    <row r="1432" spans="1:20" x14ac:dyDescent="0.25">
      <c r="A1432" s="7" t="s">
        <v>1499</v>
      </c>
      <c r="B1432" s="10">
        <v>45794</v>
      </c>
      <c r="C1432" s="11" t="s">
        <v>42</v>
      </c>
      <c r="D1432" s="11" t="s">
        <v>23</v>
      </c>
      <c r="E1432" s="7" t="s">
        <v>58</v>
      </c>
      <c r="F1432" s="9">
        <v>73.099999999999994</v>
      </c>
      <c r="G1432" s="9">
        <v>132.6</v>
      </c>
      <c r="H1432" s="9">
        <v>43.7</v>
      </c>
      <c r="I1432" s="9">
        <v>20</v>
      </c>
      <c r="J1432" s="9">
        <v>1.17</v>
      </c>
      <c r="K1432" s="9">
        <v>22.5</v>
      </c>
      <c r="L1432" s="7">
        <v>27.8</v>
      </c>
      <c r="M1432" s="7">
        <v>47.9</v>
      </c>
      <c r="N1432" s="7">
        <v>2.9</v>
      </c>
      <c r="O1432" s="7">
        <v>291</v>
      </c>
      <c r="P1432" s="7" t="s">
        <v>28</v>
      </c>
      <c r="Q1432" s="7" t="str">
        <f t="shared" si="88"/>
        <v>Unhealthy</v>
      </c>
      <c r="R1432" s="7" t="str">
        <f t="shared" si="89"/>
        <v>Normal</v>
      </c>
      <c r="S1432" s="7" t="str">
        <f t="shared" si="90"/>
        <v>Normal Humidity</v>
      </c>
      <c r="T1432" s="7" t="str">
        <f t="shared" si="91"/>
        <v>Moderate Wind</v>
      </c>
    </row>
    <row r="1433" spans="1:20" x14ac:dyDescent="0.25">
      <c r="A1433" s="7" t="s">
        <v>1500</v>
      </c>
      <c r="B1433" s="10">
        <v>45695</v>
      </c>
      <c r="C1433" s="11" t="s">
        <v>81</v>
      </c>
      <c r="D1433" s="11" t="s">
        <v>39</v>
      </c>
      <c r="E1433" s="7" t="s">
        <v>68</v>
      </c>
      <c r="F1433" s="9">
        <v>25.2</v>
      </c>
      <c r="G1433" s="9">
        <v>82</v>
      </c>
      <c r="H1433" s="9">
        <v>46.1</v>
      </c>
      <c r="I1433" s="9">
        <v>26.4</v>
      </c>
      <c r="J1433" s="9">
        <v>0.78</v>
      </c>
      <c r="K1433" s="9">
        <v>17.5</v>
      </c>
      <c r="L1433" s="7">
        <v>29.6</v>
      </c>
      <c r="M1433" s="7">
        <v>98</v>
      </c>
      <c r="N1433" s="7">
        <v>1.6</v>
      </c>
      <c r="O1433" s="7">
        <v>176</v>
      </c>
      <c r="P1433" s="7" t="s">
        <v>33</v>
      </c>
      <c r="Q1433" s="7" t="str">
        <f t="shared" si="88"/>
        <v>Moderate</v>
      </c>
      <c r="R1433" s="7" t="str">
        <f t="shared" si="89"/>
        <v>Normal</v>
      </c>
      <c r="S1433" s="7" t="str">
        <f t="shared" si="90"/>
        <v>High Humidity</v>
      </c>
      <c r="T1433" s="7" t="str">
        <f t="shared" si="91"/>
        <v>Low Wind</v>
      </c>
    </row>
    <row r="1434" spans="1:20" x14ac:dyDescent="0.25">
      <c r="A1434" s="7" t="s">
        <v>1502</v>
      </c>
      <c r="B1434" s="10">
        <v>45779</v>
      </c>
      <c r="C1434" s="11" t="s">
        <v>67</v>
      </c>
      <c r="D1434" s="11" t="s">
        <v>18</v>
      </c>
      <c r="E1434" s="7" t="s">
        <v>27</v>
      </c>
      <c r="F1434" s="9">
        <v>31.8</v>
      </c>
      <c r="G1434" s="9">
        <v>77.5</v>
      </c>
      <c r="H1434" s="9">
        <v>15.2</v>
      </c>
      <c r="I1434" s="9">
        <v>29.6</v>
      </c>
      <c r="J1434" s="9">
        <v>0.82</v>
      </c>
      <c r="K1434" s="9">
        <v>14</v>
      </c>
      <c r="L1434" s="7">
        <v>34.299999999999997</v>
      </c>
      <c r="M1434" s="7">
        <v>89.8</v>
      </c>
      <c r="N1434" s="7">
        <v>1</v>
      </c>
      <c r="O1434" s="7">
        <v>161</v>
      </c>
      <c r="P1434" s="7" t="s">
        <v>33</v>
      </c>
      <c r="Q1434" s="7" t="str">
        <f t="shared" si="88"/>
        <v>Moderate</v>
      </c>
      <c r="R1434" s="7" t="str">
        <f t="shared" si="89"/>
        <v>Hot</v>
      </c>
      <c r="S1434" s="7" t="str">
        <f t="shared" si="90"/>
        <v>High Humidity</v>
      </c>
      <c r="T1434" s="7" t="str">
        <f t="shared" si="91"/>
        <v>Low Wind</v>
      </c>
    </row>
    <row r="1435" spans="1:20" x14ac:dyDescent="0.25">
      <c r="A1435" s="7" t="s">
        <v>1503</v>
      </c>
      <c r="B1435" s="10">
        <v>45667</v>
      </c>
      <c r="C1435" s="11" t="s">
        <v>50</v>
      </c>
      <c r="D1435" s="11" t="s">
        <v>31</v>
      </c>
      <c r="E1435" s="7" t="s">
        <v>55</v>
      </c>
      <c r="F1435" s="9">
        <v>7.7</v>
      </c>
      <c r="G1435" s="9">
        <v>144.30000000000001</v>
      </c>
      <c r="H1435" s="9">
        <v>69</v>
      </c>
      <c r="I1435" s="9">
        <v>23.6</v>
      </c>
      <c r="J1435" s="9">
        <v>1.65</v>
      </c>
      <c r="K1435" s="9">
        <v>39.200000000000003</v>
      </c>
      <c r="L1435" s="7">
        <v>29.6</v>
      </c>
      <c r="M1435" s="7">
        <v>56.6</v>
      </c>
      <c r="N1435" s="7">
        <v>2.8</v>
      </c>
      <c r="O1435" s="7">
        <v>237</v>
      </c>
      <c r="P1435" s="7" t="s">
        <v>28</v>
      </c>
      <c r="Q1435" s="7" t="str">
        <f t="shared" si="88"/>
        <v>Unhealthy</v>
      </c>
      <c r="R1435" s="7" t="str">
        <f t="shared" si="89"/>
        <v>Normal</v>
      </c>
      <c r="S1435" s="7" t="str">
        <f t="shared" si="90"/>
        <v>Normal Humidity</v>
      </c>
      <c r="T1435" s="7" t="str">
        <f t="shared" si="91"/>
        <v>Moderate Wind</v>
      </c>
    </row>
    <row r="1436" spans="1:20" x14ac:dyDescent="0.25">
      <c r="A1436" s="7" t="s">
        <v>1504</v>
      </c>
      <c r="B1436" s="10">
        <v>45717</v>
      </c>
      <c r="C1436" s="11" t="s">
        <v>26</v>
      </c>
      <c r="D1436" s="11" t="s">
        <v>23</v>
      </c>
      <c r="E1436" s="7" t="s">
        <v>24</v>
      </c>
      <c r="F1436" s="9">
        <v>63.3</v>
      </c>
      <c r="G1436" s="9">
        <v>25.4</v>
      </c>
      <c r="H1436" s="9">
        <v>23.5</v>
      </c>
      <c r="I1436" s="9">
        <v>39.1</v>
      </c>
      <c r="J1436" s="9">
        <v>0.77</v>
      </c>
      <c r="K1436" s="9">
        <v>15.6</v>
      </c>
      <c r="L1436" s="7">
        <v>35</v>
      </c>
      <c r="M1436" s="7">
        <v>54.6</v>
      </c>
      <c r="N1436" s="7">
        <v>2.4</v>
      </c>
      <c r="O1436" s="7">
        <v>190</v>
      </c>
      <c r="P1436" s="7" t="s">
        <v>33</v>
      </c>
      <c r="Q1436" s="7" t="str">
        <f t="shared" si="88"/>
        <v>Good</v>
      </c>
      <c r="R1436" s="7" t="str">
        <f t="shared" si="89"/>
        <v>Hot</v>
      </c>
      <c r="S1436" s="7" t="str">
        <f t="shared" si="90"/>
        <v>Normal Humidity</v>
      </c>
      <c r="T1436" s="7" t="str">
        <f t="shared" si="91"/>
        <v>Moderate Wind</v>
      </c>
    </row>
    <row r="1437" spans="1:20" x14ac:dyDescent="0.25">
      <c r="A1437" s="7" t="s">
        <v>1505</v>
      </c>
      <c r="B1437" s="10">
        <v>45702</v>
      </c>
      <c r="C1437" s="11" t="s">
        <v>30</v>
      </c>
      <c r="D1437" s="11" t="s">
        <v>31</v>
      </c>
      <c r="E1437" s="7" t="s">
        <v>55</v>
      </c>
      <c r="F1437" s="9">
        <v>58.4</v>
      </c>
      <c r="G1437" s="9">
        <v>36.200000000000003</v>
      </c>
      <c r="H1437" s="9">
        <v>27.1</v>
      </c>
      <c r="I1437" s="9">
        <v>3.7</v>
      </c>
      <c r="J1437" s="9">
        <v>2.09</v>
      </c>
      <c r="K1437" s="9">
        <v>39.6</v>
      </c>
      <c r="L1437" s="7">
        <v>25.1</v>
      </c>
      <c r="M1437" s="7">
        <v>59.2</v>
      </c>
      <c r="N1437" s="7">
        <v>0.8</v>
      </c>
      <c r="O1437" s="7">
        <v>211</v>
      </c>
      <c r="P1437" s="7" t="s">
        <v>28</v>
      </c>
      <c r="Q1437" s="7" t="str">
        <f t="shared" si="88"/>
        <v>Good</v>
      </c>
      <c r="R1437" s="7" t="str">
        <f t="shared" si="89"/>
        <v>Normal</v>
      </c>
      <c r="S1437" s="7" t="str">
        <f t="shared" si="90"/>
        <v>Normal Humidity</v>
      </c>
      <c r="T1437" s="7" t="str">
        <f t="shared" si="91"/>
        <v>Low Wind</v>
      </c>
    </row>
    <row r="1438" spans="1:20" x14ac:dyDescent="0.25">
      <c r="A1438" s="7" t="s">
        <v>1506</v>
      </c>
      <c r="B1438" s="10">
        <v>45935</v>
      </c>
      <c r="C1438" s="11" t="s">
        <v>50</v>
      </c>
      <c r="D1438" s="11" t="s">
        <v>31</v>
      </c>
      <c r="E1438" s="7" t="s">
        <v>58</v>
      </c>
      <c r="F1438" s="9">
        <v>19</v>
      </c>
      <c r="G1438" s="9">
        <v>36.1</v>
      </c>
      <c r="H1438" s="9">
        <v>40.1</v>
      </c>
      <c r="I1438" s="9">
        <v>7.8</v>
      </c>
      <c r="J1438" s="9">
        <v>0.7</v>
      </c>
      <c r="K1438" s="9">
        <v>34.5</v>
      </c>
      <c r="L1438" s="7">
        <v>18.899999999999999</v>
      </c>
      <c r="M1438" s="7">
        <v>24.8</v>
      </c>
      <c r="N1438" s="7">
        <v>1.2</v>
      </c>
      <c r="O1438" s="7">
        <v>124</v>
      </c>
      <c r="P1438" s="7" t="s">
        <v>33</v>
      </c>
      <c r="Q1438" s="7" t="str">
        <f t="shared" si="88"/>
        <v>Good</v>
      </c>
      <c r="R1438" s="7" t="str">
        <f t="shared" si="89"/>
        <v>Cool</v>
      </c>
      <c r="S1438" s="7" t="str">
        <f t="shared" si="90"/>
        <v>Low Humidity</v>
      </c>
      <c r="T1438" s="7" t="str">
        <f t="shared" si="91"/>
        <v>Low Wind</v>
      </c>
    </row>
    <row r="1439" spans="1:20" x14ac:dyDescent="0.25">
      <c r="A1439" s="7" t="s">
        <v>1507</v>
      </c>
      <c r="B1439" s="10">
        <v>46001</v>
      </c>
      <c r="C1439" s="11" t="s">
        <v>52</v>
      </c>
      <c r="D1439" s="11" t="s">
        <v>31</v>
      </c>
      <c r="E1439" s="7" t="s">
        <v>40</v>
      </c>
      <c r="F1439" s="9">
        <v>75.2</v>
      </c>
      <c r="G1439" s="9">
        <v>144.80000000000001</v>
      </c>
      <c r="H1439" s="9">
        <v>19.2</v>
      </c>
      <c r="I1439" s="9">
        <v>4.5</v>
      </c>
      <c r="J1439" s="9">
        <v>0.5</v>
      </c>
      <c r="K1439" s="9">
        <v>26.1</v>
      </c>
      <c r="L1439" s="7">
        <v>31.3</v>
      </c>
      <c r="M1439" s="7">
        <v>51.6</v>
      </c>
      <c r="N1439" s="7">
        <v>3.4</v>
      </c>
      <c r="O1439" s="7">
        <v>257</v>
      </c>
      <c r="P1439" s="7" t="s">
        <v>28</v>
      </c>
      <c r="Q1439" s="7" t="str">
        <f t="shared" si="88"/>
        <v>Unhealthy</v>
      </c>
      <c r="R1439" s="7" t="str">
        <f t="shared" si="89"/>
        <v>Hot</v>
      </c>
      <c r="S1439" s="7" t="str">
        <f t="shared" si="90"/>
        <v>Normal Humidity</v>
      </c>
      <c r="T1439" s="7" t="str">
        <f t="shared" si="91"/>
        <v>Moderate Wind</v>
      </c>
    </row>
    <row r="1440" spans="1:20" x14ac:dyDescent="0.25">
      <c r="A1440" s="7" t="s">
        <v>1508</v>
      </c>
      <c r="B1440" s="10">
        <v>45785</v>
      </c>
      <c r="C1440" s="11" t="s">
        <v>99</v>
      </c>
      <c r="D1440" s="11" t="s">
        <v>36</v>
      </c>
      <c r="E1440" s="7" t="s">
        <v>43</v>
      </c>
      <c r="F1440" s="9">
        <v>54.6</v>
      </c>
      <c r="G1440" s="9">
        <v>112.5</v>
      </c>
      <c r="H1440" s="9">
        <v>10.9</v>
      </c>
      <c r="I1440" s="9">
        <v>15.4</v>
      </c>
      <c r="J1440" s="9">
        <v>0.67</v>
      </c>
      <c r="K1440" s="9">
        <v>67.2</v>
      </c>
      <c r="L1440" s="7">
        <v>31.3</v>
      </c>
      <c r="M1440" s="7">
        <v>52.1</v>
      </c>
      <c r="N1440" s="7">
        <v>1.2</v>
      </c>
      <c r="O1440" s="7">
        <v>227</v>
      </c>
      <c r="P1440" s="7" t="s">
        <v>28</v>
      </c>
      <c r="Q1440" s="7" t="str">
        <f t="shared" si="88"/>
        <v>Unhealthy</v>
      </c>
      <c r="R1440" s="7" t="str">
        <f t="shared" si="89"/>
        <v>Hot</v>
      </c>
      <c r="S1440" s="7" t="str">
        <f t="shared" si="90"/>
        <v>Normal Humidity</v>
      </c>
      <c r="T1440" s="7" t="str">
        <f t="shared" si="91"/>
        <v>Low Wind</v>
      </c>
    </row>
    <row r="1441" spans="1:20" x14ac:dyDescent="0.25">
      <c r="A1441" s="7" t="s">
        <v>1509</v>
      </c>
      <c r="B1441" s="10">
        <v>45758</v>
      </c>
      <c r="C1441" s="11" t="s">
        <v>42</v>
      </c>
      <c r="D1441" s="11" t="s">
        <v>23</v>
      </c>
      <c r="E1441" s="7" t="s">
        <v>58</v>
      </c>
      <c r="F1441" s="9">
        <v>75.599999999999994</v>
      </c>
      <c r="G1441" s="9">
        <v>43.1</v>
      </c>
      <c r="H1441" s="9">
        <v>30.6</v>
      </c>
      <c r="I1441" s="9">
        <v>13.7</v>
      </c>
      <c r="J1441" s="9">
        <v>0.63</v>
      </c>
      <c r="K1441" s="9">
        <v>25.3</v>
      </c>
      <c r="L1441" s="7">
        <v>26.4</v>
      </c>
      <c r="M1441" s="7">
        <v>61.1</v>
      </c>
      <c r="N1441" s="7">
        <v>3.7</v>
      </c>
      <c r="O1441" s="7">
        <v>210</v>
      </c>
      <c r="P1441" s="7" t="s">
        <v>28</v>
      </c>
      <c r="Q1441" s="7" t="str">
        <f t="shared" si="88"/>
        <v>Good</v>
      </c>
      <c r="R1441" s="7" t="str">
        <f t="shared" si="89"/>
        <v>Normal</v>
      </c>
      <c r="S1441" s="7" t="str">
        <f t="shared" si="90"/>
        <v>High Humidity</v>
      </c>
      <c r="T1441" s="7" t="str">
        <f t="shared" si="91"/>
        <v>Moderate Wind</v>
      </c>
    </row>
    <row r="1442" spans="1:20" x14ac:dyDescent="0.25">
      <c r="A1442" s="7" t="s">
        <v>1510</v>
      </c>
      <c r="B1442" s="10">
        <v>45941</v>
      </c>
      <c r="C1442" s="11" t="s">
        <v>52</v>
      </c>
      <c r="D1442" s="11" t="s">
        <v>31</v>
      </c>
      <c r="E1442" s="7" t="s">
        <v>55</v>
      </c>
      <c r="F1442" s="9">
        <v>23.7</v>
      </c>
      <c r="G1442" s="9">
        <v>104.2</v>
      </c>
      <c r="H1442" s="9">
        <v>5.5</v>
      </c>
      <c r="I1442" s="9">
        <v>26.4</v>
      </c>
      <c r="J1442" s="9">
        <v>0.57999999999999996</v>
      </c>
      <c r="K1442" s="9">
        <v>72.8</v>
      </c>
      <c r="L1442" s="7">
        <v>39</v>
      </c>
      <c r="M1442" s="7">
        <v>73.8</v>
      </c>
      <c r="N1442" s="7">
        <v>2.7</v>
      </c>
      <c r="O1442" s="7">
        <v>176</v>
      </c>
      <c r="P1442" s="7" t="s">
        <v>33</v>
      </c>
      <c r="Q1442" s="7" t="str">
        <f t="shared" si="88"/>
        <v>Unhealthy</v>
      </c>
      <c r="R1442" s="7" t="str">
        <f t="shared" si="89"/>
        <v>Hot</v>
      </c>
      <c r="S1442" s="7" t="str">
        <f t="shared" si="90"/>
        <v>High Humidity</v>
      </c>
      <c r="T1442" s="7" t="str">
        <f t="shared" si="91"/>
        <v>Moderate Wind</v>
      </c>
    </row>
    <row r="1443" spans="1:20" x14ac:dyDescent="0.25">
      <c r="A1443" s="7" t="s">
        <v>1511</v>
      </c>
      <c r="B1443" s="10">
        <v>45872</v>
      </c>
      <c r="C1443" s="11" t="s">
        <v>17</v>
      </c>
      <c r="D1443" s="11" t="s">
        <v>18</v>
      </c>
      <c r="E1443" s="7" t="s">
        <v>19</v>
      </c>
      <c r="F1443" s="9">
        <v>27.5</v>
      </c>
      <c r="G1443" s="9">
        <v>50.6</v>
      </c>
      <c r="H1443" s="9">
        <v>18.7</v>
      </c>
      <c r="I1443" s="9">
        <v>5.7</v>
      </c>
      <c r="J1443" s="9">
        <v>0.52</v>
      </c>
      <c r="K1443" s="9">
        <v>33.1</v>
      </c>
      <c r="L1443" s="7">
        <v>20.9</v>
      </c>
      <c r="M1443" s="7">
        <v>48.5</v>
      </c>
      <c r="N1443" s="7">
        <v>1.5</v>
      </c>
      <c r="O1443" s="7">
        <v>124</v>
      </c>
      <c r="P1443" s="7" t="s">
        <v>33</v>
      </c>
      <c r="Q1443" s="7" t="str">
        <f t="shared" si="88"/>
        <v>Moderate</v>
      </c>
      <c r="R1443" s="7" t="str">
        <f t="shared" si="89"/>
        <v>Normal</v>
      </c>
      <c r="S1443" s="7" t="str">
        <f t="shared" si="90"/>
        <v>Normal Humidity</v>
      </c>
      <c r="T1443" s="7" t="str">
        <f t="shared" si="91"/>
        <v>Low Wind</v>
      </c>
    </row>
    <row r="1444" spans="1:20" x14ac:dyDescent="0.25">
      <c r="A1444" s="7" t="s">
        <v>1512</v>
      </c>
      <c r="B1444" s="10">
        <v>45789</v>
      </c>
      <c r="C1444" s="11" t="s">
        <v>81</v>
      </c>
      <c r="D1444" s="11" t="s">
        <v>39</v>
      </c>
      <c r="E1444" s="7" t="s">
        <v>19</v>
      </c>
      <c r="F1444" s="9">
        <v>16.399999999999999</v>
      </c>
      <c r="G1444" s="9">
        <v>66.5</v>
      </c>
      <c r="H1444" s="9">
        <v>12.6</v>
      </c>
      <c r="I1444" s="9">
        <v>10.6</v>
      </c>
      <c r="J1444" s="9">
        <v>1.02</v>
      </c>
      <c r="K1444" s="9">
        <v>59.9</v>
      </c>
      <c r="L1444" s="7">
        <v>28</v>
      </c>
      <c r="M1444" s="7">
        <v>40.700000000000003</v>
      </c>
      <c r="N1444" s="7">
        <v>2.5</v>
      </c>
      <c r="O1444" s="7">
        <v>139</v>
      </c>
      <c r="P1444" s="7" t="s">
        <v>33</v>
      </c>
      <c r="Q1444" s="7" t="str">
        <f t="shared" si="88"/>
        <v>Moderate</v>
      </c>
      <c r="R1444" s="7" t="str">
        <f t="shared" si="89"/>
        <v>Normal</v>
      </c>
      <c r="S1444" s="7" t="str">
        <f t="shared" si="90"/>
        <v>Normal Humidity</v>
      </c>
      <c r="T1444" s="7" t="str">
        <f t="shared" si="91"/>
        <v>Moderate Wind</v>
      </c>
    </row>
    <row r="1445" spans="1:20" x14ac:dyDescent="0.25">
      <c r="A1445" s="7" t="s">
        <v>1513</v>
      </c>
      <c r="B1445" s="10">
        <v>45800</v>
      </c>
      <c r="C1445" s="11" t="s">
        <v>30</v>
      </c>
      <c r="D1445" s="11" t="s">
        <v>31</v>
      </c>
      <c r="E1445" s="7" t="s">
        <v>68</v>
      </c>
      <c r="F1445" s="9">
        <v>31.9</v>
      </c>
      <c r="G1445" s="9">
        <v>143.5</v>
      </c>
      <c r="H1445" s="9">
        <v>23.5</v>
      </c>
      <c r="I1445" s="9">
        <v>20.2</v>
      </c>
      <c r="J1445" s="9">
        <v>0.91</v>
      </c>
      <c r="K1445" s="9">
        <v>23.3</v>
      </c>
      <c r="L1445" s="7">
        <v>22</v>
      </c>
      <c r="M1445" s="7">
        <v>83.8</v>
      </c>
      <c r="N1445" s="7">
        <v>2</v>
      </c>
      <c r="O1445" s="7">
        <v>210</v>
      </c>
      <c r="P1445" s="7" t="s">
        <v>28</v>
      </c>
      <c r="Q1445" s="7" t="str">
        <f t="shared" si="88"/>
        <v>Unhealthy</v>
      </c>
      <c r="R1445" s="7" t="str">
        <f t="shared" si="89"/>
        <v>Normal</v>
      </c>
      <c r="S1445" s="7" t="str">
        <f t="shared" si="90"/>
        <v>High Humidity</v>
      </c>
      <c r="T1445" s="7" t="str">
        <f t="shared" si="91"/>
        <v>Moderate Wind</v>
      </c>
    </row>
    <row r="1446" spans="1:20" x14ac:dyDescent="0.25">
      <c r="A1446" s="7" t="s">
        <v>1514</v>
      </c>
      <c r="B1446" s="10">
        <v>46011</v>
      </c>
      <c r="C1446" s="11" t="s">
        <v>42</v>
      </c>
      <c r="D1446" s="11" t="s">
        <v>23</v>
      </c>
      <c r="E1446" s="7" t="s">
        <v>19</v>
      </c>
      <c r="F1446" s="9">
        <v>38.200000000000003</v>
      </c>
      <c r="G1446" s="9">
        <v>81.099999999999994</v>
      </c>
      <c r="H1446" s="9">
        <v>33.6</v>
      </c>
      <c r="I1446" s="9">
        <v>13.6</v>
      </c>
      <c r="J1446" s="9">
        <v>0.71</v>
      </c>
      <c r="K1446" s="9">
        <v>29.2</v>
      </c>
      <c r="L1446" s="7">
        <v>19.8</v>
      </c>
      <c r="M1446" s="7">
        <v>73.7</v>
      </c>
      <c r="N1446" s="7">
        <v>2.2999999999999998</v>
      </c>
      <c r="O1446" s="7">
        <v>181</v>
      </c>
      <c r="P1446" s="7" t="s">
        <v>33</v>
      </c>
      <c r="Q1446" s="7" t="str">
        <f t="shared" si="88"/>
        <v>Moderate</v>
      </c>
      <c r="R1446" s="7" t="str">
        <f t="shared" si="89"/>
        <v>Cool</v>
      </c>
      <c r="S1446" s="7" t="str">
        <f t="shared" si="90"/>
        <v>High Humidity</v>
      </c>
      <c r="T1446" s="7" t="str">
        <f t="shared" si="91"/>
        <v>Moderate Wind</v>
      </c>
    </row>
    <row r="1447" spans="1:20" x14ac:dyDescent="0.25">
      <c r="A1447" s="7" t="s">
        <v>1515</v>
      </c>
      <c r="B1447" s="10">
        <v>45736</v>
      </c>
      <c r="C1447" s="11" t="s">
        <v>67</v>
      </c>
      <c r="D1447" s="11" t="s">
        <v>18</v>
      </c>
      <c r="E1447" s="7" t="s">
        <v>91</v>
      </c>
      <c r="F1447" s="9">
        <v>22.6</v>
      </c>
      <c r="G1447" s="9">
        <v>53.8</v>
      </c>
      <c r="H1447" s="9">
        <v>47.1</v>
      </c>
      <c r="I1447" s="9">
        <v>5.8</v>
      </c>
      <c r="J1447" s="9">
        <v>0.47</v>
      </c>
      <c r="K1447" s="9">
        <v>19.8</v>
      </c>
      <c r="L1447" s="7">
        <v>27.2</v>
      </c>
      <c r="M1447" s="7">
        <v>79.5</v>
      </c>
      <c r="N1447" s="7">
        <v>3.2</v>
      </c>
      <c r="O1447" s="7">
        <v>134</v>
      </c>
      <c r="P1447" s="7" t="s">
        <v>33</v>
      </c>
      <c r="Q1447" s="7" t="str">
        <f t="shared" si="88"/>
        <v>Moderate</v>
      </c>
      <c r="R1447" s="7" t="str">
        <f t="shared" si="89"/>
        <v>Normal</v>
      </c>
      <c r="S1447" s="7" t="str">
        <f t="shared" si="90"/>
        <v>High Humidity</v>
      </c>
      <c r="T1447" s="7" t="str">
        <f t="shared" si="91"/>
        <v>Moderate Wind</v>
      </c>
    </row>
    <row r="1448" spans="1:20" x14ac:dyDescent="0.25">
      <c r="A1448" s="7" t="s">
        <v>1516</v>
      </c>
      <c r="B1448" s="10">
        <v>45838</v>
      </c>
      <c r="C1448" s="11" t="s">
        <v>35</v>
      </c>
      <c r="D1448" s="11" t="s">
        <v>36</v>
      </c>
      <c r="E1448" s="7" t="s">
        <v>24</v>
      </c>
      <c r="F1448" s="9">
        <v>62.1</v>
      </c>
      <c r="G1448" s="9">
        <v>111.6</v>
      </c>
      <c r="H1448" s="9">
        <v>17.8</v>
      </c>
      <c r="I1448" s="9">
        <v>5.3</v>
      </c>
      <c r="J1448" s="9">
        <v>1.75</v>
      </c>
      <c r="K1448" s="9">
        <v>29.7</v>
      </c>
      <c r="L1448" s="7">
        <v>22.1</v>
      </c>
      <c r="M1448" s="7">
        <v>53.9</v>
      </c>
      <c r="N1448" s="7">
        <v>2.5</v>
      </c>
      <c r="O1448" s="7">
        <v>247</v>
      </c>
      <c r="P1448" s="7" t="s">
        <v>28</v>
      </c>
      <c r="Q1448" s="7" t="str">
        <f t="shared" si="88"/>
        <v>Unhealthy</v>
      </c>
      <c r="R1448" s="7" t="str">
        <f t="shared" si="89"/>
        <v>Normal</v>
      </c>
      <c r="S1448" s="7" t="str">
        <f t="shared" si="90"/>
        <v>Normal Humidity</v>
      </c>
      <c r="T1448" s="7" t="str">
        <f t="shared" si="91"/>
        <v>Moderate Wind</v>
      </c>
    </row>
    <row r="1449" spans="1:20" x14ac:dyDescent="0.25">
      <c r="A1449" s="7" t="s">
        <v>1517</v>
      </c>
      <c r="B1449" s="10">
        <v>45716</v>
      </c>
      <c r="C1449" s="11" t="s">
        <v>67</v>
      </c>
      <c r="D1449" s="11" t="s">
        <v>18</v>
      </c>
      <c r="E1449" s="7" t="s">
        <v>74</v>
      </c>
      <c r="F1449" s="9">
        <v>33.6</v>
      </c>
      <c r="G1449" s="9">
        <v>61.6</v>
      </c>
      <c r="H1449" s="9">
        <v>42.3</v>
      </c>
      <c r="I1449" s="9">
        <v>14.8</v>
      </c>
      <c r="J1449" s="9">
        <v>0.69</v>
      </c>
      <c r="K1449" s="9">
        <v>32.299999999999997</v>
      </c>
      <c r="L1449" s="7">
        <v>36.9</v>
      </c>
      <c r="M1449" s="7">
        <v>71.2</v>
      </c>
      <c r="N1449" s="7">
        <v>1.9</v>
      </c>
      <c r="O1449" s="7">
        <v>170</v>
      </c>
      <c r="P1449" s="7" t="s">
        <v>33</v>
      </c>
      <c r="Q1449" s="7" t="str">
        <f t="shared" si="88"/>
        <v>Moderate</v>
      </c>
      <c r="R1449" s="7" t="str">
        <f t="shared" si="89"/>
        <v>Hot</v>
      </c>
      <c r="S1449" s="7" t="str">
        <f t="shared" si="90"/>
        <v>High Humidity</v>
      </c>
      <c r="T1449" s="7" t="str">
        <f t="shared" si="91"/>
        <v>Low Wind</v>
      </c>
    </row>
    <row r="1450" spans="1:20" x14ac:dyDescent="0.25">
      <c r="A1450" s="7" t="s">
        <v>1518</v>
      </c>
      <c r="B1450" s="10">
        <v>45898</v>
      </c>
      <c r="C1450" s="11" t="s">
        <v>22</v>
      </c>
      <c r="D1450" s="11" t="s">
        <v>23</v>
      </c>
      <c r="E1450" s="7" t="s">
        <v>27</v>
      </c>
      <c r="F1450" s="9">
        <v>56.6</v>
      </c>
      <c r="G1450" s="9">
        <v>105.4</v>
      </c>
      <c r="H1450" s="9">
        <v>17</v>
      </c>
      <c r="I1450" s="9">
        <v>13</v>
      </c>
      <c r="J1450" s="9">
        <v>0.91</v>
      </c>
      <c r="K1450" s="9">
        <v>44.3</v>
      </c>
      <c r="L1450" s="7">
        <v>23.1</v>
      </c>
      <c r="M1450" s="7">
        <v>30</v>
      </c>
      <c r="N1450" s="7">
        <v>1.7</v>
      </c>
      <c r="O1450" s="7">
        <v>224</v>
      </c>
      <c r="P1450" s="7" t="s">
        <v>28</v>
      </c>
      <c r="Q1450" s="7" t="str">
        <f t="shared" si="88"/>
        <v>Unhealthy</v>
      </c>
      <c r="R1450" s="7" t="str">
        <f t="shared" si="89"/>
        <v>Normal</v>
      </c>
      <c r="S1450" s="7" t="str">
        <f t="shared" si="90"/>
        <v>Normal Humidity</v>
      </c>
      <c r="T1450" s="7" t="str">
        <f t="shared" si="91"/>
        <v>Low Wind</v>
      </c>
    </row>
    <row r="1451" spans="1:20" x14ac:dyDescent="0.25">
      <c r="A1451" s="7" t="s">
        <v>1519</v>
      </c>
      <c r="B1451" s="10">
        <v>45874</v>
      </c>
      <c r="C1451" s="11" t="s">
        <v>50</v>
      </c>
      <c r="D1451" s="11" t="s">
        <v>31</v>
      </c>
      <c r="E1451" s="7" t="s">
        <v>68</v>
      </c>
      <c r="F1451" s="9">
        <v>13.5</v>
      </c>
      <c r="G1451" s="9">
        <v>126.3</v>
      </c>
      <c r="H1451" s="9">
        <v>49</v>
      </c>
      <c r="I1451" s="9">
        <v>24.1</v>
      </c>
      <c r="J1451" s="9">
        <v>1.27</v>
      </c>
      <c r="K1451" s="9">
        <v>12.5</v>
      </c>
      <c r="L1451" s="7">
        <v>28.6</v>
      </c>
      <c r="M1451" s="7">
        <v>41.5</v>
      </c>
      <c r="N1451" s="7">
        <v>4.2</v>
      </c>
      <c r="O1451" s="7">
        <v>197</v>
      </c>
      <c r="P1451" s="7" t="s">
        <v>33</v>
      </c>
      <c r="Q1451" s="7" t="str">
        <f t="shared" si="88"/>
        <v>Unhealthy</v>
      </c>
      <c r="R1451" s="7" t="str">
        <f t="shared" si="89"/>
        <v>Normal</v>
      </c>
      <c r="S1451" s="7" t="str">
        <f t="shared" si="90"/>
        <v>Normal Humidity</v>
      </c>
      <c r="T1451" s="7" t="str">
        <f t="shared" si="91"/>
        <v>Moderate Wind</v>
      </c>
    </row>
    <row r="1452" spans="1:20" x14ac:dyDescent="0.25">
      <c r="A1452" s="7" t="s">
        <v>1520</v>
      </c>
      <c r="B1452" s="10">
        <v>45744</v>
      </c>
      <c r="C1452" s="11" t="s">
        <v>50</v>
      </c>
      <c r="D1452" s="11" t="s">
        <v>31</v>
      </c>
      <c r="E1452" s="7" t="s">
        <v>24</v>
      </c>
      <c r="F1452" s="9">
        <v>96.2</v>
      </c>
      <c r="G1452" s="9">
        <v>58.8</v>
      </c>
      <c r="H1452" s="9">
        <v>9.1</v>
      </c>
      <c r="I1452" s="9">
        <v>13.7</v>
      </c>
      <c r="J1452" s="9">
        <v>0.62</v>
      </c>
      <c r="K1452" s="9">
        <v>12.6</v>
      </c>
      <c r="L1452" s="7">
        <v>30.8</v>
      </c>
      <c r="M1452" s="7">
        <v>62.9</v>
      </c>
      <c r="N1452" s="7">
        <v>2</v>
      </c>
      <c r="O1452" s="7">
        <v>230</v>
      </c>
      <c r="P1452" s="7" t="s">
        <v>28</v>
      </c>
      <c r="Q1452" s="7" t="str">
        <f t="shared" si="88"/>
        <v>Moderate</v>
      </c>
      <c r="R1452" s="7" t="str">
        <f t="shared" si="89"/>
        <v>Hot</v>
      </c>
      <c r="S1452" s="7" t="str">
        <f t="shared" si="90"/>
        <v>High Humidity</v>
      </c>
      <c r="T1452" s="7" t="str">
        <f t="shared" si="91"/>
        <v>Moderate Wind</v>
      </c>
    </row>
    <row r="1453" spans="1:20" x14ac:dyDescent="0.25">
      <c r="A1453" s="7" t="s">
        <v>1521</v>
      </c>
      <c r="B1453" s="10">
        <v>45827</v>
      </c>
      <c r="C1453" s="11" t="s">
        <v>50</v>
      </c>
      <c r="D1453" s="11" t="s">
        <v>31</v>
      </c>
      <c r="E1453" s="7" t="s">
        <v>91</v>
      </c>
      <c r="F1453" s="9">
        <v>32.299999999999997</v>
      </c>
      <c r="G1453" s="9">
        <v>99.9</v>
      </c>
      <c r="H1453" s="9">
        <v>59.8</v>
      </c>
      <c r="I1453" s="9">
        <v>3.2</v>
      </c>
      <c r="J1453" s="9">
        <v>2.35</v>
      </c>
      <c r="K1453" s="9">
        <v>26.3</v>
      </c>
      <c r="L1453" s="7">
        <v>26.3</v>
      </c>
      <c r="M1453" s="7">
        <v>83</v>
      </c>
      <c r="N1453" s="7">
        <v>0.7</v>
      </c>
      <c r="O1453" s="7">
        <v>237</v>
      </c>
      <c r="P1453" s="7" t="s">
        <v>28</v>
      </c>
      <c r="Q1453" s="7" t="str">
        <f t="shared" si="88"/>
        <v>Moderate</v>
      </c>
      <c r="R1453" s="7" t="str">
        <f t="shared" si="89"/>
        <v>Normal</v>
      </c>
      <c r="S1453" s="7" t="str">
        <f t="shared" si="90"/>
        <v>High Humidity</v>
      </c>
      <c r="T1453" s="7" t="str">
        <f t="shared" si="91"/>
        <v>Low Wind</v>
      </c>
    </row>
    <row r="1454" spans="1:20" x14ac:dyDescent="0.25">
      <c r="A1454" s="7" t="s">
        <v>1522</v>
      </c>
      <c r="B1454" s="10">
        <v>45689</v>
      </c>
      <c r="C1454" s="11" t="s">
        <v>64</v>
      </c>
      <c r="D1454" s="11" t="s">
        <v>36</v>
      </c>
      <c r="E1454" s="7" t="s">
        <v>70</v>
      </c>
      <c r="F1454" s="9">
        <v>24.2</v>
      </c>
      <c r="G1454" s="9">
        <v>90.2</v>
      </c>
      <c r="H1454" s="9">
        <v>46.7</v>
      </c>
      <c r="I1454" s="9">
        <v>15.4</v>
      </c>
      <c r="J1454" s="9">
        <v>0.87</v>
      </c>
      <c r="K1454" s="9">
        <v>16.399999999999999</v>
      </c>
      <c r="L1454" s="7">
        <v>36.6</v>
      </c>
      <c r="M1454" s="7">
        <v>56.3</v>
      </c>
      <c r="N1454" s="7">
        <v>2.7</v>
      </c>
      <c r="O1454" s="7">
        <v>175</v>
      </c>
      <c r="P1454" s="7" t="s">
        <v>33</v>
      </c>
      <c r="Q1454" s="7" t="str">
        <f t="shared" si="88"/>
        <v>Moderate</v>
      </c>
      <c r="R1454" s="7" t="str">
        <f t="shared" si="89"/>
        <v>Hot</v>
      </c>
      <c r="S1454" s="7" t="str">
        <f t="shared" si="90"/>
        <v>Normal Humidity</v>
      </c>
      <c r="T1454" s="7" t="str">
        <f t="shared" si="91"/>
        <v>Moderate Wind</v>
      </c>
    </row>
    <row r="1455" spans="1:20" x14ac:dyDescent="0.25">
      <c r="A1455" s="7" t="s">
        <v>1523</v>
      </c>
      <c r="B1455" s="10">
        <v>46008</v>
      </c>
      <c r="C1455" s="11" t="s">
        <v>67</v>
      </c>
      <c r="D1455" s="11" t="s">
        <v>18</v>
      </c>
      <c r="E1455" s="7" t="s">
        <v>91</v>
      </c>
      <c r="F1455" s="9">
        <v>50.7</v>
      </c>
      <c r="G1455" s="9">
        <v>29.5</v>
      </c>
      <c r="H1455" s="9">
        <v>37.9</v>
      </c>
      <c r="I1455" s="9">
        <v>2.9</v>
      </c>
      <c r="J1455" s="9">
        <v>0.35</v>
      </c>
      <c r="K1455" s="9">
        <v>83.7</v>
      </c>
      <c r="L1455" s="7">
        <v>29.1</v>
      </c>
      <c r="M1455" s="7">
        <v>66.599999999999994</v>
      </c>
      <c r="N1455" s="7">
        <v>2</v>
      </c>
      <c r="O1455" s="7">
        <v>179</v>
      </c>
      <c r="P1455" s="7" t="s">
        <v>33</v>
      </c>
      <c r="Q1455" s="7" t="str">
        <f t="shared" si="88"/>
        <v>Good</v>
      </c>
      <c r="R1455" s="7" t="str">
        <f t="shared" si="89"/>
        <v>Normal</v>
      </c>
      <c r="S1455" s="7" t="str">
        <f t="shared" si="90"/>
        <v>High Humidity</v>
      </c>
      <c r="T1455" s="7" t="str">
        <f t="shared" si="91"/>
        <v>Moderate Wind</v>
      </c>
    </row>
    <row r="1456" spans="1:20" x14ac:dyDescent="0.25">
      <c r="A1456" s="7" t="s">
        <v>1524</v>
      </c>
      <c r="B1456" s="10">
        <v>45965</v>
      </c>
      <c r="C1456" s="11" t="s">
        <v>99</v>
      </c>
      <c r="D1456" s="11" t="s">
        <v>36</v>
      </c>
      <c r="E1456" s="7" t="s">
        <v>24</v>
      </c>
      <c r="F1456" s="9">
        <v>108.3</v>
      </c>
      <c r="G1456" s="9">
        <v>172.3</v>
      </c>
      <c r="H1456" s="9">
        <v>19.399999999999999</v>
      </c>
      <c r="I1456" s="9">
        <v>13.6</v>
      </c>
      <c r="J1456" s="9">
        <v>1.31</v>
      </c>
      <c r="K1456" s="9">
        <v>31.3</v>
      </c>
      <c r="L1456" s="7">
        <v>20</v>
      </c>
      <c r="M1456" s="7">
        <v>64.8</v>
      </c>
      <c r="N1456" s="7">
        <v>1.4</v>
      </c>
      <c r="O1456" s="7">
        <v>357</v>
      </c>
      <c r="P1456" s="7" t="s">
        <v>20</v>
      </c>
      <c r="Q1456" s="7" t="str">
        <f t="shared" si="88"/>
        <v>VeryUnhealthy</v>
      </c>
      <c r="R1456" s="7" t="str">
        <f t="shared" si="89"/>
        <v>Normal</v>
      </c>
      <c r="S1456" s="7" t="str">
        <f t="shared" si="90"/>
        <v>High Humidity</v>
      </c>
      <c r="T1456" s="7" t="str">
        <f t="shared" si="91"/>
        <v>Low Wind</v>
      </c>
    </row>
    <row r="1457" spans="1:20" x14ac:dyDescent="0.25">
      <c r="A1457" s="7" t="s">
        <v>1525</v>
      </c>
      <c r="B1457" s="10">
        <v>45960</v>
      </c>
      <c r="C1457" s="11" t="s">
        <v>52</v>
      </c>
      <c r="D1457" s="11" t="s">
        <v>31</v>
      </c>
      <c r="E1457" s="7" t="s">
        <v>40</v>
      </c>
      <c r="F1457" s="9">
        <v>111.6</v>
      </c>
      <c r="G1457" s="9">
        <v>103.2</v>
      </c>
      <c r="H1457" s="9">
        <v>15.3</v>
      </c>
      <c r="I1457" s="9">
        <v>25.9</v>
      </c>
      <c r="J1457" s="9">
        <v>0.47</v>
      </c>
      <c r="K1457" s="9">
        <v>18.5</v>
      </c>
      <c r="L1457" s="7">
        <v>31.7</v>
      </c>
      <c r="M1457" s="7">
        <v>77.3</v>
      </c>
      <c r="N1457" s="7">
        <v>1.7</v>
      </c>
      <c r="O1457" s="7">
        <v>296</v>
      </c>
      <c r="P1457" s="7" t="s">
        <v>28</v>
      </c>
      <c r="Q1457" s="7" t="str">
        <f t="shared" si="88"/>
        <v>Unhealthy</v>
      </c>
      <c r="R1457" s="7" t="str">
        <f t="shared" si="89"/>
        <v>Hot</v>
      </c>
      <c r="S1457" s="7" t="str">
        <f t="shared" si="90"/>
        <v>High Humidity</v>
      </c>
      <c r="T1457" s="7" t="str">
        <f t="shared" si="91"/>
        <v>Low Wind</v>
      </c>
    </row>
    <row r="1458" spans="1:20" x14ac:dyDescent="0.25">
      <c r="A1458" s="7" t="s">
        <v>1526</v>
      </c>
      <c r="B1458" s="10">
        <v>45774</v>
      </c>
      <c r="C1458" s="11" t="s">
        <v>42</v>
      </c>
      <c r="D1458" s="11" t="s">
        <v>23</v>
      </c>
      <c r="E1458" s="7" t="s">
        <v>32</v>
      </c>
      <c r="F1458" s="9">
        <v>39.4</v>
      </c>
      <c r="G1458" s="9">
        <v>135</v>
      </c>
      <c r="H1458" s="9">
        <v>40.799999999999997</v>
      </c>
      <c r="I1458" s="9">
        <v>7</v>
      </c>
      <c r="J1458" s="9">
        <v>0.96</v>
      </c>
      <c r="K1458" s="9">
        <v>75.599999999999994</v>
      </c>
      <c r="L1458" s="7">
        <v>21.8</v>
      </c>
      <c r="M1458" s="7">
        <v>84.9</v>
      </c>
      <c r="N1458" s="7">
        <v>0.3</v>
      </c>
      <c r="O1458" s="7">
        <v>246</v>
      </c>
      <c r="P1458" s="7" t="s">
        <v>28</v>
      </c>
      <c r="Q1458" s="7" t="str">
        <f t="shared" si="88"/>
        <v>Unhealthy</v>
      </c>
      <c r="R1458" s="7" t="str">
        <f t="shared" si="89"/>
        <v>Normal</v>
      </c>
      <c r="S1458" s="7" t="str">
        <f t="shared" si="90"/>
        <v>High Humidity</v>
      </c>
      <c r="T1458" s="7" t="str">
        <f t="shared" si="91"/>
        <v>Low Wind</v>
      </c>
    </row>
    <row r="1459" spans="1:20" x14ac:dyDescent="0.25">
      <c r="A1459" s="7" t="s">
        <v>1527</v>
      </c>
      <c r="B1459" s="10">
        <v>45957</v>
      </c>
      <c r="C1459" s="11" t="s">
        <v>77</v>
      </c>
      <c r="D1459" s="11" t="s">
        <v>39</v>
      </c>
      <c r="E1459" s="7" t="s">
        <v>74</v>
      </c>
      <c r="F1459" s="9">
        <v>43.8</v>
      </c>
      <c r="G1459" s="9">
        <v>47.6</v>
      </c>
      <c r="H1459" s="9">
        <v>11.8</v>
      </c>
      <c r="I1459" s="9">
        <v>7.7</v>
      </c>
      <c r="J1459" s="9">
        <v>0.42</v>
      </c>
      <c r="K1459" s="9">
        <v>26</v>
      </c>
      <c r="L1459" s="7">
        <v>20.3</v>
      </c>
      <c r="M1459" s="7">
        <v>58.6</v>
      </c>
      <c r="N1459" s="7">
        <v>2.5</v>
      </c>
      <c r="O1459" s="7">
        <v>138</v>
      </c>
      <c r="P1459" s="7" t="s">
        <v>33</v>
      </c>
      <c r="Q1459" s="7" t="str">
        <f t="shared" si="88"/>
        <v>Good</v>
      </c>
      <c r="R1459" s="7" t="str">
        <f t="shared" si="89"/>
        <v>Normal</v>
      </c>
      <c r="S1459" s="7" t="str">
        <f t="shared" si="90"/>
        <v>Normal Humidity</v>
      </c>
      <c r="T1459" s="7" t="str">
        <f t="shared" si="91"/>
        <v>Moderate Wind</v>
      </c>
    </row>
    <row r="1460" spans="1:20" x14ac:dyDescent="0.25">
      <c r="A1460" s="7" t="s">
        <v>1528</v>
      </c>
      <c r="B1460" s="10">
        <v>45759</v>
      </c>
      <c r="C1460" s="11" t="s">
        <v>64</v>
      </c>
      <c r="D1460" s="11" t="s">
        <v>36</v>
      </c>
      <c r="E1460" s="7" t="s">
        <v>68</v>
      </c>
      <c r="F1460" s="9">
        <v>41.8</v>
      </c>
      <c r="G1460" s="9">
        <v>13.4</v>
      </c>
      <c r="H1460" s="9">
        <v>50.6</v>
      </c>
      <c r="I1460" s="9">
        <v>30.6</v>
      </c>
      <c r="J1460" s="9">
        <v>0.79</v>
      </c>
      <c r="K1460" s="9">
        <v>32.299999999999997</v>
      </c>
      <c r="L1460" s="7">
        <v>27.3</v>
      </c>
      <c r="M1460" s="7">
        <v>57.9</v>
      </c>
      <c r="N1460" s="7">
        <v>2.8</v>
      </c>
      <c r="O1460" s="7">
        <v>172</v>
      </c>
      <c r="P1460" s="7" t="s">
        <v>33</v>
      </c>
      <c r="Q1460" s="7" t="str">
        <f t="shared" si="88"/>
        <v>Good</v>
      </c>
      <c r="R1460" s="7" t="str">
        <f t="shared" si="89"/>
        <v>Normal</v>
      </c>
      <c r="S1460" s="7" t="str">
        <f t="shared" si="90"/>
        <v>Normal Humidity</v>
      </c>
      <c r="T1460" s="7" t="str">
        <f t="shared" si="91"/>
        <v>Moderate Wind</v>
      </c>
    </row>
    <row r="1461" spans="1:20" x14ac:dyDescent="0.25">
      <c r="A1461" s="7" t="s">
        <v>1529</v>
      </c>
      <c r="B1461" s="10">
        <v>45682</v>
      </c>
      <c r="C1461" s="11" t="s">
        <v>81</v>
      </c>
      <c r="D1461" s="11" t="s">
        <v>39</v>
      </c>
      <c r="E1461" s="7" t="s">
        <v>24</v>
      </c>
      <c r="F1461" s="9">
        <v>34.6</v>
      </c>
      <c r="G1461" s="9">
        <v>124.6</v>
      </c>
      <c r="H1461" s="9">
        <v>35.200000000000003</v>
      </c>
      <c r="I1461" s="9">
        <v>5.4</v>
      </c>
      <c r="J1461" s="9">
        <v>0.22</v>
      </c>
      <c r="K1461" s="9">
        <v>21.2</v>
      </c>
      <c r="L1461" s="7">
        <v>21</v>
      </c>
      <c r="M1461" s="7">
        <v>47.7</v>
      </c>
      <c r="N1461" s="7">
        <v>0.7</v>
      </c>
      <c r="O1461" s="7">
        <v>183</v>
      </c>
      <c r="P1461" s="7" t="s">
        <v>33</v>
      </c>
      <c r="Q1461" s="7" t="str">
        <f t="shared" si="88"/>
        <v>Unhealthy</v>
      </c>
      <c r="R1461" s="7" t="str">
        <f t="shared" si="89"/>
        <v>Normal</v>
      </c>
      <c r="S1461" s="7" t="str">
        <f t="shared" si="90"/>
        <v>Normal Humidity</v>
      </c>
      <c r="T1461" s="7" t="str">
        <f t="shared" si="91"/>
        <v>Low Wind</v>
      </c>
    </row>
    <row r="1462" spans="1:20" x14ac:dyDescent="0.25">
      <c r="A1462" s="7" t="s">
        <v>1530</v>
      </c>
      <c r="B1462" s="10">
        <v>45719</v>
      </c>
      <c r="C1462" s="11" t="s">
        <v>52</v>
      </c>
      <c r="D1462" s="11" t="s">
        <v>31</v>
      </c>
      <c r="E1462" s="7" t="s">
        <v>19</v>
      </c>
      <c r="F1462" s="9">
        <v>33.9</v>
      </c>
      <c r="G1462" s="9">
        <v>37.6</v>
      </c>
      <c r="H1462" s="9">
        <v>103.3</v>
      </c>
      <c r="I1462" s="9">
        <v>10.5</v>
      </c>
      <c r="J1462" s="9">
        <v>0.96</v>
      </c>
      <c r="K1462" s="9">
        <v>43.7</v>
      </c>
      <c r="L1462" s="7">
        <v>25.5</v>
      </c>
      <c r="M1462" s="7">
        <v>75.8</v>
      </c>
      <c r="N1462" s="7">
        <v>2.8</v>
      </c>
      <c r="O1462" s="7">
        <v>212</v>
      </c>
      <c r="P1462" s="7" t="s">
        <v>28</v>
      </c>
      <c r="Q1462" s="7" t="str">
        <f t="shared" si="88"/>
        <v>Good</v>
      </c>
      <c r="R1462" s="7" t="str">
        <f t="shared" si="89"/>
        <v>Normal</v>
      </c>
      <c r="S1462" s="7" t="str">
        <f t="shared" si="90"/>
        <v>High Humidity</v>
      </c>
      <c r="T1462" s="7" t="str">
        <f t="shared" si="91"/>
        <v>Moderate Wind</v>
      </c>
    </row>
    <row r="1463" spans="1:20" x14ac:dyDescent="0.25">
      <c r="A1463" s="7" t="s">
        <v>1531</v>
      </c>
      <c r="B1463" s="10">
        <v>45822</v>
      </c>
      <c r="C1463" s="11" t="s">
        <v>81</v>
      </c>
      <c r="D1463" s="11" t="s">
        <v>39</v>
      </c>
      <c r="E1463" s="7" t="s">
        <v>32</v>
      </c>
      <c r="F1463" s="9">
        <v>15.5</v>
      </c>
      <c r="G1463" s="9">
        <v>60.2</v>
      </c>
      <c r="H1463" s="9">
        <v>34.700000000000003</v>
      </c>
      <c r="I1463" s="9">
        <v>22</v>
      </c>
      <c r="J1463" s="9">
        <v>0.66</v>
      </c>
      <c r="K1463" s="9">
        <v>60.1</v>
      </c>
      <c r="L1463" s="7">
        <v>16.7</v>
      </c>
      <c r="M1463" s="7">
        <v>63.3</v>
      </c>
      <c r="N1463" s="7">
        <v>3.4</v>
      </c>
      <c r="O1463" s="7">
        <v>151</v>
      </c>
      <c r="P1463" s="7" t="s">
        <v>33</v>
      </c>
      <c r="Q1463" s="7" t="str">
        <f t="shared" si="88"/>
        <v>Moderate</v>
      </c>
      <c r="R1463" s="7" t="str">
        <f t="shared" si="89"/>
        <v>Cool</v>
      </c>
      <c r="S1463" s="7" t="str">
        <f t="shared" si="90"/>
        <v>High Humidity</v>
      </c>
      <c r="T1463" s="7" t="str">
        <f t="shared" si="91"/>
        <v>Moderate Wind</v>
      </c>
    </row>
    <row r="1464" spans="1:20" x14ac:dyDescent="0.25">
      <c r="A1464" s="7" t="s">
        <v>1532</v>
      </c>
      <c r="B1464" s="10">
        <v>45846</v>
      </c>
      <c r="C1464" s="11" t="s">
        <v>42</v>
      </c>
      <c r="D1464" s="11" t="s">
        <v>23</v>
      </c>
      <c r="E1464" s="7" t="s">
        <v>70</v>
      </c>
      <c r="F1464" s="9">
        <v>7.5</v>
      </c>
      <c r="G1464" s="9">
        <v>35.700000000000003</v>
      </c>
      <c r="H1464" s="9">
        <v>12.6</v>
      </c>
      <c r="I1464" s="9">
        <v>27.8</v>
      </c>
      <c r="J1464" s="9">
        <v>0.56999999999999995</v>
      </c>
      <c r="K1464" s="9">
        <v>36.299999999999997</v>
      </c>
      <c r="L1464" s="7">
        <v>38.1</v>
      </c>
      <c r="M1464" s="7">
        <v>42.9</v>
      </c>
      <c r="N1464" s="7">
        <v>1.4</v>
      </c>
      <c r="O1464" s="7">
        <v>95</v>
      </c>
      <c r="P1464" s="7" t="s">
        <v>71</v>
      </c>
      <c r="Q1464" s="7" t="str">
        <f t="shared" si="88"/>
        <v>Good</v>
      </c>
      <c r="R1464" s="7" t="str">
        <f t="shared" si="89"/>
        <v>Hot</v>
      </c>
      <c r="S1464" s="7" t="str">
        <f t="shared" si="90"/>
        <v>Normal Humidity</v>
      </c>
      <c r="T1464" s="7" t="str">
        <f t="shared" si="91"/>
        <v>Low Wind</v>
      </c>
    </row>
    <row r="1465" spans="1:20" x14ac:dyDescent="0.25">
      <c r="A1465" s="7" t="s">
        <v>1533</v>
      </c>
      <c r="B1465" s="10">
        <v>45659</v>
      </c>
      <c r="C1465" s="11" t="s">
        <v>30</v>
      </c>
      <c r="D1465" s="11" t="s">
        <v>31</v>
      </c>
      <c r="E1465" s="7" t="s">
        <v>24</v>
      </c>
      <c r="F1465" s="9">
        <v>64.900000000000006</v>
      </c>
      <c r="G1465" s="9">
        <v>102.6</v>
      </c>
      <c r="H1465" s="9">
        <v>25.6</v>
      </c>
      <c r="I1465" s="9">
        <v>7.2</v>
      </c>
      <c r="J1465" s="9">
        <v>0.35</v>
      </c>
      <c r="K1465" s="9">
        <v>91.8</v>
      </c>
      <c r="L1465" s="7">
        <v>29</v>
      </c>
      <c r="M1465" s="7">
        <v>46.7</v>
      </c>
      <c r="N1465" s="7">
        <v>2.4</v>
      </c>
      <c r="O1465" s="7">
        <v>246</v>
      </c>
      <c r="P1465" s="7" t="s">
        <v>28</v>
      </c>
      <c r="Q1465" s="7" t="str">
        <f t="shared" si="88"/>
        <v>Unhealthy</v>
      </c>
      <c r="R1465" s="7" t="str">
        <f t="shared" si="89"/>
        <v>Normal</v>
      </c>
      <c r="S1465" s="7" t="str">
        <f t="shared" si="90"/>
        <v>Normal Humidity</v>
      </c>
      <c r="T1465" s="7" t="str">
        <f t="shared" si="91"/>
        <v>Moderate Wind</v>
      </c>
    </row>
    <row r="1466" spans="1:20" x14ac:dyDescent="0.25">
      <c r="A1466" s="7" t="s">
        <v>1534</v>
      </c>
      <c r="B1466" s="10">
        <v>45990</v>
      </c>
      <c r="C1466" s="11" t="s">
        <v>35</v>
      </c>
      <c r="D1466" s="11" t="s">
        <v>36</v>
      </c>
      <c r="E1466" s="7" t="s">
        <v>19</v>
      </c>
      <c r="F1466" s="9">
        <v>28.3</v>
      </c>
      <c r="G1466" s="9">
        <v>42</v>
      </c>
      <c r="H1466" s="9">
        <v>16.899999999999999</v>
      </c>
      <c r="I1466" s="9">
        <v>2.8</v>
      </c>
      <c r="J1466" s="9">
        <v>1.1200000000000001</v>
      </c>
      <c r="K1466" s="9">
        <v>25.9</v>
      </c>
      <c r="L1466" s="7">
        <v>27.2</v>
      </c>
      <c r="M1466" s="7">
        <v>71</v>
      </c>
      <c r="N1466" s="7">
        <v>3.6</v>
      </c>
      <c r="O1466" s="7">
        <v>128</v>
      </c>
      <c r="P1466" s="7" t="s">
        <v>33</v>
      </c>
      <c r="Q1466" s="7" t="str">
        <f t="shared" si="88"/>
        <v>Good</v>
      </c>
      <c r="R1466" s="7" t="str">
        <f t="shared" si="89"/>
        <v>Normal</v>
      </c>
      <c r="S1466" s="7" t="str">
        <f t="shared" si="90"/>
        <v>High Humidity</v>
      </c>
      <c r="T1466" s="7" t="str">
        <f t="shared" si="91"/>
        <v>Moderate Wind</v>
      </c>
    </row>
    <row r="1467" spans="1:20" x14ac:dyDescent="0.25">
      <c r="A1467" s="7" t="s">
        <v>1535</v>
      </c>
      <c r="B1467" s="10">
        <v>45967</v>
      </c>
      <c r="C1467" s="11" t="s">
        <v>77</v>
      </c>
      <c r="D1467" s="11" t="s">
        <v>39</v>
      </c>
      <c r="E1467" s="7" t="s">
        <v>24</v>
      </c>
      <c r="F1467" s="9">
        <v>23.6</v>
      </c>
      <c r="G1467" s="9">
        <v>46.3</v>
      </c>
      <c r="H1467" s="9">
        <v>3.2</v>
      </c>
      <c r="I1467" s="9">
        <v>6</v>
      </c>
      <c r="J1467" s="9">
        <v>1.82</v>
      </c>
      <c r="K1467" s="9">
        <v>32.6</v>
      </c>
      <c r="L1467" s="7">
        <v>30.4</v>
      </c>
      <c r="M1467" s="7">
        <v>94.3</v>
      </c>
      <c r="N1467" s="7">
        <v>2.6</v>
      </c>
      <c r="O1467" s="7">
        <v>135</v>
      </c>
      <c r="P1467" s="7" t="s">
        <v>33</v>
      </c>
      <c r="Q1467" s="7" t="str">
        <f t="shared" si="88"/>
        <v>Good</v>
      </c>
      <c r="R1467" s="7" t="str">
        <f t="shared" si="89"/>
        <v>Hot</v>
      </c>
      <c r="S1467" s="7" t="str">
        <f t="shared" si="90"/>
        <v>High Humidity</v>
      </c>
      <c r="T1467" s="7" t="str">
        <f t="shared" si="91"/>
        <v>Moderate Wind</v>
      </c>
    </row>
    <row r="1468" spans="1:20" x14ac:dyDescent="0.25">
      <c r="A1468" s="7" t="s">
        <v>1536</v>
      </c>
      <c r="B1468" s="10">
        <v>45808</v>
      </c>
      <c r="C1468" s="11" t="s">
        <v>30</v>
      </c>
      <c r="D1468" s="11" t="s">
        <v>31</v>
      </c>
      <c r="E1468" s="7" t="s">
        <v>61</v>
      </c>
      <c r="F1468" s="9">
        <v>92.7</v>
      </c>
      <c r="G1468" s="9">
        <v>89.1</v>
      </c>
      <c r="H1468" s="9">
        <v>29.9</v>
      </c>
      <c r="I1468" s="9">
        <v>20.8</v>
      </c>
      <c r="J1468" s="9">
        <v>0.5</v>
      </c>
      <c r="K1468" s="9">
        <v>33.299999999999997</v>
      </c>
      <c r="L1468" s="7">
        <v>36.4</v>
      </c>
      <c r="M1468" s="7">
        <v>48.1</v>
      </c>
      <c r="N1468" s="7">
        <v>3.8</v>
      </c>
      <c r="O1468" s="7">
        <v>272</v>
      </c>
      <c r="P1468" s="7" t="s">
        <v>28</v>
      </c>
      <c r="Q1468" s="7" t="str">
        <f t="shared" si="88"/>
        <v>Moderate</v>
      </c>
      <c r="R1468" s="7" t="str">
        <f t="shared" si="89"/>
        <v>Hot</v>
      </c>
      <c r="S1468" s="7" t="str">
        <f t="shared" si="90"/>
        <v>Normal Humidity</v>
      </c>
      <c r="T1468" s="7" t="str">
        <f t="shared" si="91"/>
        <v>Moderate Wind</v>
      </c>
    </row>
    <row r="1469" spans="1:20" x14ac:dyDescent="0.25">
      <c r="A1469" s="7" t="s">
        <v>1537</v>
      </c>
      <c r="B1469" s="10">
        <v>45751</v>
      </c>
      <c r="C1469" s="11" t="s">
        <v>26</v>
      </c>
      <c r="D1469" s="11" t="s">
        <v>23</v>
      </c>
      <c r="E1469" s="7" t="s">
        <v>91</v>
      </c>
      <c r="F1469" s="9">
        <v>46.8</v>
      </c>
      <c r="G1469" s="9">
        <v>138.4</v>
      </c>
      <c r="H1469" s="9">
        <v>14.8</v>
      </c>
      <c r="I1469" s="9">
        <v>23.8</v>
      </c>
      <c r="J1469" s="9">
        <v>0.71</v>
      </c>
      <c r="K1469" s="9">
        <v>38.5</v>
      </c>
      <c r="L1469" s="7">
        <v>22</v>
      </c>
      <c r="M1469" s="7">
        <v>55.9</v>
      </c>
      <c r="N1469" s="7">
        <v>1.5</v>
      </c>
      <c r="O1469" s="7">
        <v>228</v>
      </c>
      <c r="P1469" s="7" t="s">
        <v>28</v>
      </c>
      <c r="Q1469" s="7" t="str">
        <f t="shared" si="88"/>
        <v>Unhealthy</v>
      </c>
      <c r="R1469" s="7" t="str">
        <f t="shared" si="89"/>
        <v>Normal</v>
      </c>
      <c r="S1469" s="7" t="str">
        <f t="shared" si="90"/>
        <v>Normal Humidity</v>
      </c>
      <c r="T1469" s="7" t="str">
        <f t="shared" si="91"/>
        <v>Low Wind</v>
      </c>
    </row>
    <row r="1470" spans="1:20" x14ac:dyDescent="0.25">
      <c r="A1470" s="7" t="s">
        <v>1538</v>
      </c>
      <c r="B1470" s="10">
        <v>45881</v>
      </c>
      <c r="C1470" s="11" t="s">
        <v>64</v>
      </c>
      <c r="D1470" s="11" t="s">
        <v>36</v>
      </c>
      <c r="E1470" s="7" t="s">
        <v>70</v>
      </c>
      <c r="F1470" s="9">
        <v>43</v>
      </c>
      <c r="G1470" s="9">
        <v>162</v>
      </c>
      <c r="H1470" s="9">
        <v>23</v>
      </c>
      <c r="I1470" s="9">
        <v>14.1</v>
      </c>
      <c r="J1470" s="9">
        <v>0.47</v>
      </c>
      <c r="K1470" s="9">
        <v>2.4</v>
      </c>
      <c r="L1470" s="7">
        <v>29.1</v>
      </c>
      <c r="M1470" s="7">
        <v>59</v>
      </c>
      <c r="N1470" s="7">
        <v>2.6</v>
      </c>
      <c r="O1470" s="7">
        <v>215</v>
      </c>
      <c r="P1470" s="7" t="s">
        <v>28</v>
      </c>
      <c r="Q1470" s="7" t="str">
        <f t="shared" si="88"/>
        <v>VeryUnhealthy</v>
      </c>
      <c r="R1470" s="7" t="str">
        <f t="shared" si="89"/>
        <v>Normal</v>
      </c>
      <c r="S1470" s="7" t="str">
        <f t="shared" si="90"/>
        <v>Normal Humidity</v>
      </c>
      <c r="T1470" s="7" t="str">
        <f t="shared" si="91"/>
        <v>Moderate Wind</v>
      </c>
    </row>
    <row r="1471" spans="1:20" x14ac:dyDescent="0.25">
      <c r="A1471" s="7" t="s">
        <v>1539</v>
      </c>
      <c r="B1471" s="10">
        <v>45814</v>
      </c>
      <c r="C1471" s="11" t="s">
        <v>22</v>
      </c>
      <c r="D1471" s="11" t="s">
        <v>23</v>
      </c>
      <c r="E1471" s="7" t="s">
        <v>19</v>
      </c>
      <c r="F1471" s="9">
        <v>31</v>
      </c>
      <c r="G1471" s="9">
        <v>53.4</v>
      </c>
      <c r="H1471" s="9">
        <v>45.3</v>
      </c>
      <c r="I1471" s="9">
        <v>6</v>
      </c>
      <c r="J1471" s="9">
        <v>0.87</v>
      </c>
      <c r="K1471" s="9">
        <v>54</v>
      </c>
      <c r="L1471" s="7">
        <v>37.4</v>
      </c>
      <c r="M1471" s="7">
        <v>62</v>
      </c>
      <c r="N1471" s="7">
        <v>3.6</v>
      </c>
      <c r="O1471" s="7">
        <v>171</v>
      </c>
      <c r="P1471" s="7" t="s">
        <v>33</v>
      </c>
      <c r="Q1471" s="7" t="str">
        <f t="shared" si="88"/>
        <v>Moderate</v>
      </c>
      <c r="R1471" s="7" t="str">
        <f t="shared" si="89"/>
        <v>Hot</v>
      </c>
      <c r="S1471" s="7" t="str">
        <f t="shared" si="90"/>
        <v>High Humidity</v>
      </c>
      <c r="T1471" s="7" t="str">
        <f t="shared" si="91"/>
        <v>Moderate Wind</v>
      </c>
    </row>
    <row r="1472" spans="1:20" x14ac:dyDescent="0.25">
      <c r="A1472" s="7" t="s">
        <v>1540</v>
      </c>
      <c r="B1472" s="10">
        <v>45891</v>
      </c>
      <c r="C1472" s="11" t="s">
        <v>52</v>
      </c>
      <c r="D1472" s="11" t="s">
        <v>31</v>
      </c>
      <c r="E1472" s="7" t="s">
        <v>68</v>
      </c>
      <c r="F1472" s="9">
        <v>72.8</v>
      </c>
      <c r="G1472" s="9">
        <v>134.9</v>
      </c>
      <c r="H1472" s="9">
        <v>20.2</v>
      </c>
      <c r="I1472" s="9">
        <v>7.2</v>
      </c>
      <c r="J1472" s="9">
        <v>1.51</v>
      </c>
      <c r="K1472" s="9">
        <v>117.9</v>
      </c>
      <c r="L1472" s="7">
        <v>9.8000000000000007</v>
      </c>
      <c r="M1472" s="7">
        <v>63.5</v>
      </c>
      <c r="N1472" s="7">
        <v>3.3</v>
      </c>
      <c r="O1472" s="7">
        <v>316</v>
      </c>
      <c r="P1472" s="7" t="s">
        <v>20</v>
      </c>
      <c r="Q1472" s="7" t="str">
        <f t="shared" si="88"/>
        <v>Unhealthy</v>
      </c>
      <c r="R1472" s="7" t="str">
        <f t="shared" si="89"/>
        <v>Cool</v>
      </c>
      <c r="S1472" s="7" t="str">
        <f t="shared" si="90"/>
        <v>High Humidity</v>
      </c>
      <c r="T1472" s="7" t="str">
        <f t="shared" si="91"/>
        <v>Moderate Wind</v>
      </c>
    </row>
    <row r="1473" spans="1:20" x14ac:dyDescent="0.25">
      <c r="A1473" s="7" t="s">
        <v>1541</v>
      </c>
      <c r="B1473" s="10">
        <v>45744</v>
      </c>
      <c r="C1473" s="11" t="s">
        <v>99</v>
      </c>
      <c r="D1473" s="11" t="s">
        <v>36</v>
      </c>
      <c r="E1473" s="7" t="s">
        <v>58</v>
      </c>
      <c r="F1473" s="9">
        <v>87.1</v>
      </c>
      <c r="G1473" s="9">
        <v>92.5</v>
      </c>
      <c r="H1473" s="9">
        <v>29</v>
      </c>
      <c r="I1473" s="9">
        <v>24</v>
      </c>
      <c r="J1473" s="9">
        <v>1.22</v>
      </c>
      <c r="K1473" s="9">
        <v>10.6</v>
      </c>
      <c r="L1473" s="7">
        <v>31.2</v>
      </c>
      <c r="M1473" s="7">
        <v>61.9</v>
      </c>
      <c r="N1473" s="7">
        <v>1.7</v>
      </c>
      <c r="O1473" s="7">
        <v>275</v>
      </c>
      <c r="P1473" s="7" t="s">
        <v>28</v>
      </c>
      <c r="Q1473" s="7" t="str">
        <f t="shared" si="88"/>
        <v>Moderate</v>
      </c>
      <c r="R1473" s="7" t="str">
        <f t="shared" si="89"/>
        <v>Hot</v>
      </c>
      <c r="S1473" s="7" t="str">
        <f t="shared" si="90"/>
        <v>High Humidity</v>
      </c>
      <c r="T1473" s="7" t="str">
        <f t="shared" si="91"/>
        <v>Low Wind</v>
      </c>
    </row>
    <row r="1474" spans="1:20" x14ac:dyDescent="0.25">
      <c r="A1474" s="7" t="s">
        <v>1542</v>
      </c>
      <c r="B1474" s="10">
        <v>45755</v>
      </c>
      <c r="C1474" s="11" t="s">
        <v>42</v>
      </c>
      <c r="D1474" s="11" t="s">
        <v>23</v>
      </c>
      <c r="E1474" s="7" t="s">
        <v>74</v>
      </c>
      <c r="F1474" s="9">
        <v>38.6</v>
      </c>
      <c r="G1474" s="9">
        <v>104.5</v>
      </c>
      <c r="H1474" s="9">
        <v>24.9</v>
      </c>
      <c r="I1474" s="9">
        <v>11.4</v>
      </c>
      <c r="J1474" s="9">
        <v>0.19</v>
      </c>
      <c r="K1474" s="9">
        <v>19.100000000000001</v>
      </c>
      <c r="L1474" s="7">
        <v>25.7</v>
      </c>
      <c r="M1474" s="7">
        <v>46.6</v>
      </c>
      <c r="N1474" s="7">
        <v>3.2</v>
      </c>
      <c r="O1474" s="7">
        <v>171</v>
      </c>
      <c r="P1474" s="7" t="s">
        <v>33</v>
      </c>
      <c r="Q1474" s="7" t="str">
        <f t="shared" si="88"/>
        <v>Unhealthy</v>
      </c>
      <c r="R1474" s="7" t="str">
        <f t="shared" si="89"/>
        <v>Normal</v>
      </c>
      <c r="S1474" s="7" t="str">
        <f t="shared" si="90"/>
        <v>Normal Humidity</v>
      </c>
      <c r="T1474" s="7" t="str">
        <f t="shared" si="91"/>
        <v>Moderate Wind</v>
      </c>
    </row>
    <row r="1475" spans="1:20" x14ac:dyDescent="0.25">
      <c r="A1475" s="7" t="s">
        <v>1543</v>
      </c>
      <c r="B1475" s="10">
        <v>45690</v>
      </c>
      <c r="C1475" s="11" t="s">
        <v>64</v>
      </c>
      <c r="D1475" s="11" t="s">
        <v>36</v>
      </c>
      <c r="E1475" s="7" t="s">
        <v>68</v>
      </c>
      <c r="F1475" s="9">
        <v>20</v>
      </c>
      <c r="G1475" s="9">
        <v>66.7</v>
      </c>
      <c r="H1475" s="9">
        <v>23.3</v>
      </c>
      <c r="I1475" s="9">
        <v>9.4</v>
      </c>
      <c r="J1475" s="9">
        <v>0.64</v>
      </c>
      <c r="K1475" s="9">
        <v>57.2</v>
      </c>
      <c r="L1475" s="7">
        <v>25.4</v>
      </c>
      <c r="M1475" s="7">
        <v>65.3</v>
      </c>
      <c r="N1475" s="7">
        <v>1.7</v>
      </c>
      <c r="O1475" s="7">
        <v>142</v>
      </c>
      <c r="P1475" s="7" t="s">
        <v>33</v>
      </c>
      <c r="Q1475" s="7" t="str">
        <f t="shared" ref="Q1475:Q1501" si="92">IF(G1475&lt;50,"Good",IF(G1475&lt;=100,"Moderate",IF(G1475&lt;=150,"Unhealthy","VeryUnhealthy")))</f>
        <v>Moderate</v>
      </c>
      <c r="R1475" s="7" t="str">
        <f t="shared" ref="R1475:R1501" si="93">IF(L1475&lt;20,"Cool",IF(L1475&lt;=30,"Normal","Hot"))</f>
        <v>Normal</v>
      </c>
      <c r="S1475" s="7" t="str">
        <f t="shared" ref="S1475:S1501" si="94">IF(M1475&lt;30,"Low Humidity",IF(M1475&lt;=60,"Normal Humidity","High Humidity"))</f>
        <v>High Humidity</v>
      </c>
      <c r="T1475" s="7" t="str">
        <f t="shared" ref="T1475:T1501" si="95">IF(N1475&lt;2,"Low Wind",IF(N1475&lt;=5,"Moderate Wind","High Wind"))</f>
        <v>Low Wind</v>
      </c>
    </row>
    <row r="1476" spans="1:20" x14ac:dyDescent="0.25">
      <c r="A1476" s="7" t="s">
        <v>1544</v>
      </c>
      <c r="B1476" s="10">
        <v>45880</v>
      </c>
      <c r="C1476" s="11" t="s">
        <v>67</v>
      </c>
      <c r="D1476" s="11" t="s">
        <v>18</v>
      </c>
      <c r="E1476" s="7" t="s">
        <v>40</v>
      </c>
      <c r="F1476" s="9">
        <v>40.5</v>
      </c>
      <c r="G1476" s="9">
        <v>46.9</v>
      </c>
      <c r="H1476" s="9">
        <v>67.900000000000006</v>
      </c>
      <c r="I1476" s="9">
        <v>4.8</v>
      </c>
      <c r="J1476" s="9">
        <v>0.67</v>
      </c>
      <c r="K1476" s="9">
        <v>80</v>
      </c>
      <c r="L1476" s="7">
        <v>17.600000000000001</v>
      </c>
      <c r="M1476" s="7">
        <v>37.299999999999997</v>
      </c>
      <c r="N1476" s="7">
        <v>3</v>
      </c>
      <c r="O1476" s="7">
        <v>206</v>
      </c>
      <c r="P1476" s="7" t="s">
        <v>28</v>
      </c>
      <c r="Q1476" s="7" t="str">
        <f t="shared" si="92"/>
        <v>Good</v>
      </c>
      <c r="R1476" s="7" t="str">
        <f t="shared" si="93"/>
        <v>Cool</v>
      </c>
      <c r="S1476" s="7" t="str">
        <f t="shared" si="94"/>
        <v>Normal Humidity</v>
      </c>
      <c r="T1476" s="7" t="str">
        <f t="shared" si="95"/>
        <v>Moderate Wind</v>
      </c>
    </row>
    <row r="1477" spans="1:20" x14ac:dyDescent="0.25">
      <c r="A1477" s="7" t="s">
        <v>1545</v>
      </c>
      <c r="B1477" s="10">
        <v>46007</v>
      </c>
      <c r="C1477" s="11" t="s">
        <v>30</v>
      </c>
      <c r="D1477" s="11" t="s">
        <v>31</v>
      </c>
      <c r="E1477" s="7" t="s">
        <v>19</v>
      </c>
      <c r="F1477" s="9">
        <v>143.6</v>
      </c>
      <c r="G1477" s="9">
        <v>116.2</v>
      </c>
      <c r="H1477" s="9">
        <v>17.2</v>
      </c>
      <c r="I1477" s="9">
        <v>13.3</v>
      </c>
      <c r="J1477" s="9">
        <v>1.03</v>
      </c>
      <c r="K1477" s="9">
        <v>54</v>
      </c>
      <c r="L1477" s="7">
        <v>30.3</v>
      </c>
      <c r="M1477" s="7">
        <v>92.6</v>
      </c>
      <c r="N1477" s="7">
        <v>1.7</v>
      </c>
      <c r="O1477" s="7">
        <v>378</v>
      </c>
      <c r="P1477" s="7" t="s">
        <v>20</v>
      </c>
      <c r="Q1477" s="7" t="str">
        <f t="shared" si="92"/>
        <v>Unhealthy</v>
      </c>
      <c r="R1477" s="7" t="str">
        <f t="shared" si="93"/>
        <v>Hot</v>
      </c>
      <c r="S1477" s="7" t="str">
        <f t="shared" si="94"/>
        <v>High Humidity</v>
      </c>
      <c r="T1477" s="7" t="str">
        <f t="shared" si="95"/>
        <v>Low Wind</v>
      </c>
    </row>
    <row r="1478" spans="1:20" x14ac:dyDescent="0.25">
      <c r="A1478" s="7" t="s">
        <v>1546</v>
      </c>
      <c r="B1478" s="10">
        <v>45985</v>
      </c>
      <c r="C1478" s="11" t="s">
        <v>99</v>
      </c>
      <c r="D1478" s="11" t="s">
        <v>36</v>
      </c>
      <c r="E1478" s="7" t="s">
        <v>70</v>
      </c>
      <c r="F1478" s="9">
        <v>51.1</v>
      </c>
      <c r="G1478" s="9">
        <v>145.19999999999999</v>
      </c>
      <c r="H1478" s="9">
        <v>94.6</v>
      </c>
      <c r="I1478" s="9">
        <v>16.8</v>
      </c>
      <c r="J1478" s="9">
        <v>0.16</v>
      </c>
      <c r="K1478" s="9">
        <v>100.7</v>
      </c>
      <c r="L1478" s="7">
        <v>29.7</v>
      </c>
      <c r="M1478" s="7">
        <v>47.9</v>
      </c>
      <c r="N1478" s="7">
        <v>3.4</v>
      </c>
      <c r="O1478" s="7">
        <v>313</v>
      </c>
      <c r="P1478" s="7" t="s">
        <v>20</v>
      </c>
      <c r="Q1478" s="7" t="str">
        <f t="shared" si="92"/>
        <v>Unhealthy</v>
      </c>
      <c r="R1478" s="7" t="str">
        <f t="shared" si="93"/>
        <v>Normal</v>
      </c>
      <c r="S1478" s="7" t="str">
        <f t="shared" si="94"/>
        <v>Normal Humidity</v>
      </c>
      <c r="T1478" s="7" t="str">
        <f t="shared" si="95"/>
        <v>Moderate Wind</v>
      </c>
    </row>
    <row r="1479" spans="1:20" x14ac:dyDescent="0.25">
      <c r="A1479" s="7" t="s">
        <v>1547</v>
      </c>
      <c r="B1479" s="10">
        <v>45864</v>
      </c>
      <c r="C1479" s="11" t="s">
        <v>67</v>
      </c>
      <c r="D1479" s="11" t="s">
        <v>18</v>
      </c>
      <c r="E1479" s="7" t="s">
        <v>68</v>
      </c>
      <c r="F1479" s="9">
        <v>99.1</v>
      </c>
      <c r="G1479" s="9">
        <v>48.9</v>
      </c>
      <c r="H1479" s="9">
        <v>25.5</v>
      </c>
      <c r="I1479" s="9">
        <v>7.7</v>
      </c>
      <c r="J1479" s="9">
        <v>1.04</v>
      </c>
      <c r="K1479" s="9">
        <v>49.6</v>
      </c>
      <c r="L1479" s="7">
        <v>34.799999999999997</v>
      </c>
      <c r="M1479" s="7">
        <v>53.3</v>
      </c>
      <c r="N1479" s="7">
        <v>1.6</v>
      </c>
      <c r="O1479" s="7">
        <v>264</v>
      </c>
      <c r="P1479" s="7" t="s">
        <v>28</v>
      </c>
      <c r="Q1479" s="7" t="str">
        <f t="shared" si="92"/>
        <v>Good</v>
      </c>
      <c r="R1479" s="7" t="str">
        <f t="shared" si="93"/>
        <v>Hot</v>
      </c>
      <c r="S1479" s="7" t="str">
        <f t="shared" si="94"/>
        <v>Normal Humidity</v>
      </c>
      <c r="T1479" s="7" t="str">
        <f t="shared" si="95"/>
        <v>Low Wind</v>
      </c>
    </row>
    <row r="1480" spans="1:20" x14ac:dyDescent="0.25">
      <c r="A1480" s="7" t="s">
        <v>1548</v>
      </c>
      <c r="B1480" s="10">
        <v>45707</v>
      </c>
      <c r="C1480" s="11" t="s">
        <v>30</v>
      </c>
      <c r="D1480" s="11" t="s">
        <v>31</v>
      </c>
      <c r="E1480" s="7" t="s">
        <v>32</v>
      </c>
      <c r="F1480" s="9">
        <v>54.8</v>
      </c>
      <c r="G1480" s="9">
        <v>54.4</v>
      </c>
      <c r="H1480" s="9">
        <v>39.299999999999997</v>
      </c>
      <c r="I1480" s="9">
        <v>28.5</v>
      </c>
      <c r="J1480" s="9">
        <v>0.25</v>
      </c>
      <c r="K1480" s="9">
        <v>19.2</v>
      </c>
      <c r="L1480" s="7">
        <v>31.1</v>
      </c>
      <c r="M1480" s="7">
        <v>64.3</v>
      </c>
      <c r="N1480" s="7">
        <v>3.4</v>
      </c>
      <c r="O1480" s="7">
        <v>189</v>
      </c>
      <c r="P1480" s="7" t="s">
        <v>33</v>
      </c>
      <c r="Q1480" s="7" t="str">
        <f t="shared" si="92"/>
        <v>Moderate</v>
      </c>
      <c r="R1480" s="7" t="str">
        <f t="shared" si="93"/>
        <v>Hot</v>
      </c>
      <c r="S1480" s="7" t="str">
        <f t="shared" si="94"/>
        <v>High Humidity</v>
      </c>
      <c r="T1480" s="7" t="str">
        <f t="shared" si="95"/>
        <v>Moderate Wind</v>
      </c>
    </row>
    <row r="1481" spans="1:20" x14ac:dyDescent="0.25">
      <c r="A1481" s="7" t="s">
        <v>1549</v>
      </c>
      <c r="B1481" s="10">
        <v>45825</v>
      </c>
      <c r="C1481" s="11" t="s">
        <v>64</v>
      </c>
      <c r="D1481" s="11" t="s">
        <v>36</v>
      </c>
      <c r="E1481" s="7" t="s">
        <v>91</v>
      </c>
      <c r="F1481" s="9">
        <v>44.5</v>
      </c>
      <c r="G1481" s="9">
        <v>67.7</v>
      </c>
      <c r="H1481" s="9">
        <v>20</v>
      </c>
      <c r="I1481" s="9">
        <v>10.8</v>
      </c>
      <c r="J1481" s="9">
        <v>0.18</v>
      </c>
      <c r="K1481" s="9">
        <v>41.5</v>
      </c>
      <c r="L1481" s="7">
        <v>24.8</v>
      </c>
      <c r="M1481" s="7">
        <v>76.2</v>
      </c>
      <c r="N1481" s="7">
        <v>2.1</v>
      </c>
      <c r="O1481" s="7">
        <v>162</v>
      </c>
      <c r="P1481" s="7" t="s">
        <v>33</v>
      </c>
      <c r="Q1481" s="7" t="str">
        <f t="shared" si="92"/>
        <v>Moderate</v>
      </c>
      <c r="R1481" s="7" t="str">
        <f t="shared" si="93"/>
        <v>Normal</v>
      </c>
      <c r="S1481" s="7" t="str">
        <f t="shared" si="94"/>
        <v>High Humidity</v>
      </c>
      <c r="T1481" s="7" t="str">
        <f t="shared" si="95"/>
        <v>Moderate Wind</v>
      </c>
    </row>
    <row r="1482" spans="1:20" x14ac:dyDescent="0.25">
      <c r="A1482" s="7" t="s">
        <v>1550</v>
      </c>
      <c r="B1482" s="10">
        <v>45816</v>
      </c>
      <c r="C1482" s="11" t="s">
        <v>22</v>
      </c>
      <c r="D1482" s="11" t="s">
        <v>23</v>
      </c>
      <c r="E1482" s="7" t="s">
        <v>32</v>
      </c>
      <c r="F1482" s="9">
        <v>33.700000000000003</v>
      </c>
      <c r="G1482" s="9">
        <v>70.900000000000006</v>
      </c>
      <c r="H1482" s="9">
        <v>13.5</v>
      </c>
      <c r="I1482" s="9">
        <v>6.6</v>
      </c>
      <c r="J1482" s="9">
        <v>0.38</v>
      </c>
      <c r="K1482" s="9">
        <v>104.3</v>
      </c>
      <c r="L1482" s="7">
        <v>23.3</v>
      </c>
      <c r="M1482" s="7">
        <v>51.9</v>
      </c>
      <c r="N1482" s="7">
        <v>3.3</v>
      </c>
      <c r="O1482" s="7">
        <v>172</v>
      </c>
      <c r="P1482" s="7" t="s">
        <v>33</v>
      </c>
      <c r="Q1482" s="7" t="str">
        <f t="shared" si="92"/>
        <v>Moderate</v>
      </c>
      <c r="R1482" s="7" t="str">
        <f t="shared" si="93"/>
        <v>Normal</v>
      </c>
      <c r="S1482" s="7" t="str">
        <f t="shared" si="94"/>
        <v>Normal Humidity</v>
      </c>
      <c r="T1482" s="7" t="str">
        <f t="shared" si="95"/>
        <v>Moderate Wind</v>
      </c>
    </row>
    <row r="1483" spans="1:20" x14ac:dyDescent="0.25">
      <c r="A1483" s="7" t="s">
        <v>1551</v>
      </c>
      <c r="B1483" s="10">
        <v>45941</v>
      </c>
      <c r="C1483" s="11" t="s">
        <v>50</v>
      </c>
      <c r="D1483" s="11" t="s">
        <v>31</v>
      </c>
      <c r="E1483" s="7" t="s">
        <v>70</v>
      </c>
      <c r="F1483" s="9">
        <v>82.5</v>
      </c>
      <c r="G1483" s="9">
        <v>89.3</v>
      </c>
      <c r="H1483" s="9">
        <v>43</v>
      </c>
      <c r="I1483" s="9">
        <v>30.5</v>
      </c>
      <c r="J1483" s="9">
        <v>0.46</v>
      </c>
      <c r="K1483" s="9">
        <v>42.6</v>
      </c>
      <c r="L1483" s="7">
        <v>28.6</v>
      </c>
      <c r="M1483" s="7">
        <v>63.5</v>
      </c>
      <c r="N1483" s="7">
        <v>1.5</v>
      </c>
      <c r="O1483" s="7">
        <v>276</v>
      </c>
      <c r="P1483" s="7" t="s">
        <v>28</v>
      </c>
      <c r="Q1483" s="7" t="str">
        <f t="shared" si="92"/>
        <v>Moderate</v>
      </c>
      <c r="R1483" s="7" t="str">
        <f t="shared" si="93"/>
        <v>Normal</v>
      </c>
      <c r="S1483" s="7" t="str">
        <f t="shared" si="94"/>
        <v>High Humidity</v>
      </c>
      <c r="T1483" s="7" t="str">
        <f t="shared" si="95"/>
        <v>Low Wind</v>
      </c>
    </row>
    <row r="1484" spans="1:20" x14ac:dyDescent="0.25">
      <c r="A1484" s="7" t="s">
        <v>1552</v>
      </c>
      <c r="B1484" s="10">
        <v>45759</v>
      </c>
      <c r="C1484" s="11" t="s">
        <v>64</v>
      </c>
      <c r="D1484" s="11" t="s">
        <v>36</v>
      </c>
      <c r="E1484" s="7" t="s">
        <v>43</v>
      </c>
      <c r="F1484" s="9">
        <v>58.3</v>
      </c>
      <c r="G1484" s="9">
        <v>146</v>
      </c>
      <c r="H1484" s="9">
        <v>60.9</v>
      </c>
      <c r="I1484" s="9">
        <v>21</v>
      </c>
      <c r="J1484" s="9">
        <v>1.25</v>
      </c>
      <c r="K1484" s="9">
        <v>16.899999999999999</v>
      </c>
      <c r="L1484" s="7">
        <v>18.100000000000001</v>
      </c>
      <c r="M1484" s="7">
        <v>89.1</v>
      </c>
      <c r="N1484" s="7">
        <v>3</v>
      </c>
      <c r="O1484" s="7">
        <v>290</v>
      </c>
      <c r="P1484" s="7" t="s">
        <v>28</v>
      </c>
      <c r="Q1484" s="7" t="str">
        <f t="shared" si="92"/>
        <v>Unhealthy</v>
      </c>
      <c r="R1484" s="7" t="str">
        <f t="shared" si="93"/>
        <v>Cool</v>
      </c>
      <c r="S1484" s="7" t="str">
        <f t="shared" si="94"/>
        <v>High Humidity</v>
      </c>
      <c r="T1484" s="7" t="str">
        <f t="shared" si="95"/>
        <v>Moderate Wind</v>
      </c>
    </row>
    <row r="1485" spans="1:20" x14ac:dyDescent="0.25">
      <c r="A1485" s="7" t="s">
        <v>1553</v>
      </c>
      <c r="B1485" s="10">
        <v>45836</v>
      </c>
      <c r="C1485" s="11" t="s">
        <v>35</v>
      </c>
      <c r="D1485" s="11" t="s">
        <v>36</v>
      </c>
      <c r="E1485" s="7" t="s">
        <v>70</v>
      </c>
      <c r="F1485" s="9">
        <v>68.599999999999994</v>
      </c>
      <c r="G1485" s="9">
        <v>89.7</v>
      </c>
      <c r="H1485" s="9">
        <v>62.7</v>
      </c>
      <c r="I1485" s="9">
        <v>11.3</v>
      </c>
      <c r="J1485" s="9">
        <v>0.28000000000000003</v>
      </c>
      <c r="K1485" s="9">
        <v>31.5</v>
      </c>
      <c r="L1485" s="7">
        <v>17</v>
      </c>
      <c r="M1485" s="7">
        <v>49</v>
      </c>
      <c r="N1485" s="7">
        <v>2.5</v>
      </c>
      <c r="O1485" s="7">
        <v>247</v>
      </c>
      <c r="P1485" s="7" t="s">
        <v>28</v>
      </c>
      <c r="Q1485" s="7" t="str">
        <f t="shared" si="92"/>
        <v>Moderate</v>
      </c>
      <c r="R1485" s="7" t="str">
        <f t="shared" si="93"/>
        <v>Cool</v>
      </c>
      <c r="S1485" s="7" t="str">
        <f t="shared" si="94"/>
        <v>Normal Humidity</v>
      </c>
      <c r="T1485" s="7" t="str">
        <f t="shared" si="95"/>
        <v>Moderate Wind</v>
      </c>
    </row>
    <row r="1486" spans="1:20" x14ac:dyDescent="0.25">
      <c r="A1486" s="7" t="s">
        <v>1554</v>
      </c>
      <c r="B1486" s="10">
        <v>45838</v>
      </c>
      <c r="C1486" s="11" t="s">
        <v>64</v>
      </c>
      <c r="D1486" s="11" t="s">
        <v>36</v>
      </c>
      <c r="E1486" s="7" t="s">
        <v>68</v>
      </c>
      <c r="F1486" s="9">
        <v>52.7</v>
      </c>
      <c r="G1486" s="9">
        <v>16.2</v>
      </c>
      <c r="H1486" s="9">
        <v>58.6</v>
      </c>
      <c r="I1486" s="9">
        <v>20.100000000000001</v>
      </c>
      <c r="J1486" s="9">
        <v>0.85</v>
      </c>
      <c r="K1486" s="9">
        <v>54.4</v>
      </c>
      <c r="L1486" s="7">
        <v>31.9</v>
      </c>
      <c r="M1486" s="7">
        <v>59.7</v>
      </c>
      <c r="N1486" s="7">
        <v>0.1</v>
      </c>
      <c r="O1486" s="7">
        <v>202</v>
      </c>
      <c r="P1486" s="7" t="s">
        <v>28</v>
      </c>
      <c r="Q1486" s="7" t="str">
        <f t="shared" si="92"/>
        <v>Good</v>
      </c>
      <c r="R1486" s="7" t="str">
        <f t="shared" si="93"/>
        <v>Hot</v>
      </c>
      <c r="S1486" s="7" t="str">
        <f t="shared" si="94"/>
        <v>Normal Humidity</v>
      </c>
      <c r="T1486" s="7" t="str">
        <f t="shared" si="95"/>
        <v>Low Wind</v>
      </c>
    </row>
    <row r="1487" spans="1:20" x14ac:dyDescent="0.25">
      <c r="A1487" s="7" t="s">
        <v>1555</v>
      </c>
      <c r="B1487" s="10">
        <v>45967</v>
      </c>
      <c r="C1487" s="11" t="s">
        <v>52</v>
      </c>
      <c r="D1487" s="11" t="s">
        <v>31</v>
      </c>
      <c r="E1487" s="7" t="s">
        <v>43</v>
      </c>
      <c r="F1487" s="9">
        <v>24.8</v>
      </c>
      <c r="G1487" s="9">
        <v>113</v>
      </c>
      <c r="H1487" s="9">
        <v>42.1</v>
      </c>
      <c r="I1487" s="9">
        <v>25.9</v>
      </c>
      <c r="J1487" s="9">
        <v>0.49</v>
      </c>
      <c r="K1487" s="9">
        <v>26.6</v>
      </c>
      <c r="L1487" s="7">
        <v>22.8</v>
      </c>
      <c r="M1487" s="7">
        <v>69.2</v>
      </c>
      <c r="N1487" s="7">
        <v>0.4</v>
      </c>
      <c r="O1487" s="7">
        <v>189</v>
      </c>
      <c r="P1487" s="7" t="s">
        <v>33</v>
      </c>
      <c r="Q1487" s="7" t="str">
        <f t="shared" si="92"/>
        <v>Unhealthy</v>
      </c>
      <c r="R1487" s="7" t="str">
        <f t="shared" si="93"/>
        <v>Normal</v>
      </c>
      <c r="S1487" s="7" t="str">
        <f t="shared" si="94"/>
        <v>High Humidity</v>
      </c>
      <c r="T1487" s="7" t="str">
        <f t="shared" si="95"/>
        <v>Low Wind</v>
      </c>
    </row>
    <row r="1488" spans="1:20" x14ac:dyDescent="0.25">
      <c r="A1488" s="7" t="s">
        <v>1556</v>
      </c>
      <c r="B1488" s="10">
        <v>46003</v>
      </c>
      <c r="C1488" s="11" t="s">
        <v>22</v>
      </c>
      <c r="D1488" s="11" t="s">
        <v>23</v>
      </c>
      <c r="E1488" s="7" t="s">
        <v>61</v>
      </c>
      <c r="F1488" s="9">
        <v>7.9</v>
      </c>
      <c r="G1488" s="9">
        <v>146.69999999999999</v>
      </c>
      <c r="H1488" s="9">
        <v>37.1</v>
      </c>
      <c r="I1488" s="9">
        <v>25.8</v>
      </c>
      <c r="J1488" s="9">
        <v>0.65</v>
      </c>
      <c r="K1488" s="9">
        <v>33.299999999999997</v>
      </c>
      <c r="L1488" s="7">
        <v>19.399999999999999</v>
      </c>
      <c r="M1488" s="7">
        <v>58.7</v>
      </c>
      <c r="N1488" s="7">
        <v>2.8</v>
      </c>
      <c r="O1488" s="7">
        <v>187</v>
      </c>
      <c r="P1488" s="7" t="s">
        <v>33</v>
      </c>
      <c r="Q1488" s="7" t="str">
        <f t="shared" si="92"/>
        <v>Unhealthy</v>
      </c>
      <c r="R1488" s="7" t="str">
        <f t="shared" si="93"/>
        <v>Cool</v>
      </c>
      <c r="S1488" s="7" t="str">
        <f t="shared" si="94"/>
        <v>Normal Humidity</v>
      </c>
      <c r="T1488" s="7" t="str">
        <f t="shared" si="95"/>
        <v>Moderate Wind</v>
      </c>
    </row>
    <row r="1489" spans="1:20" x14ac:dyDescent="0.25">
      <c r="A1489" s="7" t="s">
        <v>1557</v>
      </c>
      <c r="B1489" s="10">
        <v>45953</v>
      </c>
      <c r="C1489" s="11" t="s">
        <v>42</v>
      </c>
      <c r="D1489" s="11" t="s">
        <v>23</v>
      </c>
      <c r="E1489" s="7" t="s">
        <v>70</v>
      </c>
      <c r="F1489" s="9">
        <v>57.5</v>
      </c>
      <c r="G1489" s="9">
        <v>156.30000000000001</v>
      </c>
      <c r="H1489" s="9">
        <v>39.5</v>
      </c>
      <c r="I1489" s="9">
        <v>10.3</v>
      </c>
      <c r="J1489" s="9">
        <v>0.77</v>
      </c>
      <c r="K1489" s="9">
        <v>49.4</v>
      </c>
      <c r="L1489" s="7">
        <v>29.7</v>
      </c>
      <c r="M1489" s="7">
        <v>64.400000000000006</v>
      </c>
      <c r="N1489" s="7">
        <v>1.4</v>
      </c>
      <c r="O1489" s="7">
        <v>274</v>
      </c>
      <c r="P1489" s="7" t="s">
        <v>28</v>
      </c>
      <c r="Q1489" s="7" t="str">
        <f t="shared" si="92"/>
        <v>VeryUnhealthy</v>
      </c>
      <c r="R1489" s="7" t="str">
        <f t="shared" si="93"/>
        <v>Normal</v>
      </c>
      <c r="S1489" s="7" t="str">
        <f t="shared" si="94"/>
        <v>High Humidity</v>
      </c>
      <c r="T1489" s="7" t="str">
        <f t="shared" si="95"/>
        <v>Low Wind</v>
      </c>
    </row>
    <row r="1490" spans="1:20" x14ac:dyDescent="0.25">
      <c r="A1490" s="7" t="s">
        <v>1558</v>
      </c>
      <c r="B1490" s="10">
        <v>45770</v>
      </c>
      <c r="C1490" s="11" t="s">
        <v>77</v>
      </c>
      <c r="D1490" s="11" t="s">
        <v>39</v>
      </c>
      <c r="E1490" s="7" t="s">
        <v>91</v>
      </c>
      <c r="F1490" s="9">
        <v>23.8</v>
      </c>
      <c r="G1490" s="9">
        <v>122.9</v>
      </c>
      <c r="H1490" s="9">
        <v>6.3</v>
      </c>
      <c r="I1490" s="9">
        <v>18.100000000000001</v>
      </c>
      <c r="J1490" s="9">
        <v>0.99</v>
      </c>
      <c r="K1490" s="9">
        <v>16.5</v>
      </c>
      <c r="L1490" s="7">
        <v>20.399999999999999</v>
      </c>
      <c r="M1490" s="7">
        <v>47.4</v>
      </c>
      <c r="N1490" s="7">
        <v>2.5</v>
      </c>
      <c r="O1490" s="7">
        <v>168</v>
      </c>
      <c r="P1490" s="7" t="s">
        <v>33</v>
      </c>
      <c r="Q1490" s="7" t="str">
        <f t="shared" si="92"/>
        <v>Unhealthy</v>
      </c>
      <c r="R1490" s="7" t="str">
        <f t="shared" si="93"/>
        <v>Normal</v>
      </c>
      <c r="S1490" s="7" t="str">
        <f t="shared" si="94"/>
        <v>Normal Humidity</v>
      </c>
      <c r="T1490" s="7" t="str">
        <f t="shared" si="95"/>
        <v>Moderate Wind</v>
      </c>
    </row>
    <row r="1491" spans="1:20" x14ac:dyDescent="0.25">
      <c r="A1491" s="7" t="s">
        <v>1559</v>
      </c>
      <c r="B1491" s="10">
        <v>45666</v>
      </c>
      <c r="C1491" s="11" t="s">
        <v>77</v>
      </c>
      <c r="D1491" s="11" t="s">
        <v>39</v>
      </c>
      <c r="E1491" s="7" t="s">
        <v>91</v>
      </c>
      <c r="F1491" s="9">
        <v>38.9</v>
      </c>
      <c r="G1491" s="9">
        <v>171.9</v>
      </c>
      <c r="H1491" s="9">
        <v>8.8000000000000007</v>
      </c>
      <c r="I1491" s="9">
        <v>1.2</v>
      </c>
      <c r="J1491" s="9">
        <v>1.62</v>
      </c>
      <c r="K1491" s="9">
        <v>14.5</v>
      </c>
      <c r="L1491" s="7">
        <v>27.8</v>
      </c>
      <c r="M1491" s="7">
        <v>74.2</v>
      </c>
      <c r="N1491" s="7">
        <v>2</v>
      </c>
      <c r="O1491" s="7">
        <v>229</v>
      </c>
      <c r="P1491" s="7" t="s">
        <v>28</v>
      </c>
      <c r="Q1491" s="7" t="str">
        <f t="shared" si="92"/>
        <v>VeryUnhealthy</v>
      </c>
      <c r="R1491" s="7" t="str">
        <f t="shared" si="93"/>
        <v>Normal</v>
      </c>
      <c r="S1491" s="7" t="str">
        <f t="shared" si="94"/>
        <v>High Humidity</v>
      </c>
      <c r="T1491" s="7" t="str">
        <f t="shared" si="95"/>
        <v>Moderate Wind</v>
      </c>
    </row>
    <row r="1492" spans="1:20" x14ac:dyDescent="0.25">
      <c r="A1492" s="7" t="s">
        <v>1560</v>
      </c>
      <c r="B1492" s="10">
        <v>45880</v>
      </c>
      <c r="C1492" s="11" t="s">
        <v>30</v>
      </c>
      <c r="D1492" s="11" t="s">
        <v>31</v>
      </c>
      <c r="E1492" s="7" t="s">
        <v>40</v>
      </c>
      <c r="F1492" s="9">
        <v>40.6</v>
      </c>
      <c r="G1492" s="9">
        <v>76</v>
      </c>
      <c r="H1492" s="9">
        <v>8.6999999999999993</v>
      </c>
      <c r="I1492" s="9">
        <v>20.399999999999999</v>
      </c>
      <c r="J1492" s="9">
        <v>0.66</v>
      </c>
      <c r="K1492" s="9">
        <v>63.7</v>
      </c>
      <c r="L1492" s="7">
        <v>21.9</v>
      </c>
      <c r="M1492" s="7">
        <v>57.2</v>
      </c>
      <c r="N1492" s="7">
        <v>1</v>
      </c>
      <c r="O1492" s="7">
        <v>181</v>
      </c>
      <c r="P1492" s="7" t="s">
        <v>33</v>
      </c>
      <c r="Q1492" s="7" t="str">
        <f t="shared" si="92"/>
        <v>Moderate</v>
      </c>
      <c r="R1492" s="7" t="str">
        <f t="shared" si="93"/>
        <v>Normal</v>
      </c>
      <c r="S1492" s="7" t="str">
        <f t="shared" si="94"/>
        <v>Normal Humidity</v>
      </c>
      <c r="T1492" s="7" t="str">
        <f t="shared" si="95"/>
        <v>Low Wind</v>
      </c>
    </row>
    <row r="1493" spans="1:20" x14ac:dyDescent="0.25">
      <c r="A1493" s="7" t="s">
        <v>1561</v>
      </c>
      <c r="B1493" s="10">
        <v>45836</v>
      </c>
      <c r="C1493" s="11" t="s">
        <v>81</v>
      </c>
      <c r="D1493" s="11" t="s">
        <v>39</v>
      </c>
      <c r="E1493" s="7" t="s">
        <v>74</v>
      </c>
      <c r="F1493" s="9">
        <v>146.9</v>
      </c>
      <c r="G1493" s="9">
        <v>35.700000000000003</v>
      </c>
      <c r="H1493" s="9">
        <v>24.9</v>
      </c>
      <c r="I1493" s="9">
        <v>21.6</v>
      </c>
      <c r="J1493" s="9">
        <v>0.81</v>
      </c>
      <c r="K1493" s="9">
        <v>32.299999999999997</v>
      </c>
      <c r="L1493" s="7">
        <v>22.1</v>
      </c>
      <c r="M1493" s="7">
        <v>61.2</v>
      </c>
      <c r="N1493" s="7">
        <v>4.4000000000000004</v>
      </c>
      <c r="O1493" s="7">
        <v>328</v>
      </c>
      <c r="P1493" s="7" t="s">
        <v>20</v>
      </c>
      <c r="Q1493" s="7" t="str">
        <f t="shared" si="92"/>
        <v>Good</v>
      </c>
      <c r="R1493" s="7" t="str">
        <f t="shared" si="93"/>
        <v>Normal</v>
      </c>
      <c r="S1493" s="7" t="str">
        <f t="shared" si="94"/>
        <v>High Humidity</v>
      </c>
      <c r="T1493" s="7" t="str">
        <f t="shared" si="95"/>
        <v>Moderate Wind</v>
      </c>
    </row>
    <row r="1494" spans="1:20" x14ac:dyDescent="0.25">
      <c r="A1494" s="7" t="s">
        <v>1562</v>
      </c>
      <c r="B1494" s="10">
        <v>45999</v>
      </c>
      <c r="C1494" s="11" t="s">
        <v>93</v>
      </c>
      <c r="D1494" s="11" t="s">
        <v>36</v>
      </c>
      <c r="E1494" s="7" t="s">
        <v>91</v>
      </c>
      <c r="F1494" s="9">
        <v>41.5</v>
      </c>
      <c r="G1494" s="9">
        <v>146.80000000000001</v>
      </c>
      <c r="H1494" s="9">
        <v>28.6</v>
      </c>
      <c r="I1494" s="9">
        <v>20.8</v>
      </c>
      <c r="J1494" s="9">
        <v>1.84</v>
      </c>
      <c r="K1494" s="9">
        <v>17.5</v>
      </c>
      <c r="L1494" s="7">
        <v>23.6</v>
      </c>
      <c r="M1494" s="7">
        <v>63.6</v>
      </c>
      <c r="N1494" s="7">
        <v>3</v>
      </c>
      <c r="O1494" s="7">
        <v>253</v>
      </c>
      <c r="P1494" s="7" t="s">
        <v>28</v>
      </c>
      <c r="Q1494" s="7" t="str">
        <f t="shared" si="92"/>
        <v>Unhealthy</v>
      </c>
      <c r="R1494" s="7" t="str">
        <f t="shared" si="93"/>
        <v>Normal</v>
      </c>
      <c r="S1494" s="7" t="str">
        <f t="shared" si="94"/>
        <v>High Humidity</v>
      </c>
      <c r="T1494" s="7" t="str">
        <f t="shared" si="95"/>
        <v>Moderate Wind</v>
      </c>
    </row>
    <row r="1495" spans="1:20" x14ac:dyDescent="0.25">
      <c r="A1495" s="7" t="s">
        <v>1563</v>
      </c>
      <c r="B1495" s="10">
        <v>45671</v>
      </c>
      <c r="C1495" s="11" t="s">
        <v>17</v>
      </c>
      <c r="D1495" s="11" t="s">
        <v>18</v>
      </c>
      <c r="E1495" s="7" t="s">
        <v>32</v>
      </c>
      <c r="F1495" s="9">
        <v>71.599999999999994</v>
      </c>
      <c r="G1495" s="9">
        <v>70.5</v>
      </c>
      <c r="H1495" s="9">
        <v>26.5</v>
      </c>
      <c r="I1495" s="9">
        <v>29.4</v>
      </c>
      <c r="J1495" s="9">
        <v>0.61</v>
      </c>
      <c r="K1495" s="9">
        <v>23.2</v>
      </c>
      <c r="L1495" s="7">
        <v>20.7</v>
      </c>
      <c r="M1495" s="7">
        <v>59.6</v>
      </c>
      <c r="N1495" s="7">
        <v>2.6</v>
      </c>
      <c r="O1495" s="7">
        <v>228</v>
      </c>
      <c r="P1495" s="7" t="s">
        <v>28</v>
      </c>
      <c r="Q1495" s="7" t="str">
        <f t="shared" si="92"/>
        <v>Moderate</v>
      </c>
      <c r="R1495" s="7" t="str">
        <f t="shared" si="93"/>
        <v>Normal</v>
      </c>
      <c r="S1495" s="7" t="str">
        <f t="shared" si="94"/>
        <v>Normal Humidity</v>
      </c>
      <c r="T1495" s="7" t="str">
        <f t="shared" si="95"/>
        <v>Moderate Wind</v>
      </c>
    </row>
    <row r="1496" spans="1:20" x14ac:dyDescent="0.25">
      <c r="A1496" s="7" t="s">
        <v>1564</v>
      </c>
      <c r="B1496" s="10">
        <v>45890</v>
      </c>
      <c r="C1496" s="11" t="s">
        <v>67</v>
      </c>
      <c r="D1496" s="11" t="s">
        <v>18</v>
      </c>
      <c r="E1496" s="7" t="s">
        <v>19</v>
      </c>
      <c r="F1496" s="9">
        <v>60.5</v>
      </c>
      <c r="G1496" s="9">
        <v>61.3</v>
      </c>
      <c r="H1496" s="9">
        <v>11.7</v>
      </c>
      <c r="I1496" s="9">
        <v>6.7</v>
      </c>
      <c r="J1496" s="9">
        <v>1.49</v>
      </c>
      <c r="K1496" s="9">
        <v>54.6</v>
      </c>
      <c r="L1496" s="7">
        <v>19.5</v>
      </c>
      <c r="M1496" s="7">
        <v>89.4</v>
      </c>
      <c r="N1496" s="7">
        <v>0.6</v>
      </c>
      <c r="O1496" s="7">
        <v>213</v>
      </c>
      <c r="P1496" s="7" t="s">
        <v>28</v>
      </c>
      <c r="Q1496" s="7" t="str">
        <f t="shared" si="92"/>
        <v>Moderate</v>
      </c>
      <c r="R1496" s="7" t="str">
        <f t="shared" si="93"/>
        <v>Cool</v>
      </c>
      <c r="S1496" s="7" t="str">
        <f t="shared" si="94"/>
        <v>High Humidity</v>
      </c>
      <c r="T1496" s="7" t="str">
        <f t="shared" si="95"/>
        <v>Low Wind</v>
      </c>
    </row>
    <row r="1497" spans="1:20" x14ac:dyDescent="0.25">
      <c r="A1497" s="7" t="s">
        <v>1565</v>
      </c>
      <c r="B1497" s="10">
        <v>45799</v>
      </c>
      <c r="C1497" s="11" t="s">
        <v>42</v>
      </c>
      <c r="D1497" s="11" t="s">
        <v>23</v>
      </c>
      <c r="E1497" s="7" t="s">
        <v>61</v>
      </c>
      <c r="F1497" s="9">
        <v>53.8</v>
      </c>
      <c r="G1497" s="9">
        <v>137.6</v>
      </c>
      <c r="H1497" s="9">
        <v>22</v>
      </c>
      <c r="I1497" s="9">
        <v>10.8</v>
      </c>
      <c r="J1497" s="9">
        <v>0.77</v>
      </c>
      <c r="K1497" s="9">
        <v>12.2</v>
      </c>
      <c r="L1497" s="7">
        <v>29.5</v>
      </c>
      <c r="M1497" s="7">
        <v>53.8</v>
      </c>
      <c r="N1497" s="7">
        <v>3.7</v>
      </c>
      <c r="O1497" s="7">
        <v>225</v>
      </c>
      <c r="P1497" s="7" t="s">
        <v>28</v>
      </c>
      <c r="Q1497" s="7" t="str">
        <f t="shared" si="92"/>
        <v>Unhealthy</v>
      </c>
      <c r="R1497" s="7" t="str">
        <f t="shared" si="93"/>
        <v>Normal</v>
      </c>
      <c r="S1497" s="7" t="str">
        <f t="shared" si="94"/>
        <v>Normal Humidity</v>
      </c>
      <c r="T1497" s="7" t="str">
        <f t="shared" si="95"/>
        <v>Moderate Wind</v>
      </c>
    </row>
    <row r="1498" spans="1:20" x14ac:dyDescent="0.25">
      <c r="A1498" s="7" t="s">
        <v>1566</v>
      </c>
      <c r="B1498" s="10">
        <v>45846</v>
      </c>
      <c r="C1498" s="11" t="s">
        <v>64</v>
      </c>
      <c r="D1498" s="11" t="s">
        <v>36</v>
      </c>
      <c r="E1498" s="7" t="s">
        <v>61</v>
      </c>
      <c r="F1498" s="9">
        <v>57.1</v>
      </c>
      <c r="G1498" s="9">
        <v>61.4</v>
      </c>
      <c r="H1498" s="9">
        <v>17.899999999999999</v>
      </c>
      <c r="I1498" s="9">
        <v>2</v>
      </c>
      <c r="J1498" s="9">
        <v>0.75</v>
      </c>
      <c r="K1498" s="9">
        <v>39</v>
      </c>
      <c r="L1498" s="7">
        <v>34.6</v>
      </c>
      <c r="M1498" s="7">
        <v>39.5</v>
      </c>
      <c r="N1498" s="7">
        <v>3.3</v>
      </c>
      <c r="O1498" s="7">
        <v>183</v>
      </c>
      <c r="P1498" s="7" t="s">
        <v>33</v>
      </c>
      <c r="Q1498" s="7" t="str">
        <f t="shared" si="92"/>
        <v>Moderate</v>
      </c>
      <c r="R1498" s="7" t="str">
        <f t="shared" si="93"/>
        <v>Hot</v>
      </c>
      <c r="S1498" s="7" t="str">
        <f t="shared" si="94"/>
        <v>Normal Humidity</v>
      </c>
      <c r="T1498" s="7" t="str">
        <f t="shared" si="95"/>
        <v>Moderate Wind</v>
      </c>
    </row>
    <row r="1499" spans="1:20" x14ac:dyDescent="0.25">
      <c r="A1499" s="7" t="s">
        <v>1567</v>
      </c>
      <c r="B1499" s="10">
        <v>45793</v>
      </c>
      <c r="C1499" s="11" t="s">
        <v>81</v>
      </c>
      <c r="D1499" s="11" t="s">
        <v>39</v>
      </c>
      <c r="E1499" s="7" t="s">
        <v>58</v>
      </c>
      <c r="F1499" s="9">
        <v>87.4</v>
      </c>
      <c r="G1499" s="9">
        <v>69.400000000000006</v>
      </c>
      <c r="H1499" s="9">
        <v>38.799999999999997</v>
      </c>
      <c r="I1499" s="9">
        <v>2.5</v>
      </c>
      <c r="J1499" s="9">
        <v>0.5</v>
      </c>
      <c r="K1499" s="9">
        <v>41.9</v>
      </c>
      <c r="L1499" s="7">
        <v>23.4</v>
      </c>
      <c r="M1499" s="7">
        <v>66.7</v>
      </c>
      <c r="N1499" s="7">
        <v>2.8</v>
      </c>
      <c r="O1499" s="7">
        <v>249</v>
      </c>
      <c r="P1499" s="7" t="s">
        <v>28</v>
      </c>
      <c r="Q1499" s="7" t="str">
        <f t="shared" si="92"/>
        <v>Moderate</v>
      </c>
      <c r="R1499" s="7" t="str">
        <f t="shared" si="93"/>
        <v>Normal</v>
      </c>
      <c r="S1499" s="7" t="str">
        <f t="shared" si="94"/>
        <v>High Humidity</v>
      </c>
      <c r="T1499" s="7" t="str">
        <f t="shared" si="95"/>
        <v>Moderate Wind</v>
      </c>
    </row>
    <row r="1500" spans="1:20" x14ac:dyDescent="0.25">
      <c r="A1500" s="7" t="s">
        <v>1568</v>
      </c>
      <c r="B1500" s="10">
        <v>45686</v>
      </c>
      <c r="C1500" s="11" t="s">
        <v>99</v>
      </c>
      <c r="D1500" s="11" t="s">
        <v>36</v>
      </c>
      <c r="E1500" s="7" t="s">
        <v>32</v>
      </c>
      <c r="F1500" s="9">
        <v>62.8</v>
      </c>
      <c r="G1500" s="9">
        <v>154.1</v>
      </c>
      <c r="H1500" s="9">
        <v>17</v>
      </c>
      <c r="I1500" s="9">
        <v>26.5</v>
      </c>
      <c r="J1500" s="9">
        <v>0.48</v>
      </c>
      <c r="K1500" s="9">
        <v>7.2</v>
      </c>
      <c r="L1500" s="7">
        <v>24.5</v>
      </c>
      <c r="M1500" s="7">
        <v>58.1</v>
      </c>
      <c r="N1500" s="7">
        <v>2.8</v>
      </c>
      <c r="O1500" s="7">
        <v>248</v>
      </c>
      <c r="P1500" s="7" t="s">
        <v>28</v>
      </c>
      <c r="Q1500" s="7" t="str">
        <f t="shared" si="92"/>
        <v>VeryUnhealthy</v>
      </c>
      <c r="R1500" s="7" t="str">
        <f t="shared" si="93"/>
        <v>Normal</v>
      </c>
      <c r="S1500" s="7" t="str">
        <f t="shared" si="94"/>
        <v>Normal Humidity</v>
      </c>
      <c r="T1500" s="7" t="str">
        <f t="shared" si="95"/>
        <v>Moderate Wind</v>
      </c>
    </row>
    <row r="1501" spans="1:20" x14ac:dyDescent="0.25">
      <c r="A1501" s="7" t="s">
        <v>1569</v>
      </c>
      <c r="B1501" s="10">
        <v>45949</v>
      </c>
      <c r="C1501" s="11" t="s">
        <v>17</v>
      </c>
      <c r="D1501" s="11" t="s">
        <v>18</v>
      </c>
      <c r="E1501" s="7" t="s">
        <v>55</v>
      </c>
      <c r="F1501" s="9">
        <v>44.9</v>
      </c>
      <c r="G1501" s="9">
        <v>81.2</v>
      </c>
      <c r="H1501" s="9">
        <v>4.5</v>
      </c>
      <c r="I1501" s="9">
        <v>13.7</v>
      </c>
      <c r="J1501" s="9">
        <v>0.59</v>
      </c>
      <c r="K1501" s="9">
        <v>14.3</v>
      </c>
      <c r="L1501" s="7">
        <v>24.6</v>
      </c>
      <c r="M1501" s="7">
        <v>70.400000000000006</v>
      </c>
      <c r="N1501" s="7">
        <v>3.3</v>
      </c>
      <c r="O1501" s="7">
        <v>159</v>
      </c>
      <c r="P1501" s="7" t="s">
        <v>33</v>
      </c>
      <c r="Q1501" s="7" t="str">
        <f t="shared" si="92"/>
        <v>Moderate</v>
      </c>
      <c r="R1501" s="7" t="str">
        <f t="shared" si="93"/>
        <v>Normal</v>
      </c>
      <c r="S1501" s="7" t="str">
        <f t="shared" si="94"/>
        <v>High Humidity</v>
      </c>
      <c r="T1501" s="7" t="str">
        <f t="shared" si="95"/>
        <v>Moderate Wind</v>
      </c>
    </row>
  </sheetData>
  <conditionalFormatting sqref="P1:P1048576">
    <cfRule type="containsText" dxfId="37" priority="2" operator="containsText" text="Very Poor">
      <formula>NOT(ISERROR(SEARCH("Very Poor",P1)))</formula>
    </cfRule>
  </conditionalFormatting>
  <conditionalFormatting sqref="R1:R1048576">
    <cfRule type="containsText" dxfId="36" priority="1" operator="containsText" text="Cool">
      <formula>NOT(ISERROR(SEARCH("Cool",R1)))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J16" sqref="J16"/>
    </sheetView>
  </sheetViews>
  <sheetFormatPr defaultRowHeight="15" x14ac:dyDescent="0.25"/>
  <cols>
    <col min="1" max="1" width="13.140625" customWidth="1"/>
    <col min="2" max="2" width="14.85546875" customWidth="1"/>
    <col min="3" max="3" width="5.140625" customWidth="1"/>
    <col min="4" max="4" width="11.28515625" bestFit="1" customWidth="1"/>
    <col min="5" max="5" width="9.7109375" bestFit="1" customWidth="1"/>
    <col min="6" max="6" width="11.28515625" bestFit="1" customWidth="1"/>
    <col min="9" max="9" width="13.140625" customWidth="1"/>
    <col min="10" max="10" width="25.140625" bestFit="1" customWidth="1"/>
    <col min="13" max="13" width="13.140625" bestFit="1" customWidth="1"/>
    <col min="14" max="14" width="27.5703125" bestFit="1" customWidth="1"/>
  </cols>
  <sheetData>
    <row r="1" spans="1:14" ht="26.25" x14ac:dyDescent="0.4">
      <c r="A1" s="4" t="s">
        <v>1576</v>
      </c>
      <c r="I1" s="5" t="s">
        <v>1579</v>
      </c>
      <c r="M1" s="5" t="s">
        <v>1583</v>
      </c>
    </row>
    <row r="2" spans="1:14" x14ac:dyDescent="0.25">
      <c r="A2" s="6" t="s">
        <v>1580</v>
      </c>
      <c r="B2" s="6" t="s">
        <v>1577</v>
      </c>
      <c r="C2" s="7"/>
      <c r="D2" s="7"/>
      <c r="E2" s="7"/>
      <c r="F2" s="7"/>
      <c r="I2" s="6" t="s">
        <v>3</v>
      </c>
      <c r="J2" s="7" t="s">
        <v>1578</v>
      </c>
      <c r="M2" s="6" t="s">
        <v>1582</v>
      </c>
      <c r="N2" s="7" t="s">
        <v>1581</v>
      </c>
    </row>
    <row r="3" spans="1:14" x14ac:dyDescent="0.25">
      <c r="A3" s="6" t="s">
        <v>2</v>
      </c>
      <c r="B3" s="7" t="s">
        <v>33</v>
      </c>
      <c r="C3" s="7" t="s">
        <v>28</v>
      </c>
      <c r="D3" s="7" t="s">
        <v>71</v>
      </c>
      <c r="E3" s="7" t="s">
        <v>20</v>
      </c>
      <c r="F3" s="7" t="s">
        <v>1575</v>
      </c>
      <c r="I3" s="8" t="s">
        <v>18</v>
      </c>
      <c r="J3" s="9">
        <v>27.084587813620086</v>
      </c>
      <c r="M3" s="8" t="s">
        <v>50</v>
      </c>
      <c r="N3" s="9">
        <v>2.1755319148936163</v>
      </c>
    </row>
    <row r="4" spans="1:14" x14ac:dyDescent="0.25">
      <c r="A4" s="8" t="s">
        <v>50</v>
      </c>
      <c r="B4" s="9">
        <v>51</v>
      </c>
      <c r="C4" s="9">
        <v>37</v>
      </c>
      <c r="D4" s="9">
        <v>2</v>
      </c>
      <c r="E4" s="9">
        <v>4</v>
      </c>
      <c r="F4" s="9">
        <v>94</v>
      </c>
      <c r="I4" s="8" t="s">
        <v>39</v>
      </c>
      <c r="J4" s="9">
        <v>27.317586206896554</v>
      </c>
      <c r="M4" s="8" t="s">
        <v>64</v>
      </c>
      <c r="N4" s="9">
        <v>2.2474226804123707</v>
      </c>
    </row>
    <row r="5" spans="1:14" x14ac:dyDescent="0.25">
      <c r="A5" s="8" t="s">
        <v>64</v>
      </c>
      <c r="B5" s="9">
        <v>45</v>
      </c>
      <c r="C5" s="9">
        <v>42</v>
      </c>
      <c r="D5" s="9">
        <v>2</v>
      </c>
      <c r="E5" s="9">
        <v>8</v>
      </c>
      <c r="F5" s="9">
        <v>97</v>
      </c>
      <c r="I5" s="8" t="s">
        <v>23</v>
      </c>
      <c r="J5" s="9">
        <v>26.855474452554748</v>
      </c>
      <c r="M5" s="8" t="s">
        <v>17</v>
      </c>
      <c r="N5" s="9">
        <v>2.2105882352941175</v>
      </c>
    </row>
    <row r="6" spans="1:14" x14ac:dyDescent="0.25">
      <c r="A6" s="8" t="s">
        <v>17</v>
      </c>
      <c r="B6" s="9">
        <v>33</v>
      </c>
      <c r="C6" s="9">
        <v>46</v>
      </c>
      <c r="D6" s="9">
        <v>1</v>
      </c>
      <c r="E6" s="9">
        <v>5</v>
      </c>
      <c r="F6" s="9">
        <v>85</v>
      </c>
      <c r="I6" s="8" t="s">
        <v>36</v>
      </c>
      <c r="J6" s="9">
        <v>27.141884816753933</v>
      </c>
      <c r="M6" s="8" t="s">
        <v>81</v>
      </c>
      <c r="N6" s="9">
        <v>2.2131868131868133</v>
      </c>
    </row>
    <row r="7" spans="1:14" x14ac:dyDescent="0.25">
      <c r="A7" s="8" t="s">
        <v>81</v>
      </c>
      <c r="B7" s="9">
        <v>35</v>
      </c>
      <c r="C7" s="9">
        <v>51</v>
      </c>
      <c r="D7" s="9"/>
      <c r="E7" s="9">
        <v>5</v>
      </c>
      <c r="F7" s="9">
        <v>91</v>
      </c>
      <c r="I7" s="8" t="s">
        <v>31</v>
      </c>
      <c r="J7" s="9">
        <v>26.618909090909117</v>
      </c>
      <c r="M7" s="8" t="s">
        <v>22</v>
      </c>
      <c r="N7" s="9">
        <v>2.3199999999999998</v>
      </c>
    </row>
    <row r="8" spans="1:14" x14ac:dyDescent="0.25">
      <c r="A8" s="8" t="s">
        <v>22</v>
      </c>
      <c r="B8" s="9">
        <v>43</v>
      </c>
      <c r="C8" s="9">
        <v>33</v>
      </c>
      <c r="D8" s="9"/>
      <c r="E8" s="9">
        <v>9</v>
      </c>
      <c r="F8" s="9">
        <v>85</v>
      </c>
      <c r="I8" s="8" t="s">
        <v>1575</v>
      </c>
      <c r="J8" s="9">
        <v>27.017000000000042</v>
      </c>
      <c r="M8" s="8" t="s">
        <v>93</v>
      </c>
      <c r="N8" s="9">
        <v>2.3264367816091949</v>
      </c>
    </row>
    <row r="9" spans="1:14" x14ac:dyDescent="0.25">
      <c r="A9" s="8" t="s">
        <v>93</v>
      </c>
      <c r="B9" s="9">
        <v>46</v>
      </c>
      <c r="C9" s="9">
        <v>34</v>
      </c>
      <c r="D9" s="9"/>
      <c r="E9" s="9">
        <v>7</v>
      </c>
      <c r="F9" s="9">
        <v>87</v>
      </c>
      <c r="M9" s="8" t="s">
        <v>99</v>
      </c>
      <c r="N9" s="9">
        <v>2.3010416666666664</v>
      </c>
    </row>
    <row r="10" spans="1:14" x14ac:dyDescent="0.25">
      <c r="A10" s="8" t="s">
        <v>99</v>
      </c>
      <c r="B10" s="9">
        <v>43</v>
      </c>
      <c r="C10" s="9">
        <v>44</v>
      </c>
      <c r="D10" s="9">
        <v>1</v>
      </c>
      <c r="E10" s="9">
        <v>8</v>
      </c>
      <c r="F10" s="9">
        <v>96</v>
      </c>
      <c r="M10" s="8" t="s">
        <v>26</v>
      </c>
      <c r="N10" s="9">
        <v>2.1147727272727277</v>
      </c>
    </row>
    <row r="11" spans="1:14" x14ac:dyDescent="0.25">
      <c r="A11" s="8" t="s">
        <v>26</v>
      </c>
      <c r="B11" s="9">
        <v>40</v>
      </c>
      <c r="C11" s="9">
        <v>42</v>
      </c>
      <c r="D11" s="9">
        <v>1</v>
      </c>
      <c r="E11" s="9">
        <v>5</v>
      </c>
      <c r="F11" s="9">
        <v>88</v>
      </c>
      <c r="M11" s="8" t="s">
        <v>35</v>
      </c>
      <c r="N11" s="9">
        <v>2.3049019607843135</v>
      </c>
    </row>
    <row r="12" spans="1:14" x14ac:dyDescent="0.25">
      <c r="A12" s="8" t="s">
        <v>35</v>
      </c>
      <c r="B12" s="9">
        <v>48</v>
      </c>
      <c r="C12" s="9">
        <v>48</v>
      </c>
      <c r="D12" s="9"/>
      <c r="E12" s="9">
        <v>6</v>
      </c>
      <c r="F12" s="9">
        <v>102</v>
      </c>
      <c r="M12" s="8" t="s">
        <v>54</v>
      </c>
      <c r="N12" s="9">
        <v>2.1242718446601958</v>
      </c>
    </row>
    <row r="13" spans="1:14" x14ac:dyDescent="0.25">
      <c r="A13" s="8" t="s">
        <v>54</v>
      </c>
      <c r="B13" s="9">
        <v>53</v>
      </c>
      <c r="C13" s="9">
        <v>37</v>
      </c>
      <c r="D13" s="9">
        <v>3</v>
      </c>
      <c r="E13" s="9">
        <v>10</v>
      </c>
      <c r="F13" s="9">
        <v>103</v>
      </c>
      <c r="M13" s="8" t="s">
        <v>42</v>
      </c>
      <c r="N13" s="9">
        <v>2.2495049504950493</v>
      </c>
    </row>
    <row r="14" spans="1:14" x14ac:dyDescent="0.25">
      <c r="A14" s="8" t="s">
        <v>42</v>
      </c>
      <c r="B14" s="9">
        <v>38</v>
      </c>
      <c r="C14" s="9">
        <v>47</v>
      </c>
      <c r="D14" s="9">
        <v>2</v>
      </c>
      <c r="E14" s="9">
        <v>14</v>
      </c>
      <c r="F14" s="9">
        <v>101</v>
      </c>
      <c r="M14" s="8" t="s">
        <v>38</v>
      </c>
      <c r="N14" s="9">
        <v>2.0368421052631578</v>
      </c>
    </row>
    <row r="15" spans="1:14" x14ac:dyDescent="0.25">
      <c r="A15" s="8" t="s">
        <v>38</v>
      </c>
      <c r="B15" s="9">
        <v>39</v>
      </c>
      <c r="C15" s="9">
        <v>49</v>
      </c>
      <c r="D15" s="9">
        <v>1</v>
      </c>
      <c r="E15" s="9">
        <v>6</v>
      </c>
      <c r="F15" s="9">
        <v>95</v>
      </c>
      <c r="M15" s="8" t="s">
        <v>30</v>
      </c>
      <c r="N15" s="9">
        <v>2.1712643678160926</v>
      </c>
    </row>
    <row r="16" spans="1:14" x14ac:dyDescent="0.25">
      <c r="A16" s="8" t="s">
        <v>30</v>
      </c>
      <c r="B16" s="9">
        <v>43</v>
      </c>
      <c r="C16" s="9">
        <v>39</v>
      </c>
      <c r="D16" s="9">
        <v>1</v>
      </c>
      <c r="E16" s="9">
        <v>4</v>
      </c>
      <c r="F16" s="9">
        <v>87</v>
      </c>
      <c r="M16" s="8" t="s">
        <v>67</v>
      </c>
      <c r="N16" s="9">
        <v>2.2032967032967044</v>
      </c>
    </row>
    <row r="17" spans="1:14" x14ac:dyDescent="0.25">
      <c r="A17" s="8" t="s">
        <v>67</v>
      </c>
      <c r="B17" s="9">
        <v>47</v>
      </c>
      <c r="C17" s="9">
        <v>36</v>
      </c>
      <c r="D17" s="9">
        <v>1</v>
      </c>
      <c r="E17" s="9">
        <v>7</v>
      </c>
      <c r="F17" s="9">
        <v>91</v>
      </c>
      <c r="M17" s="8" t="s">
        <v>77</v>
      </c>
      <c r="N17" s="9">
        <v>2.2846153846153849</v>
      </c>
    </row>
    <row r="18" spans="1:14" x14ac:dyDescent="0.25">
      <c r="A18" s="8" t="s">
        <v>77</v>
      </c>
      <c r="B18" s="9">
        <v>55</v>
      </c>
      <c r="C18" s="9">
        <v>41</v>
      </c>
      <c r="D18" s="9">
        <v>2</v>
      </c>
      <c r="E18" s="9">
        <v>6</v>
      </c>
      <c r="F18" s="9">
        <v>104</v>
      </c>
      <c r="M18" s="8" t="s">
        <v>52</v>
      </c>
      <c r="N18" s="9">
        <v>2.1904255319148938</v>
      </c>
    </row>
    <row r="19" spans="1:14" x14ac:dyDescent="0.25">
      <c r="A19" s="8" t="s">
        <v>52</v>
      </c>
      <c r="B19" s="9">
        <v>41</v>
      </c>
      <c r="C19" s="9">
        <v>45</v>
      </c>
      <c r="D19" s="9">
        <v>2</v>
      </c>
      <c r="E19" s="9">
        <v>6</v>
      </c>
      <c r="F19" s="9">
        <v>94</v>
      </c>
      <c r="M19" s="8" t="s">
        <v>1575</v>
      </c>
      <c r="N19" s="9">
        <v>2.2172666666666672</v>
      </c>
    </row>
    <row r="20" spans="1:14" x14ac:dyDescent="0.25">
      <c r="A20" s="8" t="s">
        <v>1575</v>
      </c>
      <c r="B20" s="9">
        <v>700</v>
      </c>
      <c r="C20" s="9">
        <v>671</v>
      </c>
      <c r="D20" s="9">
        <v>19</v>
      </c>
      <c r="E20" s="9">
        <v>110</v>
      </c>
      <c r="F20" s="9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Clean_Reference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2026-10-01T19:09:28Z</dcterms:created>
  <dcterms:modified xsi:type="dcterms:W3CDTF">2026-10-05T19:03:39Z</dcterms:modified>
</cp:coreProperties>
</file>